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4365" yWindow="-60" windowWidth="22095" windowHeight="11820"/>
  </bookViews>
  <sheets>
    <sheet name="关卡配置" sheetId="1" r:id="rId1"/>
    <sheet name="level" sheetId="5" r:id="rId2"/>
  </sheets>
  <functionGroups/>
  <calcPr calcId="124519"/>
</workbook>
</file>

<file path=xl/calcChain.xml><?xml version="1.0" encoding="utf-8"?>
<calcChain xmlns="http://schemas.openxmlformats.org/spreadsheetml/2006/main">
  <c r="AI1001" i="1"/>
  <c r="AH1001"/>
  <c r="AG1001"/>
  <c r="AF1001"/>
  <c r="AE1001"/>
  <c r="AD1001"/>
  <c r="AC1001"/>
  <c r="AB1001"/>
  <c r="AA1001"/>
  <c r="AI1000"/>
  <c r="AH1000"/>
  <c r="AG1000"/>
  <c r="AF1000"/>
  <c r="AE1000"/>
  <c r="AD1000"/>
  <c r="AC1000"/>
  <c r="AB1000"/>
  <c r="AA1000"/>
  <c r="AI999"/>
  <c r="AH999"/>
  <c r="AG999"/>
  <c r="AF999"/>
  <c r="AE999"/>
  <c r="AD999"/>
  <c r="AC999"/>
  <c r="AB999"/>
  <c r="AA999"/>
  <c r="AI998"/>
  <c r="AH998"/>
  <c r="AG998"/>
  <c r="AF998"/>
  <c r="AE998"/>
  <c r="AD998"/>
  <c r="AC998"/>
  <c r="AB998"/>
  <c r="AA998"/>
  <c r="AI997"/>
  <c r="AH997"/>
  <c r="AG997"/>
  <c r="AF997"/>
  <c r="AE997"/>
  <c r="AD997"/>
  <c r="AC997"/>
  <c r="AB997"/>
  <c r="AA997"/>
  <c r="AI996"/>
  <c r="AH996"/>
  <c r="AG996"/>
  <c r="AF996"/>
  <c r="AE996"/>
  <c r="AD996"/>
  <c r="AC996"/>
  <c r="AB996"/>
  <c r="AA996"/>
  <c r="AI995"/>
  <c r="AH995"/>
  <c r="AG995"/>
  <c r="AF995"/>
  <c r="AE995"/>
  <c r="AD995"/>
  <c r="AC995"/>
  <c r="AB995"/>
  <c r="AA995"/>
  <c r="AI994"/>
  <c r="AH994"/>
  <c r="AG994"/>
  <c r="AF994"/>
  <c r="AE994"/>
  <c r="AD994"/>
  <c r="AC994"/>
  <c r="AB994"/>
  <c r="AA994"/>
  <c r="AI993"/>
  <c r="AH993"/>
  <c r="AG993"/>
  <c r="AF993"/>
  <c r="AE993"/>
  <c r="AD993"/>
  <c r="AC993"/>
  <c r="AB993"/>
  <c r="AA993"/>
  <c r="AI992"/>
  <c r="AH992"/>
  <c r="AG992"/>
  <c r="AF992"/>
  <c r="AE992"/>
  <c r="AD992"/>
  <c r="AC992"/>
  <c r="AB992"/>
  <c r="AA992"/>
  <c r="AI991"/>
  <c r="AH991"/>
  <c r="AG991"/>
  <c r="AF991"/>
  <c r="AE991"/>
  <c r="AD991"/>
  <c r="AC991"/>
  <c r="AB991"/>
  <c r="AA991"/>
  <c r="AI990"/>
  <c r="AH990"/>
  <c r="AG990"/>
  <c r="AF990"/>
  <c r="AE990"/>
  <c r="AD990"/>
  <c r="AC990"/>
  <c r="AB990"/>
  <c r="AA990"/>
  <c r="AI989"/>
  <c r="AH989"/>
  <c r="AG989"/>
  <c r="AF989"/>
  <c r="AE989"/>
  <c r="AD989"/>
  <c r="AC989"/>
  <c r="AB989"/>
  <c r="AA989"/>
  <c r="AI988"/>
  <c r="AH988"/>
  <c r="AG988"/>
  <c r="AF988"/>
  <c r="AE988"/>
  <c r="AD988"/>
  <c r="AC988"/>
  <c r="AB988"/>
  <c r="AA988"/>
  <c r="AI987"/>
  <c r="AH987"/>
  <c r="AG987"/>
  <c r="AF987"/>
  <c r="AE987"/>
  <c r="AD987"/>
  <c r="AC987"/>
  <c r="AB987"/>
  <c r="AA987"/>
  <c r="AI986"/>
  <c r="AH986"/>
  <c r="AG986"/>
  <c r="AF986"/>
  <c r="AE986"/>
  <c r="AD986"/>
  <c r="AC986"/>
  <c r="AB986"/>
  <c r="AA986"/>
  <c r="AI985"/>
  <c r="AH985"/>
  <c r="AG985"/>
  <c r="AF985"/>
  <c r="AE985"/>
  <c r="AD985"/>
  <c r="AC985"/>
  <c r="AB985"/>
  <c r="AA985"/>
  <c r="AI984"/>
  <c r="AH984"/>
  <c r="AG984"/>
  <c r="AF984"/>
  <c r="AE984"/>
  <c r="AD984"/>
  <c r="AC984"/>
  <c r="AB984"/>
  <c r="AA984"/>
  <c r="AI983"/>
  <c r="AH983"/>
  <c r="AG983"/>
  <c r="AF983"/>
  <c r="AE983"/>
  <c r="AD983"/>
  <c r="AC983"/>
  <c r="AB983"/>
  <c r="AA983"/>
  <c r="AI982"/>
  <c r="AH982"/>
  <c r="AG982"/>
  <c r="AF982"/>
  <c r="AE982"/>
  <c r="AD982"/>
  <c r="AC982"/>
  <c r="AB982"/>
  <c r="AA982"/>
  <c r="AI981"/>
  <c r="AH981"/>
  <c r="AG981"/>
  <c r="AF981"/>
  <c r="AE981"/>
  <c r="AD981"/>
  <c r="AC981"/>
  <c r="AB981"/>
  <c r="AA981"/>
  <c r="AI980"/>
  <c r="AH980"/>
  <c r="AG980"/>
  <c r="AF980"/>
  <c r="AE980"/>
  <c r="AD980"/>
  <c r="AC980"/>
  <c r="AB980"/>
  <c r="AA980"/>
  <c r="AI979"/>
  <c r="AH979"/>
  <c r="AG979"/>
  <c r="AF979"/>
  <c r="AE979"/>
  <c r="AD979"/>
  <c r="AC979"/>
  <c r="AB979"/>
  <c r="AA979"/>
  <c r="AI978"/>
  <c r="AH978"/>
  <c r="AG978"/>
  <c r="AF978"/>
  <c r="AE978"/>
  <c r="AD978"/>
  <c r="AC978"/>
  <c r="AB978"/>
  <c r="AA978"/>
  <c r="AI977"/>
  <c r="AH977"/>
  <c r="AG977"/>
  <c r="AF977"/>
  <c r="AE977"/>
  <c r="AD977"/>
  <c r="AC977"/>
  <c r="AB977"/>
  <c r="AA977"/>
  <c r="AI976"/>
  <c r="AH976"/>
  <c r="AG976"/>
  <c r="AF976"/>
  <c r="AE976"/>
  <c r="AD976"/>
  <c r="AC976"/>
  <c r="AB976"/>
  <c r="AA976"/>
  <c r="AI975"/>
  <c r="AH975"/>
  <c r="AG975"/>
  <c r="AF975"/>
  <c r="AE975"/>
  <c r="AD975"/>
  <c r="AC975"/>
  <c r="AB975"/>
  <c r="AA975"/>
  <c r="AI974"/>
  <c r="AH974"/>
  <c r="AG974"/>
  <c r="AF974"/>
  <c r="AE974"/>
  <c r="AD974"/>
  <c r="AC974"/>
  <c r="AB974"/>
  <c r="AA974"/>
  <c r="AI973"/>
  <c r="AH973"/>
  <c r="AG973"/>
  <c r="AF973"/>
  <c r="AE973"/>
  <c r="AD973"/>
  <c r="AC973"/>
  <c r="AB973"/>
  <c r="AA973"/>
  <c r="AI972"/>
  <c r="AH972"/>
  <c r="AG972"/>
  <c r="AF972"/>
  <c r="AE972"/>
  <c r="AD972"/>
  <c r="AC972"/>
  <c r="AB972"/>
  <c r="AA972"/>
  <c r="AI971"/>
  <c r="AH971"/>
  <c r="AG971"/>
  <c r="AF971"/>
  <c r="AE971"/>
  <c r="AD971"/>
  <c r="AC971"/>
  <c r="AB971"/>
  <c r="AA971"/>
  <c r="AI970"/>
  <c r="AH970"/>
  <c r="AG970"/>
  <c r="AF970"/>
  <c r="AE970"/>
  <c r="AD970"/>
  <c r="AC970"/>
  <c r="AB970"/>
  <c r="AA970"/>
  <c r="AI969"/>
  <c r="AH969"/>
  <c r="AG969"/>
  <c r="AF969"/>
  <c r="AE969"/>
  <c r="AD969"/>
  <c r="AC969"/>
  <c r="AB969"/>
  <c r="AA969"/>
  <c r="AI968"/>
  <c r="AH968"/>
  <c r="AG968"/>
  <c r="AF968"/>
  <c r="AE968"/>
  <c r="AD968"/>
  <c r="AC968"/>
  <c r="AB968"/>
  <c r="AA968"/>
  <c r="AI967"/>
  <c r="AH967"/>
  <c r="AG967"/>
  <c r="AF967"/>
  <c r="AE967"/>
  <c r="AD967"/>
  <c r="AC967"/>
  <c r="AB967"/>
  <c r="AA967"/>
  <c r="AI966"/>
  <c r="AH966"/>
  <c r="AG966"/>
  <c r="AF966"/>
  <c r="AE966"/>
  <c r="AD966"/>
  <c r="AC966"/>
  <c r="AB966"/>
  <c r="AA966"/>
  <c r="AI965"/>
  <c r="AH965"/>
  <c r="AG965"/>
  <c r="AF965"/>
  <c r="AE965"/>
  <c r="AD965"/>
  <c r="AC965"/>
  <c r="AB965"/>
  <c r="AA965"/>
  <c r="AI964"/>
  <c r="AH964"/>
  <c r="AG964"/>
  <c r="AF964"/>
  <c r="AE964"/>
  <c r="AD964"/>
  <c r="AC964"/>
  <c r="AB964"/>
  <c r="AA964"/>
  <c r="AI963"/>
  <c r="AH963"/>
  <c r="AG963"/>
  <c r="AF963"/>
  <c r="AE963"/>
  <c r="AD963"/>
  <c r="AC963"/>
  <c r="AB963"/>
  <c r="AA963"/>
  <c r="AI962"/>
  <c r="AH962"/>
  <c r="AG962"/>
  <c r="AF962"/>
  <c r="AE962"/>
  <c r="AD962"/>
  <c r="AC962"/>
  <c r="AB962"/>
  <c r="AA962"/>
  <c r="AI961"/>
  <c r="AH961"/>
  <c r="AG961"/>
  <c r="AF961"/>
  <c r="AE961"/>
  <c r="AD961"/>
  <c r="AC961"/>
  <c r="AB961"/>
  <c r="AA961"/>
  <c r="AI960"/>
  <c r="AH960"/>
  <c r="AG960"/>
  <c r="AF960"/>
  <c r="AE960"/>
  <c r="AD960"/>
  <c r="AC960"/>
  <c r="AB960"/>
  <c r="AA960"/>
  <c r="AI959"/>
  <c r="AH959"/>
  <c r="AG959"/>
  <c r="AF959"/>
  <c r="AE959"/>
  <c r="AD959"/>
  <c r="AC959"/>
  <c r="AB959"/>
  <c r="AA959"/>
  <c r="AI958"/>
  <c r="AH958"/>
  <c r="AG958"/>
  <c r="AF958"/>
  <c r="AE958"/>
  <c r="AD958"/>
  <c r="AC958"/>
  <c r="AB958"/>
  <c r="AA958"/>
  <c r="AI957"/>
  <c r="AH957"/>
  <c r="AG957"/>
  <c r="AF957"/>
  <c r="AE957"/>
  <c r="AD957"/>
  <c r="AC957"/>
  <c r="AB957"/>
  <c r="AA957"/>
  <c r="AI956"/>
  <c r="AH956"/>
  <c r="AG956"/>
  <c r="AF956"/>
  <c r="AE956"/>
  <c r="AD956"/>
  <c r="AC956"/>
  <c r="AB956"/>
  <c r="AA956"/>
  <c r="AI955"/>
  <c r="AH955"/>
  <c r="AG955"/>
  <c r="AF955"/>
  <c r="AE955"/>
  <c r="AD955"/>
  <c r="AC955"/>
  <c r="AB955"/>
  <c r="AA955"/>
  <c r="AI954"/>
  <c r="AH954"/>
  <c r="AG954"/>
  <c r="AF954"/>
  <c r="AE954"/>
  <c r="AD954"/>
  <c r="AC954"/>
  <c r="AB954"/>
  <c r="AA954"/>
  <c r="AI953"/>
  <c r="AH953"/>
  <c r="AG953"/>
  <c r="AF953"/>
  <c r="AE953"/>
  <c r="AD953"/>
  <c r="AC953"/>
  <c r="AB953"/>
  <c r="AA953"/>
  <c r="AI952"/>
  <c r="AH952"/>
  <c r="AG952"/>
  <c r="AF952"/>
  <c r="AE952"/>
  <c r="AD952"/>
  <c r="AC952"/>
  <c r="AB952"/>
  <c r="AA952"/>
  <c r="AI951"/>
  <c r="AH951"/>
  <c r="AG951"/>
  <c r="AF951"/>
  <c r="AE951"/>
  <c r="AD951"/>
  <c r="AC951"/>
  <c r="AB951"/>
  <c r="AA951"/>
  <c r="AI950"/>
  <c r="AH950"/>
  <c r="AG950"/>
  <c r="AF950"/>
  <c r="AE950"/>
  <c r="AD950"/>
  <c r="AC950"/>
  <c r="AB950"/>
  <c r="AA950"/>
  <c r="AI949"/>
  <c r="AH949"/>
  <c r="AG949"/>
  <c r="AF949"/>
  <c r="AE949"/>
  <c r="AD949"/>
  <c r="AC949"/>
  <c r="AB949"/>
  <c r="AA949"/>
  <c r="AI948"/>
  <c r="AH948"/>
  <c r="AG948"/>
  <c r="AF948"/>
  <c r="AE948"/>
  <c r="AD948"/>
  <c r="AC948"/>
  <c r="AB948"/>
  <c r="AA948"/>
  <c r="AI947"/>
  <c r="AH947"/>
  <c r="AG947"/>
  <c r="AF947"/>
  <c r="AE947"/>
  <c r="AD947"/>
  <c r="AC947"/>
  <c r="AB947"/>
  <c r="AA947"/>
  <c r="AI946"/>
  <c r="AH946"/>
  <c r="AG946"/>
  <c r="AF946"/>
  <c r="AE946"/>
  <c r="AD946"/>
  <c r="AC946"/>
  <c r="AB946"/>
  <c r="AA946"/>
  <c r="AI945"/>
  <c r="AH945"/>
  <c r="AG945"/>
  <c r="AF945"/>
  <c r="AE945"/>
  <c r="AD945"/>
  <c r="AC945"/>
  <c r="AB945"/>
  <c r="AA945"/>
  <c r="AI944"/>
  <c r="AH944"/>
  <c r="AG944"/>
  <c r="AF944"/>
  <c r="AE944"/>
  <c r="AD944"/>
  <c r="AC944"/>
  <c r="AB944"/>
  <c r="AA944"/>
  <c r="AI943"/>
  <c r="AH943"/>
  <c r="AG943"/>
  <c r="AF943"/>
  <c r="AE943"/>
  <c r="AD943"/>
  <c r="AC943"/>
  <c r="AB943"/>
  <c r="AA943"/>
  <c r="AI942"/>
  <c r="AH942"/>
  <c r="AG942"/>
  <c r="AF942"/>
  <c r="AE942"/>
  <c r="AD942"/>
  <c r="AC942"/>
  <c r="AB942"/>
  <c r="AA942"/>
  <c r="AI941"/>
  <c r="AH941"/>
  <c r="AG941"/>
  <c r="AF941"/>
  <c r="AE941"/>
  <c r="AD941"/>
  <c r="AC941"/>
  <c r="AB941"/>
  <c r="AA941"/>
  <c r="AI940"/>
  <c r="AH940"/>
  <c r="AG940"/>
  <c r="AF940"/>
  <c r="AE940"/>
  <c r="AD940"/>
  <c r="AC940"/>
  <c r="AB940"/>
  <c r="AA940"/>
  <c r="AI939"/>
  <c r="AH939"/>
  <c r="AG939"/>
  <c r="AF939"/>
  <c r="AE939"/>
  <c r="AD939"/>
  <c r="AC939"/>
  <c r="AB939"/>
  <c r="AA939"/>
  <c r="AI938"/>
  <c r="AH938"/>
  <c r="AG938"/>
  <c r="AF938"/>
  <c r="AE938"/>
  <c r="AD938"/>
  <c r="AC938"/>
  <c r="AB938"/>
  <c r="AA938"/>
  <c r="AI937"/>
  <c r="AH937"/>
  <c r="AG937"/>
  <c r="AF937"/>
  <c r="AE937"/>
  <c r="AD937"/>
  <c r="AC937"/>
  <c r="AB937"/>
  <c r="AA937"/>
  <c r="AI936"/>
  <c r="AH936"/>
  <c r="AG936"/>
  <c r="AF936"/>
  <c r="AE936"/>
  <c r="AD936"/>
  <c r="AC936"/>
  <c r="AB936"/>
  <c r="AA936"/>
  <c r="AI935"/>
  <c r="AH935"/>
  <c r="AG935"/>
  <c r="AF935"/>
  <c r="AE935"/>
  <c r="AD935"/>
  <c r="AC935"/>
  <c r="AB935"/>
  <c r="AA935"/>
  <c r="AI934"/>
  <c r="AH934"/>
  <c r="AG934"/>
  <c r="AF934"/>
  <c r="AE934"/>
  <c r="AD934"/>
  <c r="AC934"/>
  <c r="AB934"/>
  <c r="AA934"/>
  <c r="AI933"/>
  <c r="AH933"/>
  <c r="AG933"/>
  <c r="AF933"/>
  <c r="AE933"/>
  <c r="AD933"/>
  <c r="AC933"/>
  <c r="AB933"/>
  <c r="AA933"/>
  <c r="AI932"/>
  <c r="AH932"/>
  <c r="AG932"/>
  <c r="AF932"/>
  <c r="AE932"/>
  <c r="AD932"/>
  <c r="AC932"/>
  <c r="AB932"/>
  <c r="AA932"/>
  <c r="AI931"/>
  <c r="AH931"/>
  <c r="AG931"/>
  <c r="AF931"/>
  <c r="AE931"/>
  <c r="AD931"/>
  <c r="AC931"/>
  <c r="AB931"/>
  <c r="AA931"/>
  <c r="AI930"/>
  <c r="AH930"/>
  <c r="AG930"/>
  <c r="AF930"/>
  <c r="AE930"/>
  <c r="AD930"/>
  <c r="AC930"/>
  <c r="AB930"/>
  <c r="AA930"/>
  <c r="AI929"/>
  <c r="AH929"/>
  <c r="AG929"/>
  <c r="AF929"/>
  <c r="AE929"/>
  <c r="AD929"/>
  <c r="AC929"/>
  <c r="AB929"/>
  <c r="AA929"/>
  <c r="AI928"/>
  <c r="AH928"/>
  <c r="AG928"/>
  <c r="AF928"/>
  <c r="AE928"/>
  <c r="AD928"/>
  <c r="AC928"/>
  <c r="AB928"/>
  <c r="AA928"/>
  <c r="AI927"/>
  <c r="AH927"/>
  <c r="AG927"/>
  <c r="AF927"/>
  <c r="AE927"/>
  <c r="AD927"/>
  <c r="AC927"/>
  <c r="AB927"/>
  <c r="AA927"/>
  <c r="AI926"/>
  <c r="AH926"/>
  <c r="AG926"/>
  <c r="AF926"/>
  <c r="AE926"/>
  <c r="AD926"/>
  <c r="AC926"/>
  <c r="AB926"/>
  <c r="AA926"/>
  <c r="AI925"/>
  <c r="AH925"/>
  <c r="AG925"/>
  <c r="AF925"/>
  <c r="AE925"/>
  <c r="AD925"/>
  <c r="AC925"/>
  <c r="AB925"/>
  <c r="AA925"/>
  <c r="AI924"/>
  <c r="AH924"/>
  <c r="AG924"/>
  <c r="AF924"/>
  <c r="AE924"/>
  <c r="AD924"/>
  <c r="AC924"/>
  <c r="AB924"/>
  <c r="AA924"/>
  <c r="AI923"/>
  <c r="AH923"/>
  <c r="AG923"/>
  <c r="AF923"/>
  <c r="AE923"/>
  <c r="AD923"/>
  <c r="AC923"/>
  <c r="AB923"/>
  <c r="AA923"/>
  <c r="AI922"/>
  <c r="AH922"/>
  <c r="AG922"/>
  <c r="AF922"/>
  <c r="AE922"/>
  <c r="AD922"/>
  <c r="AC922"/>
  <c r="AB922"/>
  <c r="AA922"/>
  <c r="AI921"/>
  <c r="AH921"/>
  <c r="AG921"/>
  <c r="AF921"/>
  <c r="AE921"/>
  <c r="AD921"/>
  <c r="AC921"/>
  <c r="AB921"/>
  <c r="AA921"/>
  <c r="AI920"/>
  <c r="AH920"/>
  <c r="AG920"/>
  <c r="AF920"/>
  <c r="AE920"/>
  <c r="AD920"/>
  <c r="AC920"/>
  <c r="AB920"/>
  <c r="AA920"/>
  <c r="AI919"/>
  <c r="AH919"/>
  <c r="AG919"/>
  <c r="AF919"/>
  <c r="AE919"/>
  <c r="AD919"/>
  <c r="AC919"/>
  <c r="AB919"/>
  <c r="AA919"/>
  <c r="AI918"/>
  <c r="AH918"/>
  <c r="AG918"/>
  <c r="AF918"/>
  <c r="AE918"/>
  <c r="AD918"/>
  <c r="AC918"/>
  <c r="AB918"/>
  <c r="AA918"/>
  <c r="AI917"/>
  <c r="AH917"/>
  <c r="AG917"/>
  <c r="AF917"/>
  <c r="AE917"/>
  <c r="AD917"/>
  <c r="AC917"/>
  <c r="AB917"/>
  <c r="AA917"/>
  <c r="AI916"/>
  <c r="AH916"/>
  <c r="AG916"/>
  <c r="AF916"/>
  <c r="AE916"/>
  <c r="AD916"/>
  <c r="AC916"/>
  <c r="AB916"/>
  <c r="AA916"/>
  <c r="AI915"/>
  <c r="AH915"/>
  <c r="AG915"/>
  <c r="AF915"/>
  <c r="AE915"/>
  <c r="AD915"/>
  <c r="AC915"/>
  <c r="AB915"/>
  <c r="AA915"/>
  <c r="AI914"/>
  <c r="AH914"/>
  <c r="AG914"/>
  <c r="AF914"/>
  <c r="AE914"/>
  <c r="AD914"/>
  <c r="AC914"/>
  <c r="AB914"/>
  <c r="AA914"/>
  <c r="AI913"/>
  <c r="AH913"/>
  <c r="AG913"/>
  <c r="AF913"/>
  <c r="AE913"/>
  <c r="AD913"/>
  <c r="AC913"/>
  <c r="AB913"/>
  <c r="AA913"/>
  <c r="AI912"/>
  <c r="AH912"/>
  <c r="AG912"/>
  <c r="AF912"/>
  <c r="AE912"/>
  <c r="AD912"/>
  <c r="AC912"/>
  <c r="AB912"/>
  <c r="AA912"/>
  <c r="AI911"/>
  <c r="AH911"/>
  <c r="AG911"/>
  <c r="AF911"/>
  <c r="AE911"/>
  <c r="AD911"/>
  <c r="AC911"/>
  <c r="AB911"/>
  <c r="AA911"/>
  <c r="AI910"/>
  <c r="AH910"/>
  <c r="AG910"/>
  <c r="AF910"/>
  <c r="AE910"/>
  <c r="AD910"/>
  <c r="AC910"/>
  <c r="AB910"/>
  <c r="AA910"/>
  <c r="AI909"/>
  <c r="AH909"/>
  <c r="AG909"/>
  <c r="AF909"/>
  <c r="AE909"/>
  <c r="AD909"/>
  <c r="AC909"/>
  <c r="AB909"/>
  <c r="AA909"/>
  <c r="AI908"/>
  <c r="AH908"/>
  <c r="AG908"/>
  <c r="AF908"/>
  <c r="AE908"/>
  <c r="AD908"/>
  <c r="AC908"/>
  <c r="AB908"/>
  <c r="AA908"/>
  <c r="AI907"/>
  <c r="AH907"/>
  <c r="AG907"/>
  <c r="AF907"/>
  <c r="AE907"/>
  <c r="AD907"/>
  <c r="AC907"/>
  <c r="AB907"/>
  <c r="AA907"/>
  <c r="AI906"/>
  <c r="AH906"/>
  <c r="AG906"/>
  <c r="AF906"/>
  <c r="AE906"/>
  <c r="AD906"/>
  <c r="AC906"/>
  <c r="AB906"/>
  <c r="AA906"/>
  <c r="AI905"/>
  <c r="AH905"/>
  <c r="AG905"/>
  <c r="AF905"/>
  <c r="AE905"/>
  <c r="AD905"/>
  <c r="AC905"/>
  <c r="AB905"/>
  <c r="AA905"/>
  <c r="AI904"/>
  <c r="AH904"/>
  <c r="AG904"/>
  <c r="AF904"/>
  <c r="AE904"/>
  <c r="AD904"/>
  <c r="AC904"/>
  <c r="AB904"/>
  <c r="AA904"/>
  <c r="AI903"/>
  <c r="AH903"/>
  <c r="AG903"/>
  <c r="AF903"/>
  <c r="AE903"/>
  <c r="AD903"/>
  <c r="AC903"/>
  <c r="AB903"/>
  <c r="AA903"/>
  <c r="AI902"/>
  <c r="AH902"/>
  <c r="AG902"/>
  <c r="AF902"/>
  <c r="AE902"/>
  <c r="AD902"/>
  <c r="AC902"/>
  <c r="AB902"/>
  <c r="AA902"/>
  <c r="AI901"/>
  <c r="AH901"/>
  <c r="AG901"/>
  <c r="AF901"/>
  <c r="AE901"/>
  <c r="AD901"/>
  <c r="AC901"/>
  <c r="AB901"/>
  <c r="AA901"/>
  <c r="AI900"/>
  <c r="AH900"/>
  <c r="AG900"/>
  <c r="AF900"/>
  <c r="AE900"/>
  <c r="AD900"/>
  <c r="AC900"/>
  <c r="AB900"/>
  <c r="AA900"/>
  <c r="AI899"/>
  <c r="AH899"/>
  <c r="AG899"/>
  <c r="AF899"/>
  <c r="AE899"/>
  <c r="AD899"/>
  <c r="AC899"/>
  <c r="AB899"/>
  <c r="AA899"/>
  <c r="AI898"/>
  <c r="AH898"/>
  <c r="AG898"/>
  <c r="AF898"/>
  <c r="AE898"/>
  <c r="AD898"/>
  <c r="AC898"/>
  <c r="AB898"/>
  <c r="AA898"/>
  <c r="AI897"/>
  <c r="AH897"/>
  <c r="AG897"/>
  <c r="AF897"/>
  <c r="AE897"/>
  <c r="AD897"/>
  <c r="AC897"/>
  <c r="AB897"/>
  <c r="AA897"/>
  <c r="AI896"/>
  <c r="AH896"/>
  <c r="AG896"/>
  <c r="AF896"/>
  <c r="AE896"/>
  <c r="AD896"/>
  <c r="AC896"/>
  <c r="AB896"/>
  <c r="AA896"/>
  <c r="AI895"/>
  <c r="AH895"/>
  <c r="AG895"/>
  <c r="AF895"/>
  <c r="AE895"/>
  <c r="AD895"/>
  <c r="AC895"/>
  <c r="AB895"/>
  <c r="AA895"/>
  <c r="AI894"/>
  <c r="AH894"/>
  <c r="AG894"/>
  <c r="AF894"/>
  <c r="AE894"/>
  <c r="AD894"/>
  <c r="AC894"/>
  <c r="AB894"/>
  <c r="AA894"/>
  <c r="AI893"/>
  <c r="AH893"/>
  <c r="AG893"/>
  <c r="AF893"/>
  <c r="AE893"/>
  <c r="AD893"/>
  <c r="AC893"/>
  <c r="AB893"/>
  <c r="AA893"/>
  <c r="AI892"/>
  <c r="AH892"/>
  <c r="AG892"/>
  <c r="AF892"/>
  <c r="AE892"/>
  <c r="AD892"/>
  <c r="AC892"/>
  <c r="AB892"/>
  <c r="AA892"/>
  <c r="AI891"/>
  <c r="AH891"/>
  <c r="AG891"/>
  <c r="AF891"/>
  <c r="AE891"/>
  <c r="AD891"/>
  <c r="AC891"/>
  <c r="AB891"/>
  <c r="AA891"/>
  <c r="AI890"/>
  <c r="AH890"/>
  <c r="AG890"/>
  <c r="AF890"/>
  <c r="AE890"/>
  <c r="AD890"/>
  <c r="AC890"/>
  <c r="AB890"/>
  <c r="AA890"/>
  <c r="AI889"/>
  <c r="AH889"/>
  <c r="AG889"/>
  <c r="AF889"/>
  <c r="AE889"/>
  <c r="AD889"/>
  <c r="AC889"/>
  <c r="AB889"/>
  <c r="AA889"/>
  <c r="AI888"/>
  <c r="AH888"/>
  <c r="AG888"/>
  <c r="AF888"/>
  <c r="AE888"/>
  <c r="AD888"/>
  <c r="AC888"/>
  <c r="AB888"/>
  <c r="AA888"/>
  <c r="AI887"/>
  <c r="AH887"/>
  <c r="AG887"/>
  <c r="AF887"/>
  <c r="AE887"/>
  <c r="AD887"/>
  <c r="AC887"/>
  <c r="AB887"/>
  <c r="AA887"/>
  <c r="AI886"/>
  <c r="AH886"/>
  <c r="AG886"/>
  <c r="AF886"/>
  <c r="AE886"/>
  <c r="AD886"/>
  <c r="AC886"/>
  <c r="AB886"/>
  <c r="AA886"/>
  <c r="AI885"/>
  <c r="AH885"/>
  <c r="AG885"/>
  <c r="AF885"/>
  <c r="AE885"/>
  <c r="AD885"/>
  <c r="AC885"/>
  <c r="AB885"/>
  <c r="AA885"/>
  <c r="AI884"/>
  <c r="AH884"/>
  <c r="AG884"/>
  <c r="AF884"/>
  <c r="AE884"/>
  <c r="AD884"/>
  <c r="AC884"/>
  <c r="AB884"/>
  <c r="AA884"/>
  <c r="AI883"/>
  <c r="AH883"/>
  <c r="AG883"/>
  <c r="AF883"/>
  <c r="AE883"/>
  <c r="AD883"/>
  <c r="AC883"/>
  <c r="AB883"/>
  <c r="AA883"/>
  <c r="AI882"/>
  <c r="AH882"/>
  <c r="AG882"/>
  <c r="AF882"/>
  <c r="AE882"/>
  <c r="AD882"/>
  <c r="AC882"/>
  <c r="AB882"/>
  <c r="AA882"/>
  <c r="AI881"/>
  <c r="AH881"/>
  <c r="AG881"/>
  <c r="AF881"/>
  <c r="AE881"/>
  <c r="AD881"/>
  <c r="AC881"/>
  <c r="AB881"/>
  <c r="AA881"/>
  <c r="AI880"/>
  <c r="AH880"/>
  <c r="AG880"/>
  <c r="AF880"/>
  <c r="AE880"/>
  <c r="AD880"/>
  <c r="AC880"/>
  <c r="AB880"/>
  <c r="AA880"/>
  <c r="AI879"/>
  <c r="AH879"/>
  <c r="AG879"/>
  <c r="AF879"/>
  <c r="AE879"/>
  <c r="AD879"/>
  <c r="AC879"/>
  <c r="AB879"/>
  <c r="AA879"/>
  <c r="AI878"/>
  <c r="AH878"/>
  <c r="AG878"/>
  <c r="AF878"/>
  <c r="AE878"/>
  <c r="AD878"/>
  <c r="AC878"/>
  <c r="AB878"/>
  <c r="AA878"/>
  <c r="AI877"/>
  <c r="AH877"/>
  <c r="AG877"/>
  <c r="AF877"/>
  <c r="AE877"/>
  <c r="AD877"/>
  <c r="AC877"/>
  <c r="AB877"/>
  <c r="AA877"/>
  <c r="AI876"/>
  <c r="AH876"/>
  <c r="AG876"/>
  <c r="AF876"/>
  <c r="AE876"/>
  <c r="AD876"/>
  <c r="AC876"/>
  <c r="AB876"/>
  <c r="AA876"/>
  <c r="AI875"/>
  <c r="AH875"/>
  <c r="AG875"/>
  <c r="AF875"/>
  <c r="AE875"/>
  <c r="AD875"/>
  <c r="AC875"/>
  <c r="AB875"/>
  <c r="AA875"/>
  <c r="AI874"/>
  <c r="AH874"/>
  <c r="AG874"/>
  <c r="AF874"/>
  <c r="AE874"/>
  <c r="AD874"/>
  <c r="AC874"/>
  <c r="AB874"/>
  <c r="AA874"/>
  <c r="AI873"/>
  <c r="AH873"/>
  <c r="AG873"/>
  <c r="AF873"/>
  <c r="AE873"/>
  <c r="AD873"/>
  <c r="AC873"/>
  <c r="AB873"/>
  <c r="AA873"/>
  <c r="AI872"/>
  <c r="AH872"/>
  <c r="AG872"/>
  <c r="AF872"/>
  <c r="AE872"/>
  <c r="AD872"/>
  <c r="AC872"/>
  <c r="AB872"/>
  <c r="AA872"/>
  <c r="AI871"/>
  <c r="AH871"/>
  <c r="AG871"/>
  <c r="AF871"/>
  <c r="AE871"/>
  <c r="AD871"/>
  <c r="AC871"/>
  <c r="AB871"/>
  <c r="AA871"/>
  <c r="AI870"/>
  <c r="AH870"/>
  <c r="AG870"/>
  <c r="AF870"/>
  <c r="AE870"/>
  <c r="AD870"/>
  <c r="AC870"/>
  <c r="AB870"/>
  <c r="AA870"/>
  <c r="AI869"/>
  <c r="AH869"/>
  <c r="AG869"/>
  <c r="AF869"/>
  <c r="AE869"/>
  <c r="AD869"/>
  <c r="AC869"/>
  <c r="AB869"/>
  <c r="AA869"/>
  <c r="AI868"/>
  <c r="AH868"/>
  <c r="AG868"/>
  <c r="AF868"/>
  <c r="AE868"/>
  <c r="AD868"/>
  <c r="AC868"/>
  <c r="AB868"/>
  <c r="AA868"/>
  <c r="AI867"/>
  <c r="AH867"/>
  <c r="AG867"/>
  <c r="AF867"/>
  <c r="AE867"/>
  <c r="AD867"/>
  <c r="AC867"/>
  <c r="AB867"/>
  <c r="AA867"/>
  <c r="AI866"/>
  <c r="AH866"/>
  <c r="AG866"/>
  <c r="AF866"/>
  <c r="AE866"/>
  <c r="AD866"/>
  <c r="AC866"/>
  <c r="AB866"/>
  <c r="AA866"/>
  <c r="AI865"/>
  <c r="AH865"/>
  <c r="AG865"/>
  <c r="AF865"/>
  <c r="AE865"/>
  <c r="AD865"/>
  <c r="AC865"/>
  <c r="AB865"/>
  <c r="AA865"/>
  <c r="AI864"/>
  <c r="AH864"/>
  <c r="AG864"/>
  <c r="AF864"/>
  <c r="AE864"/>
  <c r="AD864"/>
  <c r="AC864"/>
  <c r="AB864"/>
  <c r="AA864"/>
  <c r="AI863"/>
  <c r="AH863"/>
  <c r="AG863"/>
  <c r="AF863"/>
  <c r="AE863"/>
  <c r="AD863"/>
  <c r="AC863"/>
  <c r="AB863"/>
  <c r="AA863"/>
  <c r="AI862"/>
  <c r="AH862"/>
  <c r="AG862"/>
  <c r="AF862"/>
  <c r="AE862"/>
  <c r="AD862"/>
  <c r="AC862"/>
  <c r="AB862"/>
  <c r="AA862"/>
  <c r="AI861"/>
  <c r="AH861"/>
  <c r="AG861"/>
  <c r="AF861"/>
  <c r="AE861"/>
  <c r="AD861"/>
  <c r="AC861"/>
  <c r="AB861"/>
  <c r="AA861"/>
  <c r="AI860"/>
  <c r="AH860"/>
  <c r="AG860"/>
  <c r="AF860"/>
  <c r="AE860"/>
  <c r="AD860"/>
  <c r="AC860"/>
  <c r="AB860"/>
  <c r="AA860"/>
  <c r="AI859"/>
  <c r="AH859"/>
  <c r="AG859"/>
  <c r="AF859"/>
  <c r="AE859"/>
  <c r="AD859"/>
  <c r="AC859"/>
  <c r="AB859"/>
  <c r="AA859"/>
  <c r="AI858"/>
  <c r="AH858"/>
  <c r="AG858"/>
  <c r="AF858"/>
  <c r="AE858"/>
  <c r="AD858"/>
  <c r="AC858"/>
  <c r="AB858"/>
  <c r="AA858"/>
  <c r="AI857"/>
  <c r="AH857"/>
  <c r="AG857"/>
  <c r="AF857"/>
  <c r="AE857"/>
  <c r="AD857"/>
  <c r="AC857"/>
  <c r="AB857"/>
  <c r="AA857"/>
  <c r="AI856"/>
  <c r="AH856"/>
  <c r="AG856"/>
  <c r="AF856"/>
  <c r="AE856"/>
  <c r="AD856"/>
  <c r="AC856"/>
  <c r="AB856"/>
  <c r="AA856"/>
  <c r="AI855"/>
  <c r="AH855"/>
  <c r="AG855"/>
  <c r="AF855"/>
  <c r="AE855"/>
  <c r="AD855"/>
  <c r="AC855"/>
  <c r="AB855"/>
  <c r="AA855"/>
  <c r="AI854"/>
  <c r="AH854"/>
  <c r="AG854"/>
  <c r="AF854"/>
  <c r="AE854"/>
  <c r="AD854"/>
  <c r="AC854"/>
  <c r="AB854"/>
  <c r="AA854"/>
  <c r="AI853"/>
  <c r="AH853"/>
  <c r="AG853"/>
  <c r="AF853"/>
  <c r="AE853"/>
  <c r="AD853"/>
  <c r="AC853"/>
  <c r="AB853"/>
  <c r="AA853"/>
  <c r="AI852"/>
  <c r="AH852"/>
  <c r="AG852"/>
  <c r="AF852"/>
  <c r="AE852"/>
  <c r="AD852"/>
  <c r="AC852"/>
  <c r="AB852"/>
  <c r="AA852"/>
  <c r="AI851"/>
  <c r="AH851"/>
  <c r="AG851"/>
  <c r="AF851"/>
  <c r="AE851"/>
  <c r="AD851"/>
  <c r="AC851"/>
  <c r="AB851"/>
  <c r="AA851"/>
  <c r="AI850"/>
  <c r="AH850"/>
  <c r="AG850"/>
  <c r="AF850"/>
  <c r="AE850"/>
  <c r="AD850"/>
  <c r="AC850"/>
  <c r="AB850"/>
  <c r="AA850"/>
  <c r="AI849"/>
  <c r="AH849"/>
  <c r="AG849"/>
  <c r="AF849"/>
  <c r="AE849"/>
  <c r="AD849"/>
  <c r="AC849"/>
  <c r="AB849"/>
  <c r="AA849"/>
  <c r="AI848"/>
  <c r="AH848"/>
  <c r="AG848"/>
  <c r="AF848"/>
  <c r="AE848"/>
  <c r="AD848"/>
  <c r="AC848"/>
  <c r="AB848"/>
  <c r="AA848"/>
  <c r="AI847"/>
  <c r="AH847"/>
  <c r="AG847"/>
  <c r="AF847"/>
  <c r="AE847"/>
  <c r="AD847"/>
  <c r="AC847"/>
  <c r="AB847"/>
  <c r="AA847"/>
  <c r="AI846"/>
  <c r="AH846"/>
  <c r="AG846"/>
  <c r="AF846"/>
  <c r="AE846"/>
  <c r="AD846"/>
  <c r="AC846"/>
  <c r="AB846"/>
  <c r="AA846"/>
  <c r="AI845"/>
  <c r="AH845"/>
  <c r="AG845"/>
  <c r="AF845"/>
  <c r="AE845"/>
  <c r="AD845"/>
  <c r="AC845"/>
  <c r="AB845"/>
  <c r="AA845"/>
  <c r="AI844"/>
  <c r="AH844"/>
  <c r="AG844"/>
  <c r="AF844"/>
  <c r="AE844"/>
  <c r="AD844"/>
  <c r="AC844"/>
  <c r="AB844"/>
  <c r="AA844"/>
  <c r="AI843"/>
  <c r="AH843"/>
  <c r="AG843"/>
  <c r="AF843"/>
  <c r="AE843"/>
  <c r="AD843"/>
  <c r="AC843"/>
  <c r="AB843"/>
  <c r="AA843"/>
  <c r="AI842"/>
  <c r="AH842"/>
  <c r="AG842"/>
  <c r="AF842"/>
  <c r="AE842"/>
  <c r="AD842"/>
  <c r="AC842"/>
  <c r="AB842"/>
  <c r="AA842"/>
  <c r="AI841"/>
  <c r="AH841"/>
  <c r="AG841"/>
  <c r="AF841"/>
  <c r="AE841"/>
  <c r="AD841"/>
  <c r="AC841"/>
  <c r="AB841"/>
  <c r="AA841"/>
  <c r="AI840"/>
  <c r="AH840"/>
  <c r="AG840"/>
  <c r="AF840"/>
  <c r="AE840"/>
  <c r="AD840"/>
  <c r="AC840"/>
  <c r="AB840"/>
  <c r="AA840"/>
  <c r="AI839"/>
  <c r="AH839"/>
  <c r="AG839"/>
  <c r="AF839"/>
  <c r="AE839"/>
  <c r="AD839"/>
  <c r="AC839"/>
  <c r="AB839"/>
  <c r="AA839"/>
  <c r="AI838"/>
  <c r="AH838"/>
  <c r="AG838"/>
  <c r="AF838"/>
  <c r="AE838"/>
  <c r="AD838"/>
  <c r="AC838"/>
  <c r="AB838"/>
  <c r="AA838"/>
  <c r="AI837"/>
  <c r="AH837"/>
  <c r="AG837"/>
  <c r="AF837"/>
  <c r="AE837"/>
  <c r="AD837"/>
  <c r="AC837"/>
  <c r="AB837"/>
  <c r="AA837"/>
  <c r="AI836"/>
  <c r="AH836"/>
  <c r="AG836"/>
  <c r="AF836"/>
  <c r="AE836"/>
  <c r="AD836"/>
  <c r="AC836"/>
  <c r="AB836"/>
  <c r="AA836"/>
  <c r="AI835"/>
  <c r="AH835"/>
  <c r="AG835"/>
  <c r="AF835"/>
  <c r="AE835"/>
  <c r="AD835"/>
  <c r="AC835"/>
  <c r="AB835"/>
  <c r="AA835"/>
  <c r="AI834"/>
  <c r="AH834"/>
  <c r="AG834"/>
  <c r="AF834"/>
  <c r="AE834"/>
  <c r="AD834"/>
  <c r="AC834"/>
  <c r="AB834"/>
  <c r="AA834"/>
  <c r="AI833"/>
  <c r="AH833"/>
  <c r="AG833"/>
  <c r="AF833"/>
  <c r="AE833"/>
  <c r="AD833"/>
  <c r="AC833"/>
  <c r="AB833"/>
  <c r="AA833"/>
  <c r="AI832"/>
  <c r="AH832"/>
  <c r="AG832"/>
  <c r="AF832"/>
  <c r="AE832"/>
  <c r="AD832"/>
  <c r="AC832"/>
  <c r="AB832"/>
  <c r="AA832"/>
  <c r="AI831"/>
  <c r="AH831"/>
  <c r="AG831"/>
  <c r="AF831"/>
  <c r="AE831"/>
  <c r="AD831"/>
  <c r="AC831"/>
  <c r="AB831"/>
  <c r="AA831"/>
  <c r="AI830"/>
  <c r="AH830"/>
  <c r="AG830"/>
  <c r="AF830"/>
  <c r="AE830"/>
  <c r="AD830"/>
  <c r="AC830"/>
  <c r="AB830"/>
  <c r="AA830"/>
  <c r="AI829"/>
  <c r="AH829"/>
  <c r="AG829"/>
  <c r="AF829"/>
  <c r="AE829"/>
  <c r="AD829"/>
  <c r="AC829"/>
  <c r="AB829"/>
  <c r="AA829"/>
  <c r="AI828"/>
  <c r="AH828"/>
  <c r="AG828"/>
  <c r="AF828"/>
  <c r="AE828"/>
  <c r="AD828"/>
  <c r="AC828"/>
  <c r="AB828"/>
  <c r="AA828"/>
  <c r="AI827"/>
  <c r="AH827"/>
  <c r="AG827"/>
  <c r="AF827"/>
  <c r="AE827"/>
  <c r="AD827"/>
  <c r="AC827"/>
  <c r="AB827"/>
  <c r="AA827"/>
  <c r="AI826"/>
  <c r="AH826"/>
  <c r="AG826"/>
  <c r="AF826"/>
  <c r="AE826"/>
  <c r="AD826"/>
  <c r="AC826"/>
  <c r="AB826"/>
  <c r="AA826"/>
  <c r="AI825"/>
  <c r="AH825"/>
  <c r="AG825"/>
  <c r="AF825"/>
  <c r="AE825"/>
  <c r="AD825"/>
  <c r="AC825"/>
  <c r="AB825"/>
  <c r="AA825"/>
  <c r="AI824"/>
  <c r="AH824"/>
  <c r="AG824"/>
  <c r="AF824"/>
  <c r="AE824"/>
  <c r="AD824"/>
  <c r="AC824"/>
  <c r="AB824"/>
  <c r="AA824"/>
  <c r="AI823"/>
  <c r="AH823"/>
  <c r="AG823"/>
  <c r="AF823"/>
  <c r="AE823"/>
  <c r="AD823"/>
  <c r="AC823"/>
  <c r="AB823"/>
  <c r="AA823"/>
  <c r="AI822"/>
  <c r="AH822"/>
  <c r="AG822"/>
  <c r="AF822"/>
  <c r="AE822"/>
  <c r="AD822"/>
  <c r="AC822"/>
  <c r="AB822"/>
  <c r="AA822"/>
  <c r="AI821"/>
  <c r="AH821"/>
  <c r="AG821"/>
  <c r="AF821"/>
  <c r="AE821"/>
  <c r="AD821"/>
  <c r="AC821"/>
  <c r="AB821"/>
  <c r="AA821"/>
  <c r="AI820"/>
  <c r="AH820"/>
  <c r="AG820"/>
  <c r="AF820"/>
  <c r="AE820"/>
  <c r="AD820"/>
  <c r="AC820"/>
  <c r="AB820"/>
  <c r="AA820"/>
  <c r="AI819"/>
  <c r="AH819"/>
  <c r="AG819"/>
  <c r="AF819"/>
  <c r="AE819"/>
  <c r="AD819"/>
  <c r="AC819"/>
  <c r="AB819"/>
  <c r="AA819"/>
  <c r="AI818"/>
  <c r="AH818"/>
  <c r="AG818"/>
  <c r="AF818"/>
  <c r="AE818"/>
  <c r="AD818"/>
  <c r="AC818"/>
  <c r="AB818"/>
  <c r="AA818"/>
  <c r="AI817"/>
  <c r="AH817"/>
  <c r="AG817"/>
  <c r="AF817"/>
  <c r="AE817"/>
  <c r="AD817"/>
  <c r="AC817"/>
  <c r="AB817"/>
  <c r="AA817"/>
  <c r="AI816"/>
  <c r="AH816"/>
  <c r="AG816"/>
  <c r="AF816"/>
  <c r="AE816"/>
  <c r="AD816"/>
  <c r="AC816"/>
  <c r="AB816"/>
  <c r="AA816"/>
  <c r="AI815"/>
  <c r="AH815"/>
  <c r="AG815"/>
  <c r="AF815"/>
  <c r="AE815"/>
  <c r="AD815"/>
  <c r="AC815"/>
  <c r="AB815"/>
  <c r="AA815"/>
  <c r="AI814"/>
  <c r="AH814"/>
  <c r="AG814"/>
  <c r="AF814"/>
  <c r="AE814"/>
  <c r="AD814"/>
  <c r="AC814"/>
  <c r="AB814"/>
  <c r="AA814"/>
  <c r="AI813"/>
  <c r="AH813"/>
  <c r="AG813"/>
  <c r="AF813"/>
  <c r="AE813"/>
  <c r="AD813"/>
  <c r="AC813"/>
  <c r="AB813"/>
  <c r="AA813"/>
  <c r="AI812"/>
  <c r="AH812"/>
  <c r="AG812"/>
  <c r="AF812"/>
  <c r="AE812"/>
  <c r="AD812"/>
  <c r="AC812"/>
  <c r="AB812"/>
  <c r="AA812"/>
  <c r="AI811"/>
  <c r="AH811"/>
  <c r="AG811"/>
  <c r="AF811"/>
  <c r="AE811"/>
  <c r="AD811"/>
  <c r="AC811"/>
  <c r="AB811"/>
  <c r="AA811"/>
  <c r="AI810"/>
  <c r="AH810"/>
  <c r="AG810"/>
  <c r="AF810"/>
  <c r="AE810"/>
  <c r="AD810"/>
  <c r="AC810"/>
  <c r="AB810"/>
  <c r="AA810"/>
  <c r="AI809"/>
  <c r="AH809"/>
  <c r="AG809"/>
  <c r="AF809"/>
  <c r="AE809"/>
  <c r="AD809"/>
  <c r="AC809"/>
  <c r="AB809"/>
  <c r="AA809"/>
  <c r="AI808"/>
  <c r="AH808"/>
  <c r="AG808"/>
  <c r="AF808"/>
  <c r="AE808"/>
  <c r="AD808"/>
  <c r="AC808"/>
  <c r="AB808"/>
  <c r="AA808"/>
  <c r="AI807"/>
  <c r="AH807"/>
  <c r="AG807"/>
  <c r="AF807"/>
  <c r="AE807"/>
  <c r="AD807"/>
  <c r="AC807"/>
  <c r="AB807"/>
  <c r="AA807"/>
  <c r="AI806"/>
  <c r="AH806"/>
  <c r="AG806"/>
  <c r="AF806"/>
  <c r="AE806"/>
  <c r="AD806"/>
  <c r="AC806"/>
  <c r="AB806"/>
  <c r="AA806"/>
  <c r="AI805"/>
  <c r="AH805"/>
  <c r="AG805"/>
  <c r="AF805"/>
  <c r="AE805"/>
  <c r="AD805"/>
  <c r="AC805"/>
  <c r="AB805"/>
  <c r="AA805"/>
  <c r="AI804"/>
  <c r="AH804"/>
  <c r="AG804"/>
  <c r="AF804"/>
  <c r="AE804"/>
  <c r="AD804"/>
  <c r="AC804"/>
  <c r="AB804"/>
  <c r="AA804"/>
  <c r="AI803"/>
  <c r="AH803"/>
  <c r="AG803"/>
  <c r="AF803"/>
  <c r="AE803"/>
  <c r="AD803"/>
  <c r="AC803"/>
  <c r="AB803"/>
  <c r="AA803"/>
  <c r="AI802"/>
  <c r="AH802"/>
  <c r="AG802"/>
  <c r="AF802"/>
  <c r="AE802"/>
  <c r="AD802"/>
  <c r="AC802"/>
  <c r="AB802"/>
  <c r="AA802"/>
  <c r="AI801"/>
  <c r="AH801"/>
  <c r="AG801"/>
  <c r="AF801"/>
  <c r="AE801"/>
  <c r="AD801"/>
  <c r="AC801"/>
  <c r="AB801"/>
  <c r="AA801"/>
  <c r="AI800"/>
  <c r="AH800"/>
  <c r="AG800"/>
  <c r="AF800"/>
  <c r="AE800"/>
  <c r="AD800"/>
  <c r="AC800"/>
  <c r="AB800"/>
  <c r="AA800"/>
  <c r="AI799"/>
  <c r="AH799"/>
  <c r="AG799"/>
  <c r="AF799"/>
  <c r="AE799"/>
  <c r="AD799"/>
  <c r="AC799"/>
  <c r="AB799"/>
  <c r="AA799"/>
  <c r="AI798"/>
  <c r="AH798"/>
  <c r="AG798"/>
  <c r="AF798"/>
  <c r="AE798"/>
  <c r="AD798"/>
  <c r="AC798"/>
  <c r="AB798"/>
  <c r="AA798"/>
  <c r="AI797"/>
  <c r="AH797"/>
  <c r="AG797"/>
  <c r="AF797"/>
  <c r="AE797"/>
  <c r="AD797"/>
  <c r="AC797"/>
  <c r="AB797"/>
  <c r="AA797"/>
  <c r="AI796"/>
  <c r="AH796"/>
  <c r="AG796"/>
  <c r="AF796"/>
  <c r="AE796"/>
  <c r="AD796"/>
  <c r="AC796"/>
  <c r="AB796"/>
  <c r="AA796"/>
  <c r="AI795"/>
  <c r="AH795"/>
  <c r="AG795"/>
  <c r="AF795"/>
  <c r="AE795"/>
  <c r="AD795"/>
  <c r="AC795"/>
  <c r="AB795"/>
  <c r="AA795"/>
  <c r="AI794"/>
  <c r="AH794"/>
  <c r="AG794"/>
  <c r="AF794"/>
  <c r="AE794"/>
  <c r="AD794"/>
  <c r="AC794"/>
  <c r="AB794"/>
  <c r="AA794"/>
  <c r="AI793"/>
  <c r="AH793"/>
  <c r="AG793"/>
  <c r="AF793"/>
  <c r="AE793"/>
  <c r="AD793"/>
  <c r="AC793"/>
  <c r="AB793"/>
  <c r="AA793"/>
  <c r="AI792"/>
  <c r="AH792"/>
  <c r="AG792"/>
  <c r="AF792"/>
  <c r="AE792"/>
  <c r="AD792"/>
  <c r="AC792"/>
  <c r="AB792"/>
  <c r="AA792"/>
  <c r="AI791"/>
  <c r="AH791"/>
  <c r="AG791"/>
  <c r="AF791"/>
  <c r="AE791"/>
  <c r="AD791"/>
  <c r="AC791"/>
  <c r="AB791"/>
  <c r="AA791"/>
  <c r="AI790"/>
  <c r="AH790"/>
  <c r="AG790"/>
  <c r="AF790"/>
  <c r="AE790"/>
  <c r="AD790"/>
  <c r="AC790"/>
  <c r="AB790"/>
  <c r="AA790"/>
  <c r="AI789"/>
  <c r="AH789"/>
  <c r="AG789"/>
  <c r="AF789"/>
  <c r="AE789"/>
  <c r="AD789"/>
  <c r="AC789"/>
  <c r="AB789"/>
  <c r="AA789"/>
  <c r="AI788"/>
  <c r="AH788"/>
  <c r="AG788"/>
  <c r="AF788"/>
  <c r="AE788"/>
  <c r="AD788"/>
  <c r="AC788"/>
  <c r="AB788"/>
  <c r="AA788"/>
  <c r="AI787"/>
  <c r="AH787"/>
  <c r="AG787"/>
  <c r="AF787"/>
  <c r="AE787"/>
  <c r="AD787"/>
  <c r="AC787"/>
  <c r="AB787"/>
  <c r="AA787"/>
  <c r="AI786"/>
  <c r="AH786"/>
  <c r="AG786"/>
  <c r="AF786"/>
  <c r="AE786"/>
  <c r="AD786"/>
  <c r="AC786"/>
  <c r="AB786"/>
  <c r="AA786"/>
  <c r="AI785"/>
  <c r="AH785"/>
  <c r="AG785"/>
  <c r="AF785"/>
  <c r="AE785"/>
  <c r="AD785"/>
  <c r="AC785"/>
  <c r="AB785"/>
  <c r="AA785"/>
  <c r="AI784"/>
  <c r="AH784"/>
  <c r="AG784"/>
  <c r="AF784"/>
  <c r="AE784"/>
  <c r="AD784"/>
  <c r="AC784"/>
  <c r="AB784"/>
  <c r="AA784"/>
  <c r="AI783"/>
  <c r="AH783"/>
  <c r="AG783"/>
  <c r="AF783"/>
  <c r="AE783"/>
  <c r="AD783"/>
  <c r="AC783"/>
  <c r="AB783"/>
  <c r="AA783"/>
  <c r="AI782"/>
  <c r="AH782"/>
  <c r="AG782"/>
  <c r="AF782"/>
  <c r="AE782"/>
  <c r="AD782"/>
  <c r="AC782"/>
  <c r="AB782"/>
  <c r="AA782"/>
  <c r="AI781"/>
  <c r="AH781"/>
  <c r="AG781"/>
  <c r="AF781"/>
  <c r="AE781"/>
  <c r="AD781"/>
  <c r="AC781"/>
  <c r="AB781"/>
  <c r="AA781"/>
  <c r="AI780"/>
  <c r="AH780"/>
  <c r="AG780"/>
  <c r="AF780"/>
  <c r="AE780"/>
  <c r="AD780"/>
  <c r="AC780"/>
  <c r="AB780"/>
  <c r="AA780"/>
  <c r="AI779"/>
  <c r="AH779"/>
  <c r="AG779"/>
  <c r="AF779"/>
  <c r="AE779"/>
  <c r="AD779"/>
  <c r="AC779"/>
  <c r="AB779"/>
  <c r="AA779"/>
  <c r="AI778"/>
  <c r="AH778"/>
  <c r="AG778"/>
  <c r="AF778"/>
  <c r="AE778"/>
  <c r="AD778"/>
  <c r="AC778"/>
  <c r="AB778"/>
  <c r="AA778"/>
  <c r="AI777"/>
  <c r="AH777"/>
  <c r="AG777"/>
  <c r="AF777"/>
  <c r="AE777"/>
  <c r="AD777"/>
  <c r="AC777"/>
  <c r="AB777"/>
  <c r="AA777"/>
  <c r="AI776"/>
  <c r="AH776"/>
  <c r="AG776"/>
  <c r="AF776"/>
  <c r="AE776"/>
  <c r="AD776"/>
  <c r="AC776"/>
  <c r="AB776"/>
  <c r="AA776"/>
  <c r="AI775"/>
  <c r="AH775"/>
  <c r="AG775"/>
  <c r="AF775"/>
  <c r="AE775"/>
  <c r="AD775"/>
  <c r="AC775"/>
  <c r="AB775"/>
  <c r="AA775"/>
  <c r="AI774"/>
  <c r="AH774"/>
  <c r="AG774"/>
  <c r="AF774"/>
  <c r="AE774"/>
  <c r="AD774"/>
  <c r="AC774"/>
  <c r="AB774"/>
  <c r="AA774"/>
  <c r="AI773"/>
  <c r="AH773"/>
  <c r="AG773"/>
  <c r="AF773"/>
  <c r="AE773"/>
  <c r="AD773"/>
  <c r="AC773"/>
  <c r="AB773"/>
  <c r="AA773"/>
  <c r="AI772"/>
  <c r="AH772"/>
  <c r="AG772"/>
  <c r="AF772"/>
  <c r="AE772"/>
  <c r="AD772"/>
  <c r="AC772"/>
  <c r="AB772"/>
  <c r="AA772"/>
  <c r="AI771"/>
  <c r="AH771"/>
  <c r="AG771"/>
  <c r="AF771"/>
  <c r="AE771"/>
  <c r="AD771"/>
  <c r="AC771"/>
  <c r="AB771"/>
  <c r="AA771"/>
  <c r="AI770"/>
  <c r="AH770"/>
  <c r="AG770"/>
  <c r="AF770"/>
  <c r="AE770"/>
  <c r="AD770"/>
  <c r="AC770"/>
  <c r="AB770"/>
  <c r="AA770"/>
  <c r="AI769"/>
  <c r="AH769"/>
  <c r="AG769"/>
  <c r="AF769"/>
  <c r="AE769"/>
  <c r="AD769"/>
  <c r="AC769"/>
  <c r="AB769"/>
  <c r="AA769"/>
  <c r="AI768"/>
  <c r="AH768"/>
  <c r="AG768"/>
  <c r="AF768"/>
  <c r="AE768"/>
  <c r="AD768"/>
  <c r="AC768"/>
  <c r="AB768"/>
  <c r="AA768"/>
  <c r="AI767"/>
  <c r="AH767"/>
  <c r="AG767"/>
  <c r="AF767"/>
  <c r="AE767"/>
  <c r="AD767"/>
  <c r="AC767"/>
  <c r="AB767"/>
  <c r="AA767"/>
  <c r="AI766"/>
  <c r="AH766"/>
  <c r="AG766"/>
  <c r="AF766"/>
  <c r="AE766"/>
  <c r="AD766"/>
  <c r="AC766"/>
  <c r="AB766"/>
  <c r="AA766"/>
  <c r="AI765"/>
  <c r="AH765"/>
  <c r="AG765"/>
  <c r="AF765"/>
  <c r="AE765"/>
  <c r="AD765"/>
  <c r="AC765"/>
  <c r="AB765"/>
  <c r="AA765"/>
  <c r="AI764"/>
  <c r="AH764"/>
  <c r="AG764"/>
  <c r="AF764"/>
  <c r="AE764"/>
  <c r="AD764"/>
  <c r="AC764"/>
  <c r="AB764"/>
  <c r="AA764"/>
  <c r="AI763"/>
  <c r="AH763"/>
  <c r="AG763"/>
  <c r="AF763"/>
  <c r="AE763"/>
  <c r="AD763"/>
  <c r="AC763"/>
  <c r="AB763"/>
  <c r="AA763"/>
  <c r="AI762"/>
  <c r="AH762"/>
  <c r="AG762"/>
  <c r="AF762"/>
  <c r="AE762"/>
  <c r="AD762"/>
  <c r="AC762"/>
  <c r="AB762"/>
  <c r="AA762"/>
  <c r="AI761"/>
  <c r="AH761"/>
  <c r="AG761"/>
  <c r="AF761"/>
  <c r="AE761"/>
  <c r="AD761"/>
  <c r="AC761"/>
  <c r="AB761"/>
  <c r="AA761"/>
  <c r="AI760"/>
  <c r="AH760"/>
  <c r="AG760"/>
  <c r="AF760"/>
  <c r="AE760"/>
  <c r="AD760"/>
  <c r="AC760"/>
  <c r="AB760"/>
  <c r="AA760"/>
  <c r="AI759"/>
  <c r="AH759"/>
  <c r="AG759"/>
  <c r="AF759"/>
  <c r="AE759"/>
  <c r="AD759"/>
  <c r="AC759"/>
  <c r="AB759"/>
  <c r="AA759"/>
  <c r="AI758"/>
  <c r="AH758"/>
  <c r="AG758"/>
  <c r="AF758"/>
  <c r="AE758"/>
  <c r="AD758"/>
  <c r="AC758"/>
  <c r="AB758"/>
  <c r="AA758"/>
  <c r="AI757"/>
  <c r="AH757"/>
  <c r="AG757"/>
  <c r="AF757"/>
  <c r="AE757"/>
  <c r="AD757"/>
  <c r="AC757"/>
  <c r="AB757"/>
  <c r="AA757"/>
  <c r="AI756"/>
  <c r="AH756"/>
  <c r="AG756"/>
  <c r="AF756"/>
  <c r="AE756"/>
  <c r="AD756"/>
  <c r="AC756"/>
  <c r="AB756"/>
  <c r="AA756"/>
  <c r="AI755"/>
  <c r="AH755"/>
  <c r="AG755"/>
  <c r="AF755"/>
  <c r="AE755"/>
  <c r="AD755"/>
  <c r="AC755"/>
  <c r="AB755"/>
  <c r="AA755"/>
  <c r="AI754"/>
  <c r="AH754"/>
  <c r="AG754"/>
  <c r="AF754"/>
  <c r="AE754"/>
  <c r="AD754"/>
  <c r="AC754"/>
  <c r="AB754"/>
  <c r="AA754"/>
  <c r="AI753"/>
  <c r="AH753"/>
  <c r="AG753"/>
  <c r="AF753"/>
  <c r="AE753"/>
  <c r="AD753"/>
  <c r="AC753"/>
  <c r="AB753"/>
  <c r="AA753"/>
  <c r="AI752"/>
  <c r="AH752"/>
  <c r="AG752"/>
  <c r="AF752"/>
  <c r="AE752"/>
  <c r="AD752"/>
  <c r="AC752"/>
  <c r="AB752"/>
  <c r="AA752"/>
  <c r="AI751"/>
  <c r="AH751"/>
  <c r="AG751"/>
  <c r="AF751"/>
  <c r="AE751"/>
  <c r="AD751"/>
  <c r="AC751"/>
  <c r="AB751"/>
  <c r="AA751"/>
  <c r="AI750"/>
  <c r="AH750"/>
  <c r="AG750"/>
  <c r="AF750"/>
  <c r="AE750"/>
  <c r="AD750"/>
  <c r="AC750"/>
  <c r="AB750"/>
  <c r="AA750"/>
  <c r="AI749"/>
  <c r="AH749"/>
  <c r="AG749"/>
  <c r="AF749"/>
  <c r="AE749"/>
  <c r="AD749"/>
  <c r="AC749"/>
  <c r="AB749"/>
  <c r="AA749"/>
  <c r="AI748"/>
  <c r="AH748"/>
  <c r="AG748"/>
  <c r="AF748"/>
  <c r="AE748"/>
  <c r="AD748"/>
  <c r="AC748"/>
  <c r="AB748"/>
  <c r="AA748"/>
  <c r="AI747"/>
  <c r="AH747"/>
  <c r="AG747"/>
  <c r="AF747"/>
  <c r="AE747"/>
  <c r="AD747"/>
  <c r="AC747"/>
  <c r="AB747"/>
  <c r="AA747"/>
  <c r="AI746"/>
  <c r="AH746"/>
  <c r="AG746"/>
  <c r="AF746"/>
  <c r="AE746"/>
  <c r="AD746"/>
  <c r="AC746"/>
  <c r="AB746"/>
  <c r="AA746"/>
  <c r="AI745"/>
  <c r="AH745"/>
  <c r="AG745"/>
  <c r="AF745"/>
  <c r="AE745"/>
  <c r="AD745"/>
  <c r="AC745"/>
  <c r="AB745"/>
  <c r="AA745"/>
  <c r="AI744"/>
  <c r="AH744"/>
  <c r="AG744"/>
  <c r="AF744"/>
  <c r="AE744"/>
  <c r="AD744"/>
  <c r="AC744"/>
  <c r="AB744"/>
  <c r="AA744"/>
  <c r="AI743"/>
  <c r="AH743"/>
  <c r="AG743"/>
  <c r="AF743"/>
  <c r="AE743"/>
  <c r="AD743"/>
  <c r="AC743"/>
  <c r="AB743"/>
  <c r="AA743"/>
  <c r="AI742"/>
  <c r="AH742"/>
  <c r="AG742"/>
  <c r="AF742"/>
  <c r="AE742"/>
  <c r="AD742"/>
  <c r="AC742"/>
  <c r="AB742"/>
  <c r="AA742"/>
  <c r="AI741"/>
  <c r="AH741"/>
  <c r="AG741"/>
  <c r="AF741"/>
  <c r="AE741"/>
  <c r="AD741"/>
  <c r="AC741"/>
  <c r="AB741"/>
  <c r="AA741"/>
  <c r="AI740"/>
  <c r="AH740"/>
  <c r="AG740"/>
  <c r="AF740"/>
  <c r="AE740"/>
  <c r="AD740"/>
  <c r="AC740"/>
  <c r="AB740"/>
  <c r="AA740"/>
  <c r="AI739"/>
  <c r="AH739"/>
  <c r="AG739"/>
  <c r="AF739"/>
  <c r="AE739"/>
  <c r="AD739"/>
  <c r="AC739"/>
  <c r="AB739"/>
  <c r="AA739"/>
  <c r="AI738"/>
  <c r="AH738"/>
  <c r="AG738"/>
  <c r="AF738"/>
  <c r="AE738"/>
  <c r="AD738"/>
  <c r="AC738"/>
  <c r="AB738"/>
  <c r="AA738"/>
  <c r="AI737"/>
  <c r="AH737"/>
  <c r="AG737"/>
  <c r="AF737"/>
  <c r="AE737"/>
  <c r="AD737"/>
  <c r="AC737"/>
  <c r="AB737"/>
  <c r="AA737"/>
  <c r="AI736"/>
  <c r="AH736"/>
  <c r="AG736"/>
  <c r="AF736"/>
  <c r="AE736"/>
  <c r="AD736"/>
  <c r="AC736"/>
  <c r="AB736"/>
  <c r="AA736"/>
  <c r="AI735"/>
  <c r="AH735"/>
  <c r="AG735"/>
  <c r="AF735"/>
  <c r="AE735"/>
  <c r="AD735"/>
  <c r="AC735"/>
  <c r="AB735"/>
  <c r="AA735"/>
  <c r="AI734"/>
  <c r="AH734"/>
  <c r="AG734"/>
  <c r="AF734"/>
  <c r="AE734"/>
  <c r="AD734"/>
  <c r="AC734"/>
  <c r="AB734"/>
  <c r="AA734"/>
  <c r="AI733"/>
  <c r="AH733"/>
  <c r="AG733"/>
  <c r="AF733"/>
  <c r="AE733"/>
  <c r="AD733"/>
  <c r="AC733"/>
  <c r="AB733"/>
  <c r="AA733"/>
  <c r="AI732"/>
  <c r="AH732"/>
  <c r="AG732"/>
  <c r="AF732"/>
  <c r="AE732"/>
  <c r="AD732"/>
  <c r="AC732"/>
  <c r="AB732"/>
  <c r="AA732"/>
  <c r="AI731"/>
  <c r="AH731"/>
  <c r="AG731"/>
  <c r="AF731"/>
  <c r="AE731"/>
  <c r="AD731"/>
  <c r="AC731"/>
  <c r="AB731"/>
  <c r="AA731"/>
  <c r="AI730"/>
  <c r="AH730"/>
  <c r="AG730"/>
  <c r="AF730"/>
  <c r="AE730"/>
  <c r="AD730"/>
  <c r="AC730"/>
  <c r="AB730"/>
  <c r="AA730"/>
  <c r="AI729"/>
  <c r="AH729"/>
  <c r="AG729"/>
  <c r="AF729"/>
  <c r="AE729"/>
  <c r="AD729"/>
  <c r="AC729"/>
  <c r="AB729"/>
  <c r="AA729"/>
  <c r="AI728"/>
  <c r="AH728"/>
  <c r="AG728"/>
  <c r="AF728"/>
  <c r="AE728"/>
  <c r="AD728"/>
  <c r="AC728"/>
  <c r="AB728"/>
  <c r="AA728"/>
  <c r="AI727"/>
  <c r="AH727"/>
  <c r="AG727"/>
  <c r="AF727"/>
  <c r="AE727"/>
  <c r="AD727"/>
  <c r="AC727"/>
  <c r="AB727"/>
  <c r="AA727"/>
  <c r="AI726"/>
  <c r="AH726"/>
  <c r="AG726"/>
  <c r="AF726"/>
  <c r="AE726"/>
  <c r="AD726"/>
  <c r="AC726"/>
  <c r="AB726"/>
  <c r="AA726"/>
  <c r="AI725"/>
  <c r="AH725"/>
  <c r="AG725"/>
  <c r="AF725"/>
  <c r="AE725"/>
  <c r="AD725"/>
  <c r="AC725"/>
  <c r="AB725"/>
  <c r="AA725"/>
  <c r="AI724"/>
  <c r="AH724"/>
  <c r="AG724"/>
  <c r="AF724"/>
  <c r="AE724"/>
  <c r="AD724"/>
  <c r="AC724"/>
  <c r="AB724"/>
  <c r="AA724"/>
  <c r="AI723"/>
  <c r="AH723"/>
  <c r="AG723"/>
  <c r="AF723"/>
  <c r="AE723"/>
  <c r="AD723"/>
  <c r="AC723"/>
  <c r="AB723"/>
  <c r="AA723"/>
  <c r="AI722"/>
  <c r="AH722"/>
  <c r="AG722"/>
  <c r="AF722"/>
  <c r="AE722"/>
  <c r="AD722"/>
  <c r="AC722"/>
  <c r="AB722"/>
  <c r="AA722"/>
  <c r="AI721"/>
  <c r="AH721"/>
  <c r="AG721"/>
  <c r="AF721"/>
  <c r="AE721"/>
  <c r="AD721"/>
  <c r="AC721"/>
  <c r="AB721"/>
  <c r="AA721"/>
  <c r="AI720"/>
  <c r="AH720"/>
  <c r="AG720"/>
  <c r="AF720"/>
  <c r="AE720"/>
  <c r="AD720"/>
  <c r="AC720"/>
  <c r="AB720"/>
  <c r="AA720"/>
  <c r="AI719"/>
  <c r="AH719"/>
  <c r="AG719"/>
  <c r="AF719"/>
  <c r="AE719"/>
  <c r="AD719"/>
  <c r="AC719"/>
  <c r="AB719"/>
  <c r="AA719"/>
  <c r="AI718"/>
  <c r="AH718"/>
  <c r="AG718"/>
  <c r="AF718"/>
  <c r="AE718"/>
  <c r="AD718"/>
  <c r="AC718"/>
  <c r="AB718"/>
  <c r="AA718"/>
  <c r="AI717"/>
  <c r="AH717"/>
  <c r="AG717"/>
  <c r="AF717"/>
  <c r="AE717"/>
  <c r="AD717"/>
  <c r="AC717"/>
  <c r="AB717"/>
  <c r="AA717"/>
  <c r="AI716"/>
  <c r="AH716"/>
  <c r="AG716"/>
  <c r="AF716"/>
  <c r="AE716"/>
  <c r="AD716"/>
  <c r="AC716"/>
  <c r="AB716"/>
  <c r="AA716"/>
  <c r="AI715"/>
  <c r="AH715"/>
  <c r="AG715"/>
  <c r="AF715"/>
  <c r="AE715"/>
  <c r="AD715"/>
  <c r="AC715"/>
  <c r="AB715"/>
  <c r="AA715"/>
  <c r="AI714"/>
  <c r="AH714"/>
  <c r="AG714"/>
  <c r="AF714"/>
  <c r="AE714"/>
  <c r="AD714"/>
  <c r="AC714"/>
  <c r="AB714"/>
  <c r="AA714"/>
  <c r="AI713"/>
  <c r="AH713"/>
  <c r="AG713"/>
  <c r="AF713"/>
  <c r="AE713"/>
  <c r="AD713"/>
  <c r="AC713"/>
  <c r="AB713"/>
  <c r="AA713"/>
  <c r="AI712"/>
  <c r="AH712"/>
  <c r="AG712"/>
  <c r="AF712"/>
  <c r="AE712"/>
  <c r="AD712"/>
  <c r="AC712"/>
  <c r="AB712"/>
  <c r="AA712"/>
  <c r="AI711"/>
  <c r="AH711"/>
  <c r="AG711"/>
  <c r="AF711"/>
  <c r="AE711"/>
  <c r="AD711"/>
  <c r="AC711"/>
  <c r="AB711"/>
  <c r="AA711"/>
  <c r="AI710"/>
  <c r="AH710"/>
  <c r="AG710"/>
  <c r="AF710"/>
  <c r="AE710"/>
  <c r="AD710"/>
  <c r="AC710"/>
  <c r="AB710"/>
  <c r="AA710"/>
  <c r="AI709"/>
  <c r="AH709"/>
  <c r="AG709"/>
  <c r="AF709"/>
  <c r="AE709"/>
  <c r="AD709"/>
  <c r="AC709"/>
  <c r="AB709"/>
  <c r="AA709"/>
  <c r="AI708"/>
  <c r="AH708"/>
  <c r="AG708"/>
  <c r="AF708"/>
  <c r="AE708"/>
  <c r="AD708"/>
  <c r="AC708"/>
  <c r="AB708"/>
  <c r="AA708"/>
  <c r="AI707"/>
  <c r="AH707"/>
  <c r="AG707"/>
  <c r="AF707"/>
  <c r="AE707"/>
  <c r="AD707"/>
  <c r="AC707"/>
  <c r="AB707"/>
  <c r="AA707"/>
  <c r="AI706"/>
  <c r="AH706"/>
  <c r="AG706"/>
  <c r="AF706"/>
  <c r="AE706"/>
  <c r="AD706"/>
  <c r="AC706"/>
  <c r="AB706"/>
  <c r="AA706"/>
  <c r="AI705"/>
  <c r="AH705"/>
  <c r="AG705"/>
  <c r="AF705"/>
  <c r="AE705"/>
  <c r="AD705"/>
  <c r="AC705"/>
  <c r="AB705"/>
  <c r="AA705"/>
  <c r="AI704"/>
  <c r="AH704"/>
  <c r="AG704"/>
  <c r="AF704"/>
  <c r="AE704"/>
  <c r="AD704"/>
  <c r="AC704"/>
  <c r="AB704"/>
  <c r="AA704"/>
  <c r="AI703"/>
  <c r="AH703"/>
  <c r="AG703"/>
  <c r="AF703"/>
  <c r="AE703"/>
  <c r="AD703"/>
  <c r="AC703"/>
  <c r="AB703"/>
  <c r="AA703"/>
  <c r="AI702"/>
  <c r="AH702"/>
  <c r="AG702"/>
  <c r="AF702"/>
  <c r="AE702"/>
  <c r="AD702"/>
  <c r="AC702"/>
  <c r="AB702"/>
  <c r="AA702"/>
  <c r="AI701"/>
  <c r="AH701"/>
  <c r="AG701"/>
  <c r="AF701"/>
  <c r="AE701"/>
  <c r="AD701"/>
  <c r="AC701"/>
  <c r="AB701"/>
  <c r="AA701"/>
  <c r="AI700"/>
  <c r="AH700"/>
  <c r="AG700"/>
  <c r="AF700"/>
  <c r="AE700"/>
  <c r="AD700"/>
  <c r="AC700"/>
  <c r="AB700"/>
  <c r="AA700"/>
  <c r="AI699"/>
  <c r="AH699"/>
  <c r="AG699"/>
  <c r="AF699"/>
  <c r="AE699"/>
  <c r="AD699"/>
  <c r="AC699"/>
  <c r="AB699"/>
  <c r="AA699"/>
  <c r="AI698"/>
  <c r="AH698"/>
  <c r="AG698"/>
  <c r="AF698"/>
  <c r="AE698"/>
  <c r="AD698"/>
  <c r="AC698"/>
  <c r="AB698"/>
  <c r="AA698"/>
  <c r="AI697"/>
  <c r="AH697"/>
  <c r="AG697"/>
  <c r="AF697"/>
  <c r="AE697"/>
  <c r="AD697"/>
  <c r="AC697"/>
  <c r="AB697"/>
  <c r="AA697"/>
  <c r="AI696"/>
  <c r="AH696"/>
  <c r="AG696"/>
  <c r="AF696"/>
  <c r="AE696"/>
  <c r="AD696"/>
  <c r="AC696"/>
  <c r="AB696"/>
  <c r="AA696"/>
  <c r="AI695"/>
  <c r="AH695"/>
  <c r="AG695"/>
  <c r="AF695"/>
  <c r="AE695"/>
  <c r="AD695"/>
  <c r="AC695"/>
  <c r="AB695"/>
  <c r="AA695"/>
  <c r="AI694"/>
  <c r="AH694"/>
  <c r="AG694"/>
  <c r="AF694"/>
  <c r="AE694"/>
  <c r="AD694"/>
  <c r="AC694"/>
  <c r="AB694"/>
  <c r="AA694"/>
  <c r="AI693"/>
  <c r="AH693"/>
  <c r="AG693"/>
  <c r="AF693"/>
  <c r="AE693"/>
  <c r="AD693"/>
  <c r="AC693"/>
  <c r="AB693"/>
  <c r="AA693"/>
  <c r="AI692"/>
  <c r="AH692"/>
  <c r="AG692"/>
  <c r="AF692"/>
  <c r="AE692"/>
  <c r="AD692"/>
  <c r="AC692"/>
  <c r="AB692"/>
  <c r="AA692"/>
  <c r="AI691"/>
  <c r="AH691"/>
  <c r="AG691"/>
  <c r="AF691"/>
  <c r="AE691"/>
  <c r="AD691"/>
  <c r="AC691"/>
  <c r="AB691"/>
  <c r="AA691"/>
  <c r="AI690"/>
  <c r="AH690"/>
  <c r="AG690"/>
  <c r="AF690"/>
  <c r="AE690"/>
  <c r="AD690"/>
  <c r="AC690"/>
  <c r="AB690"/>
  <c r="AA690"/>
  <c r="AI689"/>
  <c r="AH689"/>
  <c r="AG689"/>
  <c r="AF689"/>
  <c r="AE689"/>
  <c r="AD689"/>
  <c r="AC689"/>
  <c r="AB689"/>
  <c r="AA689"/>
  <c r="AI688"/>
  <c r="AH688"/>
  <c r="AG688"/>
  <c r="AF688"/>
  <c r="AE688"/>
  <c r="AD688"/>
  <c r="AC688"/>
  <c r="AB688"/>
  <c r="AA688"/>
  <c r="AI687"/>
  <c r="AH687"/>
  <c r="AG687"/>
  <c r="AF687"/>
  <c r="AE687"/>
  <c r="AD687"/>
  <c r="AC687"/>
  <c r="AB687"/>
  <c r="AA687"/>
  <c r="AI686"/>
  <c r="AH686"/>
  <c r="AG686"/>
  <c r="AF686"/>
  <c r="AE686"/>
  <c r="AD686"/>
  <c r="AC686"/>
  <c r="AB686"/>
  <c r="AA686"/>
  <c r="AI685"/>
  <c r="AH685"/>
  <c r="AG685"/>
  <c r="AF685"/>
  <c r="AE685"/>
  <c r="AD685"/>
  <c r="AC685"/>
  <c r="AB685"/>
  <c r="AA685"/>
  <c r="AI684"/>
  <c r="AH684"/>
  <c r="AG684"/>
  <c r="AF684"/>
  <c r="AE684"/>
  <c r="AD684"/>
  <c r="AC684"/>
  <c r="AB684"/>
  <c r="AA684"/>
  <c r="AI683"/>
  <c r="AH683"/>
  <c r="AG683"/>
  <c r="AF683"/>
  <c r="AE683"/>
  <c r="AD683"/>
  <c r="AC683"/>
  <c r="AB683"/>
  <c r="AA683"/>
  <c r="AI682"/>
  <c r="AH682"/>
  <c r="AG682"/>
  <c r="AF682"/>
  <c r="AE682"/>
  <c r="AD682"/>
  <c r="AC682"/>
  <c r="AB682"/>
  <c r="AA682"/>
  <c r="AI681"/>
  <c r="AH681"/>
  <c r="AG681"/>
  <c r="AF681"/>
  <c r="AE681"/>
  <c r="AD681"/>
  <c r="AC681"/>
  <c r="AB681"/>
  <c r="AA681"/>
  <c r="AI680"/>
  <c r="AH680"/>
  <c r="AG680"/>
  <c r="AF680"/>
  <c r="AE680"/>
  <c r="AD680"/>
  <c r="AC680"/>
  <c r="AB680"/>
  <c r="AA680"/>
  <c r="AI679"/>
  <c r="AH679"/>
  <c r="AG679"/>
  <c r="AF679"/>
  <c r="AE679"/>
  <c r="AD679"/>
  <c r="AC679"/>
  <c r="AB679"/>
  <c r="AA679"/>
  <c r="AI678"/>
  <c r="AH678"/>
  <c r="AG678"/>
  <c r="AF678"/>
  <c r="AE678"/>
  <c r="AD678"/>
  <c r="AC678"/>
  <c r="AB678"/>
  <c r="AA678"/>
  <c r="AI677"/>
  <c r="AH677"/>
  <c r="AG677"/>
  <c r="AF677"/>
  <c r="AE677"/>
  <c r="AD677"/>
  <c r="AC677"/>
  <c r="AB677"/>
  <c r="AA677"/>
  <c r="AI676"/>
  <c r="AH676"/>
  <c r="AG676"/>
  <c r="AF676"/>
  <c r="AE676"/>
  <c r="AD676"/>
  <c r="AC676"/>
  <c r="AB676"/>
  <c r="AA676"/>
  <c r="AI675"/>
  <c r="AH675"/>
  <c r="AG675"/>
  <c r="AF675"/>
  <c r="AE675"/>
  <c r="AD675"/>
  <c r="AC675"/>
  <c r="AB675"/>
  <c r="AA675"/>
  <c r="AI674"/>
  <c r="AH674"/>
  <c r="AG674"/>
  <c r="AF674"/>
  <c r="AE674"/>
  <c r="AD674"/>
  <c r="AC674"/>
  <c r="AB674"/>
  <c r="AA674"/>
  <c r="AI673"/>
  <c r="AH673"/>
  <c r="AG673"/>
  <c r="AF673"/>
  <c r="AE673"/>
  <c r="AD673"/>
  <c r="AC673"/>
  <c r="AB673"/>
  <c r="AA673"/>
  <c r="AI672"/>
  <c r="AH672"/>
  <c r="AG672"/>
  <c r="AF672"/>
  <c r="AE672"/>
  <c r="AD672"/>
  <c r="AC672"/>
  <c r="AB672"/>
  <c r="AA672"/>
  <c r="AI671"/>
  <c r="AH671"/>
  <c r="AG671"/>
  <c r="AF671"/>
  <c r="AE671"/>
  <c r="AD671"/>
  <c r="AC671"/>
  <c r="AB671"/>
  <c r="AA671"/>
  <c r="AI670"/>
  <c r="AH670"/>
  <c r="AG670"/>
  <c r="AF670"/>
  <c r="AE670"/>
  <c r="AD670"/>
  <c r="AC670"/>
  <c r="AB670"/>
  <c r="AA670"/>
  <c r="AI669"/>
  <c r="AH669"/>
  <c r="AG669"/>
  <c r="AF669"/>
  <c r="AE669"/>
  <c r="AD669"/>
  <c r="AC669"/>
  <c r="AB669"/>
  <c r="AA669"/>
  <c r="AI668"/>
  <c r="AH668"/>
  <c r="AG668"/>
  <c r="AF668"/>
  <c r="AE668"/>
  <c r="AD668"/>
  <c r="AC668"/>
  <c r="AB668"/>
  <c r="AA668"/>
  <c r="AI667"/>
  <c r="AH667"/>
  <c r="AG667"/>
  <c r="AF667"/>
  <c r="AE667"/>
  <c r="AD667"/>
  <c r="AC667"/>
  <c r="AB667"/>
  <c r="AA667"/>
  <c r="AI666"/>
  <c r="AH666"/>
  <c r="AG666"/>
  <c r="AF666"/>
  <c r="AE666"/>
  <c r="AD666"/>
  <c r="AC666"/>
  <c r="AB666"/>
  <c r="AA666"/>
  <c r="AI665"/>
  <c r="AH665"/>
  <c r="AG665"/>
  <c r="AF665"/>
  <c r="AE665"/>
  <c r="AD665"/>
  <c r="AC665"/>
  <c r="AB665"/>
  <c r="AA665"/>
  <c r="AI664"/>
  <c r="AH664"/>
  <c r="AG664"/>
  <c r="AF664"/>
  <c r="AE664"/>
  <c r="AD664"/>
  <c r="AC664"/>
  <c r="AB664"/>
  <c r="AA664"/>
  <c r="AI663"/>
  <c r="AH663"/>
  <c r="AG663"/>
  <c r="AF663"/>
  <c r="AE663"/>
  <c r="AD663"/>
  <c r="AC663"/>
  <c r="AB663"/>
  <c r="AA663"/>
  <c r="AI662"/>
  <c r="AH662"/>
  <c r="AG662"/>
  <c r="AF662"/>
  <c r="AE662"/>
  <c r="AD662"/>
  <c r="AC662"/>
  <c r="AB662"/>
  <c r="AA662"/>
  <c r="AI661"/>
  <c r="AH661"/>
  <c r="AG661"/>
  <c r="AF661"/>
  <c r="AE661"/>
  <c r="AD661"/>
  <c r="AC661"/>
  <c r="AB661"/>
  <c r="AA661"/>
  <c r="AI660"/>
  <c r="AH660"/>
  <c r="AG660"/>
  <c r="AF660"/>
  <c r="AE660"/>
  <c r="AD660"/>
  <c r="AC660"/>
  <c r="AB660"/>
  <c r="AA660"/>
  <c r="AI659"/>
  <c r="AH659"/>
  <c r="AG659"/>
  <c r="AF659"/>
  <c r="AE659"/>
  <c r="AD659"/>
  <c r="AC659"/>
  <c r="AB659"/>
  <c r="AA659"/>
  <c r="AI658"/>
  <c r="AH658"/>
  <c r="AG658"/>
  <c r="AF658"/>
  <c r="AE658"/>
  <c r="AD658"/>
  <c r="AC658"/>
  <c r="AB658"/>
  <c r="AA658"/>
  <c r="AI657"/>
  <c r="AH657"/>
  <c r="AG657"/>
  <c r="AF657"/>
  <c r="AE657"/>
  <c r="AD657"/>
  <c r="AC657"/>
  <c r="AB657"/>
  <c r="AA657"/>
  <c r="AI656"/>
  <c r="AH656"/>
  <c r="AG656"/>
  <c r="AF656"/>
  <c r="AE656"/>
  <c r="AD656"/>
  <c r="AC656"/>
  <c r="AB656"/>
  <c r="AA656"/>
  <c r="AI655"/>
  <c r="AH655"/>
  <c r="AG655"/>
  <c r="AF655"/>
  <c r="AE655"/>
  <c r="AD655"/>
  <c r="AC655"/>
  <c r="AB655"/>
  <c r="AA655"/>
  <c r="AI654"/>
  <c r="AH654"/>
  <c r="AG654"/>
  <c r="AF654"/>
  <c r="AE654"/>
  <c r="AD654"/>
  <c r="AC654"/>
  <c r="AB654"/>
  <c r="AA654"/>
  <c r="AI653"/>
  <c r="AH653"/>
  <c r="AG653"/>
  <c r="AF653"/>
  <c r="AE653"/>
  <c r="AD653"/>
  <c r="AC653"/>
  <c r="AB653"/>
  <c r="AA653"/>
  <c r="AI652"/>
  <c r="AH652"/>
  <c r="AG652"/>
  <c r="AF652"/>
  <c r="AE652"/>
  <c r="AD652"/>
  <c r="AC652"/>
  <c r="AB652"/>
  <c r="AA652"/>
  <c r="AI651"/>
  <c r="AH651"/>
  <c r="AG651"/>
  <c r="AF651"/>
  <c r="AE651"/>
  <c r="AD651"/>
  <c r="AC651"/>
  <c r="AB651"/>
  <c r="AA651"/>
  <c r="AI650"/>
  <c r="AH650"/>
  <c r="AG650"/>
  <c r="AF650"/>
  <c r="AE650"/>
  <c r="AD650"/>
  <c r="AC650"/>
  <c r="AB650"/>
  <c r="AA650"/>
  <c r="AI649"/>
  <c r="AH649"/>
  <c r="AG649"/>
  <c r="AF649"/>
  <c r="AE649"/>
  <c r="AD649"/>
  <c r="AC649"/>
  <c r="AB649"/>
  <c r="AA649"/>
  <c r="AI648"/>
  <c r="AH648"/>
  <c r="AG648"/>
  <c r="AF648"/>
  <c r="AE648"/>
  <c r="AD648"/>
  <c r="AC648"/>
  <c r="AB648"/>
  <c r="AA648"/>
  <c r="AI647"/>
  <c r="AH647"/>
  <c r="AG647"/>
  <c r="AF647"/>
  <c r="AE647"/>
  <c r="AD647"/>
  <c r="AC647"/>
  <c r="AB647"/>
  <c r="AA647"/>
  <c r="AI646"/>
  <c r="AH646"/>
  <c r="AG646"/>
  <c r="AF646"/>
  <c r="AE646"/>
  <c r="AD646"/>
  <c r="AC646"/>
  <c r="AB646"/>
  <c r="AA646"/>
  <c r="AI645"/>
  <c r="AH645"/>
  <c r="AG645"/>
  <c r="AF645"/>
  <c r="AE645"/>
  <c r="AD645"/>
  <c r="AC645"/>
  <c r="AB645"/>
  <c r="AA645"/>
  <c r="AI644"/>
  <c r="AH644"/>
  <c r="AG644"/>
  <c r="AF644"/>
  <c r="AE644"/>
  <c r="AD644"/>
  <c r="AC644"/>
  <c r="AB644"/>
  <c r="AA644"/>
  <c r="AI643"/>
  <c r="AH643"/>
  <c r="AG643"/>
  <c r="AF643"/>
  <c r="AE643"/>
  <c r="AD643"/>
  <c r="AC643"/>
  <c r="AB643"/>
  <c r="AA643"/>
  <c r="AI642"/>
  <c r="AH642"/>
  <c r="AG642"/>
  <c r="AF642"/>
  <c r="AE642"/>
  <c r="AD642"/>
  <c r="AC642"/>
  <c r="AB642"/>
  <c r="AA642"/>
  <c r="AI641"/>
  <c r="AH641"/>
  <c r="AG641"/>
  <c r="AF641"/>
  <c r="AE641"/>
  <c r="AD641"/>
  <c r="AC641"/>
  <c r="AB641"/>
  <c r="AA641"/>
  <c r="AI640"/>
  <c r="AH640"/>
  <c r="AG640"/>
  <c r="AF640"/>
  <c r="AE640"/>
  <c r="AD640"/>
  <c r="AC640"/>
  <c r="AB640"/>
  <c r="AA640"/>
  <c r="AI639"/>
  <c r="AH639"/>
  <c r="AG639"/>
  <c r="AF639"/>
  <c r="AE639"/>
  <c r="AD639"/>
  <c r="AC639"/>
  <c r="AB639"/>
  <c r="AA639"/>
  <c r="AI638"/>
  <c r="AH638"/>
  <c r="AG638"/>
  <c r="AF638"/>
  <c r="AE638"/>
  <c r="AD638"/>
  <c r="AC638"/>
  <c r="AB638"/>
  <c r="AA638"/>
  <c r="AI637"/>
  <c r="AH637"/>
  <c r="AG637"/>
  <c r="AF637"/>
  <c r="AE637"/>
  <c r="AD637"/>
  <c r="AC637"/>
  <c r="AB637"/>
  <c r="AA637"/>
  <c r="AI636"/>
  <c r="AH636"/>
  <c r="AG636"/>
  <c r="AF636"/>
  <c r="AE636"/>
  <c r="AD636"/>
  <c r="AC636"/>
  <c r="AB636"/>
  <c r="AA636"/>
  <c r="AI635"/>
  <c r="AH635"/>
  <c r="AG635"/>
  <c r="AF635"/>
  <c r="AE635"/>
  <c r="AD635"/>
  <c r="AC635"/>
  <c r="AB635"/>
  <c r="AA635"/>
  <c r="AI634"/>
  <c r="AH634"/>
  <c r="AG634"/>
  <c r="AF634"/>
  <c r="AE634"/>
  <c r="AD634"/>
  <c r="AC634"/>
  <c r="AB634"/>
  <c r="AA634"/>
  <c r="AI633"/>
  <c r="AH633"/>
  <c r="AG633"/>
  <c r="AF633"/>
  <c r="AE633"/>
  <c r="AD633"/>
  <c r="AC633"/>
  <c r="AB633"/>
  <c r="AA633"/>
  <c r="AI632"/>
  <c r="AH632"/>
  <c r="AG632"/>
  <c r="AF632"/>
  <c r="AE632"/>
  <c r="AD632"/>
  <c r="AC632"/>
  <c r="AB632"/>
  <c r="AA632"/>
  <c r="AI631"/>
  <c r="AH631"/>
  <c r="AG631"/>
  <c r="AF631"/>
  <c r="AE631"/>
  <c r="AD631"/>
  <c r="AC631"/>
  <c r="AB631"/>
  <c r="AA631"/>
  <c r="AI630"/>
  <c r="AH630"/>
  <c r="AG630"/>
  <c r="AF630"/>
  <c r="AE630"/>
  <c r="AD630"/>
  <c r="AC630"/>
  <c r="AB630"/>
  <c r="AA630"/>
  <c r="AI629"/>
  <c r="AH629"/>
  <c r="AG629"/>
  <c r="AF629"/>
  <c r="AE629"/>
  <c r="AD629"/>
  <c r="AC629"/>
  <c r="AB629"/>
  <c r="AA629"/>
  <c r="AI628"/>
  <c r="AH628"/>
  <c r="AG628"/>
  <c r="AF628"/>
  <c r="AE628"/>
  <c r="AD628"/>
  <c r="AC628"/>
  <c r="AB628"/>
  <c r="AA628"/>
  <c r="AI627"/>
  <c r="AH627"/>
  <c r="AG627"/>
  <c r="AF627"/>
  <c r="AE627"/>
  <c r="AD627"/>
  <c r="AC627"/>
  <c r="AB627"/>
  <c r="AA627"/>
  <c r="AI626"/>
  <c r="AH626"/>
  <c r="AG626"/>
  <c r="AF626"/>
  <c r="AE626"/>
  <c r="AD626"/>
  <c r="AC626"/>
  <c r="AB626"/>
  <c r="AA626"/>
  <c r="AI625"/>
  <c r="AH625"/>
  <c r="AG625"/>
  <c r="AF625"/>
  <c r="AE625"/>
  <c r="AD625"/>
  <c r="AC625"/>
  <c r="AB625"/>
  <c r="AA625"/>
  <c r="AI624"/>
  <c r="AH624"/>
  <c r="AG624"/>
  <c r="AF624"/>
  <c r="AE624"/>
  <c r="AD624"/>
  <c r="AC624"/>
  <c r="AB624"/>
  <c r="AA624"/>
  <c r="AI623"/>
  <c r="AH623"/>
  <c r="AG623"/>
  <c r="AF623"/>
  <c r="AE623"/>
  <c r="AD623"/>
  <c r="AC623"/>
  <c r="AB623"/>
  <c r="AA623"/>
  <c r="AI622"/>
  <c r="AH622"/>
  <c r="AG622"/>
  <c r="AF622"/>
  <c r="AE622"/>
  <c r="AD622"/>
  <c r="AC622"/>
  <c r="AB622"/>
  <c r="AA622"/>
  <c r="AI621"/>
  <c r="AH621"/>
  <c r="AG621"/>
  <c r="AF621"/>
  <c r="AE621"/>
  <c r="AD621"/>
  <c r="AC621"/>
  <c r="AB621"/>
  <c r="AA621"/>
  <c r="AI620"/>
  <c r="AH620"/>
  <c r="AG620"/>
  <c r="AF620"/>
  <c r="AE620"/>
  <c r="AD620"/>
  <c r="AC620"/>
  <c r="AB620"/>
  <c r="AA620"/>
  <c r="AI619"/>
  <c r="AH619"/>
  <c r="AG619"/>
  <c r="AF619"/>
  <c r="AE619"/>
  <c r="AD619"/>
  <c r="AC619"/>
  <c r="AB619"/>
  <c r="AA619"/>
  <c r="AI618"/>
  <c r="AH618"/>
  <c r="AG618"/>
  <c r="AF618"/>
  <c r="AE618"/>
  <c r="AD618"/>
  <c r="AC618"/>
  <c r="AB618"/>
  <c r="AA618"/>
  <c r="AI617"/>
  <c r="AH617"/>
  <c r="AG617"/>
  <c r="AF617"/>
  <c r="AE617"/>
  <c r="AD617"/>
  <c r="AC617"/>
  <c r="AB617"/>
  <c r="AA617"/>
  <c r="AI616"/>
  <c r="AH616"/>
  <c r="AG616"/>
  <c r="AF616"/>
  <c r="AE616"/>
  <c r="AD616"/>
  <c r="AC616"/>
  <c r="AB616"/>
  <c r="AA616"/>
  <c r="AI615"/>
  <c r="AH615"/>
  <c r="AG615"/>
  <c r="AF615"/>
  <c r="AE615"/>
  <c r="AD615"/>
  <c r="AC615"/>
  <c r="AB615"/>
  <c r="AA615"/>
  <c r="AI614"/>
  <c r="AH614"/>
  <c r="AG614"/>
  <c r="AF614"/>
  <c r="AE614"/>
  <c r="AD614"/>
  <c r="AC614"/>
  <c r="AB614"/>
  <c r="AA614"/>
  <c r="AI613"/>
  <c r="AH613"/>
  <c r="AG613"/>
  <c r="AF613"/>
  <c r="AE613"/>
  <c r="AD613"/>
  <c r="AC613"/>
  <c r="AB613"/>
  <c r="AA613"/>
  <c r="AI612"/>
  <c r="AH612"/>
  <c r="AG612"/>
  <c r="AF612"/>
  <c r="AE612"/>
  <c r="AD612"/>
  <c r="AC612"/>
  <c r="AB612"/>
  <c r="AA612"/>
  <c r="AI611"/>
  <c r="AH611"/>
  <c r="AG611"/>
  <c r="AF611"/>
  <c r="AE611"/>
  <c r="AD611"/>
  <c r="AC611"/>
  <c r="AB611"/>
  <c r="AA611"/>
  <c r="AI610"/>
  <c r="AH610"/>
  <c r="AG610"/>
  <c r="AF610"/>
  <c r="AE610"/>
  <c r="AD610"/>
  <c r="AC610"/>
  <c r="AB610"/>
  <c r="AA610"/>
  <c r="AI609"/>
  <c r="AH609"/>
  <c r="AG609"/>
  <c r="AF609"/>
  <c r="AE609"/>
  <c r="AD609"/>
  <c r="AC609"/>
  <c r="AB609"/>
  <c r="AA609"/>
  <c r="AI608"/>
  <c r="AH608"/>
  <c r="AG608"/>
  <c r="AF608"/>
  <c r="AE608"/>
  <c r="AD608"/>
  <c r="AC608"/>
  <c r="AB608"/>
  <c r="AA608"/>
  <c r="AI607"/>
  <c r="AH607"/>
  <c r="AG607"/>
  <c r="AF607"/>
  <c r="AE607"/>
  <c r="AD607"/>
  <c r="AC607"/>
  <c r="AB607"/>
  <c r="AA607"/>
  <c r="AI606"/>
  <c r="AH606"/>
  <c r="AG606"/>
  <c r="AF606"/>
  <c r="AE606"/>
  <c r="AD606"/>
  <c r="AC606"/>
  <c r="AB606"/>
  <c r="AA606"/>
  <c r="AI605"/>
  <c r="AH605"/>
  <c r="AG605"/>
  <c r="AF605"/>
  <c r="AE605"/>
  <c r="AD605"/>
  <c r="AC605"/>
  <c r="AB605"/>
  <c r="AA605"/>
  <c r="AI604"/>
  <c r="AH604"/>
  <c r="AG604"/>
  <c r="AF604"/>
  <c r="AE604"/>
  <c r="AD604"/>
  <c r="AC604"/>
  <c r="AB604"/>
  <c r="AA604"/>
  <c r="AI603"/>
  <c r="AH603"/>
  <c r="AG603"/>
  <c r="AF603"/>
  <c r="AE603"/>
  <c r="AD603"/>
  <c r="AC603"/>
  <c r="AB603"/>
  <c r="AA603"/>
  <c r="AI602"/>
  <c r="AH602"/>
  <c r="AG602"/>
  <c r="AF602"/>
  <c r="AE602"/>
  <c r="AD602"/>
  <c r="AC602"/>
  <c r="AB602"/>
  <c r="AA602"/>
  <c r="AI601"/>
  <c r="AH601"/>
  <c r="AG601"/>
  <c r="AF601"/>
  <c r="AE601"/>
  <c r="AD601"/>
  <c r="AC601"/>
  <c r="AB601"/>
  <c r="AA601"/>
  <c r="AI600"/>
  <c r="AH600"/>
  <c r="AG600"/>
  <c r="AF600"/>
  <c r="AE600"/>
  <c r="AD600"/>
  <c r="AC600"/>
  <c r="AB600"/>
  <c r="AA600"/>
  <c r="AI599"/>
  <c r="AH599"/>
  <c r="AG599"/>
  <c r="AF599"/>
  <c r="AE599"/>
  <c r="AD599"/>
  <c r="AC599"/>
  <c r="AB599"/>
  <c r="AA599"/>
  <c r="AI598"/>
  <c r="AH598"/>
  <c r="AG598"/>
  <c r="AF598"/>
  <c r="AE598"/>
  <c r="AD598"/>
  <c r="AC598"/>
  <c r="AB598"/>
  <c r="AA598"/>
  <c r="AI597"/>
  <c r="AH597"/>
  <c r="AG597"/>
  <c r="AF597"/>
  <c r="AE597"/>
  <c r="AD597"/>
  <c r="AC597"/>
  <c r="AB597"/>
  <c r="AA597"/>
  <c r="AI596"/>
  <c r="AH596"/>
  <c r="AG596"/>
  <c r="AF596"/>
  <c r="AE596"/>
  <c r="AD596"/>
  <c r="AC596"/>
  <c r="AB596"/>
  <c r="AA596"/>
  <c r="AI595"/>
  <c r="AH595"/>
  <c r="AG595"/>
  <c r="AF595"/>
  <c r="AE595"/>
  <c r="AD595"/>
  <c r="AC595"/>
  <c r="AB595"/>
  <c r="AA595"/>
  <c r="AI594"/>
  <c r="AH594"/>
  <c r="AG594"/>
  <c r="AF594"/>
  <c r="AE594"/>
  <c r="AD594"/>
  <c r="AC594"/>
  <c r="AB594"/>
  <c r="AA594"/>
  <c r="AI593"/>
  <c r="AH593"/>
  <c r="AG593"/>
  <c r="AF593"/>
  <c r="AE593"/>
  <c r="AD593"/>
  <c r="AC593"/>
  <c r="AB593"/>
  <c r="AA593"/>
  <c r="AI592"/>
  <c r="AH592"/>
  <c r="AG592"/>
  <c r="AF592"/>
  <c r="AE592"/>
  <c r="AD592"/>
  <c r="AC592"/>
  <c r="AB592"/>
  <c r="AA592"/>
  <c r="AI591"/>
  <c r="AH591"/>
  <c r="AG591"/>
  <c r="AF591"/>
  <c r="AE591"/>
  <c r="AD591"/>
  <c r="AC591"/>
  <c r="AB591"/>
  <c r="AA591"/>
  <c r="AI590"/>
  <c r="AH590"/>
  <c r="AG590"/>
  <c r="AF590"/>
  <c r="AE590"/>
  <c r="AD590"/>
  <c r="AC590"/>
  <c r="AB590"/>
  <c r="AA590"/>
  <c r="AI589"/>
  <c r="AH589"/>
  <c r="AG589"/>
  <c r="AF589"/>
  <c r="AE589"/>
  <c r="AD589"/>
  <c r="AC589"/>
  <c r="AB589"/>
  <c r="AA589"/>
  <c r="AI588"/>
  <c r="AH588"/>
  <c r="AG588"/>
  <c r="AF588"/>
  <c r="AE588"/>
  <c r="AD588"/>
  <c r="AC588"/>
  <c r="AB588"/>
  <c r="AA588"/>
  <c r="AI587"/>
  <c r="AH587"/>
  <c r="AG587"/>
  <c r="AF587"/>
  <c r="AE587"/>
  <c r="AD587"/>
  <c r="AC587"/>
  <c r="AB587"/>
  <c r="AA587"/>
  <c r="AI586"/>
  <c r="AH586"/>
  <c r="AG586"/>
  <c r="AF586"/>
  <c r="AE586"/>
  <c r="AD586"/>
  <c r="AC586"/>
  <c r="AB586"/>
  <c r="AA586"/>
  <c r="AI585"/>
  <c r="AH585"/>
  <c r="AG585"/>
  <c r="AF585"/>
  <c r="AE585"/>
  <c r="AD585"/>
  <c r="AC585"/>
  <c r="AB585"/>
  <c r="AA585"/>
  <c r="AI584"/>
  <c r="AH584"/>
  <c r="AG584"/>
  <c r="AF584"/>
  <c r="AE584"/>
  <c r="AD584"/>
  <c r="AC584"/>
  <c r="AB584"/>
  <c r="AA584"/>
  <c r="AI583"/>
  <c r="AH583"/>
  <c r="AG583"/>
  <c r="AF583"/>
  <c r="AE583"/>
  <c r="AD583"/>
  <c r="AC583"/>
  <c r="AB583"/>
  <c r="AA583"/>
  <c r="AI582"/>
  <c r="AH582"/>
  <c r="AG582"/>
  <c r="AF582"/>
  <c r="AE582"/>
  <c r="AD582"/>
  <c r="AC582"/>
  <c r="AB582"/>
  <c r="AA582"/>
  <c r="AI581"/>
  <c r="AH581"/>
  <c r="AG581"/>
  <c r="AF581"/>
  <c r="AE581"/>
  <c r="AD581"/>
  <c r="AC581"/>
  <c r="AB581"/>
  <c r="AA581"/>
  <c r="AI580"/>
  <c r="AH580"/>
  <c r="AG580"/>
  <c r="AF580"/>
  <c r="AE580"/>
  <c r="AD580"/>
  <c r="AC580"/>
  <c r="AB580"/>
  <c r="AA580"/>
  <c r="AI579"/>
  <c r="AH579"/>
  <c r="AG579"/>
  <c r="AF579"/>
  <c r="AE579"/>
  <c r="AD579"/>
  <c r="AC579"/>
  <c r="AB579"/>
  <c r="AA579"/>
  <c r="AI578"/>
  <c r="AH578"/>
  <c r="AG578"/>
  <c r="AF578"/>
  <c r="AE578"/>
  <c r="AD578"/>
  <c r="AC578"/>
  <c r="AB578"/>
  <c r="AA578"/>
  <c r="AI577"/>
  <c r="AH577"/>
  <c r="AG577"/>
  <c r="AF577"/>
  <c r="AE577"/>
  <c r="AD577"/>
  <c r="AC577"/>
  <c r="AB577"/>
  <c r="AA577"/>
  <c r="AI576"/>
  <c r="AH576"/>
  <c r="AG576"/>
  <c r="AF576"/>
  <c r="AE576"/>
  <c r="AD576"/>
  <c r="AC576"/>
  <c r="AB576"/>
  <c r="AA576"/>
  <c r="AI575"/>
  <c r="AH575"/>
  <c r="AG575"/>
  <c r="AF575"/>
  <c r="AE575"/>
  <c r="AD575"/>
  <c r="AC575"/>
  <c r="AB575"/>
  <c r="AA575"/>
  <c r="AI574"/>
  <c r="AH574"/>
  <c r="AG574"/>
  <c r="AF574"/>
  <c r="AE574"/>
  <c r="AD574"/>
  <c r="AC574"/>
  <c r="AB574"/>
  <c r="AA574"/>
  <c r="AI573"/>
  <c r="AH573"/>
  <c r="AG573"/>
  <c r="AF573"/>
  <c r="AE573"/>
  <c r="AD573"/>
  <c r="AC573"/>
  <c r="AB573"/>
  <c r="AA573"/>
  <c r="AI572"/>
  <c r="AH572"/>
  <c r="AG572"/>
  <c r="AF572"/>
  <c r="AE572"/>
  <c r="AD572"/>
  <c r="AC572"/>
  <c r="AB572"/>
  <c r="AA572"/>
  <c r="AI571"/>
  <c r="AH571"/>
  <c r="AG571"/>
  <c r="AF571"/>
  <c r="AE571"/>
  <c r="AD571"/>
  <c r="AC571"/>
  <c r="AB571"/>
  <c r="AA571"/>
  <c r="AI570"/>
  <c r="AH570"/>
  <c r="AG570"/>
  <c r="AF570"/>
  <c r="AE570"/>
  <c r="AD570"/>
  <c r="AC570"/>
  <c r="AB570"/>
  <c r="AA570"/>
  <c r="AI569"/>
  <c r="AH569"/>
  <c r="AG569"/>
  <c r="AF569"/>
  <c r="AE569"/>
  <c r="AD569"/>
  <c r="AC569"/>
  <c r="AB569"/>
  <c r="AA569"/>
  <c r="AI568"/>
  <c r="AH568"/>
  <c r="AG568"/>
  <c r="AF568"/>
  <c r="AE568"/>
  <c r="AD568"/>
  <c r="AC568"/>
  <c r="AB568"/>
  <c r="AA568"/>
  <c r="AI567"/>
  <c r="AH567"/>
  <c r="AG567"/>
  <c r="AF567"/>
  <c r="AE567"/>
  <c r="AD567"/>
  <c r="AC567"/>
  <c r="AB567"/>
  <c r="AA567"/>
  <c r="AI566"/>
  <c r="AH566"/>
  <c r="AG566"/>
  <c r="AF566"/>
  <c r="AE566"/>
  <c r="AD566"/>
  <c r="AC566"/>
  <c r="AB566"/>
  <c r="AA566"/>
  <c r="AI565"/>
  <c r="AH565"/>
  <c r="AG565"/>
  <c r="AF565"/>
  <c r="AE565"/>
  <c r="AD565"/>
  <c r="AC565"/>
  <c r="AB565"/>
  <c r="AA565"/>
  <c r="AI564"/>
  <c r="AH564"/>
  <c r="AG564"/>
  <c r="AF564"/>
  <c r="AE564"/>
  <c r="AD564"/>
  <c r="AC564"/>
  <c r="AB564"/>
  <c r="AA564"/>
  <c r="AI563"/>
  <c r="AH563"/>
  <c r="AG563"/>
  <c r="AF563"/>
  <c r="AE563"/>
  <c r="AD563"/>
  <c r="AC563"/>
  <c r="AB563"/>
  <c r="AA563"/>
  <c r="AI562"/>
  <c r="AH562"/>
  <c r="AG562"/>
  <c r="AF562"/>
  <c r="AE562"/>
  <c r="AD562"/>
  <c r="AC562"/>
  <c r="AB562"/>
  <c r="AA562"/>
  <c r="AI561"/>
  <c r="AH561"/>
  <c r="AG561"/>
  <c r="AF561"/>
  <c r="AE561"/>
  <c r="AD561"/>
  <c r="AC561"/>
  <c r="AB561"/>
  <c r="AA561"/>
  <c r="AI560"/>
  <c r="AH560"/>
  <c r="AG560"/>
  <c r="AF560"/>
  <c r="AE560"/>
  <c r="AD560"/>
  <c r="AC560"/>
  <c r="AB560"/>
  <c r="AA560"/>
  <c r="AI559"/>
  <c r="AH559"/>
  <c r="AG559"/>
  <c r="AF559"/>
  <c r="AE559"/>
  <c r="AD559"/>
  <c r="AC559"/>
  <c r="AB559"/>
  <c r="AA559"/>
  <c r="AI558"/>
  <c r="AH558"/>
  <c r="AG558"/>
  <c r="AF558"/>
  <c r="AE558"/>
  <c r="AD558"/>
  <c r="AC558"/>
  <c r="AB558"/>
  <c r="AA558"/>
  <c r="AI557"/>
  <c r="AH557"/>
  <c r="AG557"/>
  <c r="AF557"/>
  <c r="AE557"/>
  <c r="AD557"/>
  <c r="AC557"/>
  <c r="AB557"/>
  <c r="AA557"/>
  <c r="AI556"/>
  <c r="AH556"/>
  <c r="AG556"/>
  <c r="AF556"/>
  <c r="AE556"/>
  <c r="AD556"/>
  <c r="AC556"/>
  <c r="AB556"/>
  <c r="AA556"/>
  <c r="AI555"/>
  <c r="AH555"/>
  <c r="AG555"/>
  <c r="AF555"/>
  <c r="AE555"/>
  <c r="AD555"/>
  <c r="AC555"/>
  <c r="AB555"/>
  <c r="AA555"/>
  <c r="AI554"/>
  <c r="AH554"/>
  <c r="AG554"/>
  <c r="AF554"/>
  <c r="AE554"/>
  <c r="AD554"/>
  <c r="AC554"/>
  <c r="AB554"/>
  <c r="AA554"/>
  <c r="AI553"/>
  <c r="AH553"/>
  <c r="AG553"/>
  <c r="AF553"/>
  <c r="AE553"/>
  <c r="AD553"/>
  <c r="AC553"/>
  <c r="AB553"/>
  <c r="AA553"/>
  <c r="AI552"/>
  <c r="AH552"/>
  <c r="AG552"/>
  <c r="AF552"/>
  <c r="AE552"/>
  <c r="AD552"/>
  <c r="AC552"/>
  <c r="AB552"/>
  <c r="AA552"/>
  <c r="AI551"/>
  <c r="AH551"/>
  <c r="AG551"/>
  <c r="AF551"/>
  <c r="AE551"/>
  <c r="AD551"/>
  <c r="AC551"/>
  <c r="AB551"/>
  <c r="AA551"/>
  <c r="AI550"/>
  <c r="AH550"/>
  <c r="AG550"/>
  <c r="AF550"/>
  <c r="AE550"/>
  <c r="AD550"/>
  <c r="AC550"/>
  <c r="AB550"/>
  <c r="AA550"/>
  <c r="AI549"/>
  <c r="AH549"/>
  <c r="AG549"/>
  <c r="AF549"/>
  <c r="AE549"/>
  <c r="AD549"/>
  <c r="AC549"/>
  <c r="AB549"/>
  <c r="AA549"/>
  <c r="AI548"/>
  <c r="AH548"/>
  <c r="AG548"/>
  <c r="AF548"/>
  <c r="AE548"/>
  <c r="AD548"/>
  <c r="AC548"/>
  <c r="AB548"/>
  <c r="AA548"/>
  <c r="AI547"/>
  <c r="AH547"/>
  <c r="AG547"/>
  <c r="AF547"/>
  <c r="AE547"/>
  <c r="AD547"/>
  <c r="AC547"/>
  <c r="AB547"/>
  <c r="AA547"/>
  <c r="AI546"/>
  <c r="AH546"/>
  <c r="AG546"/>
  <c r="AF546"/>
  <c r="AE546"/>
  <c r="AD546"/>
  <c r="AC546"/>
  <c r="AB546"/>
  <c r="AA546"/>
  <c r="AI545"/>
  <c r="AH545"/>
  <c r="AG545"/>
  <c r="AF545"/>
  <c r="AE545"/>
  <c r="AD545"/>
  <c r="AC545"/>
  <c r="AB545"/>
  <c r="AA545"/>
  <c r="AI544"/>
  <c r="AH544"/>
  <c r="AG544"/>
  <c r="AF544"/>
  <c r="AE544"/>
  <c r="AD544"/>
  <c r="AC544"/>
  <c r="AB544"/>
  <c r="AA544"/>
  <c r="AI543"/>
  <c r="AH543"/>
  <c r="AG543"/>
  <c r="AF543"/>
  <c r="AE543"/>
  <c r="AD543"/>
  <c r="AC543"/>
  <c r="AB543"/>
  <c r="AA543"/>
  <c r="AI542"/>
  <c r="AH542"/>
  <c r="AG542"/>
  <c r="AF542"/>
  <c r="AE542"/>
  <c r="AD542"/>
  <c r="AC542"/>
  <c r="AB542"/>
  <c r="AA542"/>
  <c r="AI541"/>
  <c r="AH541"/>
  <c r="AG541"/>
  <c r="AF541"/>
  <c r="AE541"/>
  <c r="AD541"/>
  <c r="AC541"/>
  <c r="AB541"/>
  <c r="AA541"/>
  <c r="AI540"/>
  <c r="AH540"/>
  <c r="AG540"/>
  <c r="AF540"/>
  <c r="AE540"/>
  <c r="AD540"/>
  <c r="AC540"/>
  <c r="AB540"/>
  <c r="AA540"/>
  <c r="AI539"/>
  <c r="AH539"/>
  <c r="AG539"/>
  <c r="AF539"/>
  <c r="AE539"/>
  <c r="AD539"/>
  <c r="AC539"/>
  <c r="AB539"/>
  <c r="AA539"/>
  <c r="AI538"/>
  <c r="AH538"/>
  <c r="AG538"/>
  <c r="AF538"/>
  <c r="AE538"/>
  <c r="AD538"/>
  <c r="AC538"/>
  <c r="AB538"/>
  <c r="AA538"/>
  <c r="AI537"/>
  <c r="AH537"/>
  <c r="AG537"/>
  <c r="AF537"/>
  <c r="AE537"/>
  <c r="AD537"/>
  <c r="AC537"/>
  <c r="AB537"/>
  <c r="AA537"/>
  <c r="AI536"/>
  <c r="AH536"/>
  <c r="AG536"/>
  <c r="AF536"/>
  <c r="AE536"/>
  <c r="AD536"/>
  <c r="AC536"/>
  <c r="AB536"/>
  <c r="AA536"/>
  <c r="AI535"/>
  <c r="AH535"/>
  <c r="AG535"/>
  <c r="AF535"/>
  <c r="AE535"/>
  <c r="AD535"/>
  <c r="AC535"/>
  <c r="AB535"/>
  <c r="AA535"/>
  <c r="AI534"/>
  <c r="AH534"/>
  <c r="AG534"/>
  <c r="AF534"/>
  <c r="AE534"/>
  <c r="AD534"/>
  <c r="AC534"/>
  <c r="AB534"/>
  <c r="AA534"/>
  <c r="AI533"/>
  <c r="AH533"/>
  <c r="AG533"/>
  <c r="AF533"/>
  <c r="AE533"/>
  <c r="AD533"/>
  <c r="AC533"/>
  <c r="AB533"/>
  <c r="AA533"/>
  <c r="AI532"/>
  <c r="AH532"/>
  <c r="AG532"/>
  <c r="AF532"/>
  <c r="AE532"/>
  <c r="AD532"/>
  <c r="AC532"/>
  <c r="AB532"/>
  <c r="AA532"/>
  <c r="AI531"/>
  <c r="AH531"/>
  <c r="AG531"/>
  <c r="AF531"/>
  <c r="AE531"/>
  <c r="AD531"/>
  <c r="AC531"/>
  <c r="AB531"/>
  <c r="AA531"/>
  <c r="AI530"/>
  <c r="AH530"/>
  <c r="AG530"/>
  <c r="AF530"/>
  <c r="AE530"/>
  <c r="AD530"/>
  <c r="AC530"/>
  <c r="AB530"/>
  <c r="AA530"/>
  <c r="AI529"/>
  <c r="AH529"/>
  <c r="AG529"/>
  <c r="AF529"/>
  <c r="AE529"/>
  <c r="AD529"/>
  <c r="AC529"/>
  <c r="AB529"/>
  <c r="AA529"/>
  <c r="AI528"/>
  <c r="AH528"/>
  <c r="AG528"/>
  <c r="AF528"/>
  <c r="AE528"/>
  <c r="AD528"/>
  <c r="AC528"/>
  <c r="AB528"/>
  <c r="AA528"/>
  <c r="AI527"/>
  <c r="AH527"/>
  <c r="AG527"/>
  <c r="AF527"/>
  <c r="AE527"/>
  <c r="AD527"/>
  <c r="AC527"/>
  <c r="AB527"/>
  <c r="AA527"/>
  <c r="AI526"/>
  <c r="AH526"/>
  <c r="AG526"/>
  <c r="AF526"/>
  <c r="AE526"/>
  <c r="AD526"/>
  <c r="AC526"/>
  <c r="AB526"/>
  <c r="AA526"/>
  <c r="AI525"/>
  <c r="AH525"/>
  <c r="AG525"/>
  <c r="AF525"/>
  <c r="AE525"/>
  <c r="AD525"/>
  <c r="AC525"/>
  <c r="AB525"/>
  <c r="AA525"/>
  <c r="AI524"/>
  <c r="AH524"/>
  <c r="AG524"/>
  <c r="AF524"/>
  <c r="AE524"/>
  <c r="AD524"/>
  <c r="AC524"/>
  <c r="AB524"/>
  <c r="AA524"/>
  <c r="AI523"/>
  <c r="AH523"/>
  <c r="AG523"/>
  <c r="AF523"/>
  <c r="AE523"/>
  <c r="AD523"/>
  <c r="AC523"/>
  <c r="AB523"/>
  <c r="AA523"/>
  <c r="AI522"/>
  <c r="AH522"/>
  <c r="AG522"/>
  <c r="AF522"/>
  <c r="AE522"/>
  <c r="AD522"/>
  <c r="AC522"/>
  <c r="AB522"/>
  <c r="AA522"/>
  <c r="AI521"/>
  <c r="AH521"/>
  <c r="AG521"/>
  <c r="AF521"/>
  <c r="AE521"/>
  <c r="AD521"/>
  <c r="AC521"/>
  <c r="AB521"/>
  <c r="AA521"/>
  <c r="AI520"/>
  <c r="AH520"/>
  <c r="AG520"/>
  <c r="AF520"/>
  <c r="AE520"/>
  <c r="AD520"/>
  <c r="AC520"/>
  <c r="AB520"/>
  <c r="AA520"/>
  <c r="AI519"/>
  <c r="AH519"/>
  <c r="AG519"/>
  <c r="AF519"/>
  <c r="AE519"/>
  <c r="AD519"/>
  <c r="AC519"/>
  <c r="AB519"/>
  <c r="AA519"/>
  <c r="AI518"/>
  <c r="AH518"/>
  <c r="AG518"/>
  <c r="AF518"/>
  <c r="AE518"/>
  <c r="AD518"/>
  <c r="AC518"/>
  <c r="AB518"/>
  <c r="AA518"/>
  <c r="AI517"/>
  <c r="AH517"/>
  <c r="AG517"/>
  <c r="AF517"/>
  <c r="AE517"/>
  <c r="AD517"/>
  <c r="AC517"/>
  <c r="AB517"/>
  <c r="AA517"/>
  <c r="AI516"/>
  <c r="AH516"/>
  <c r="AG516"/>
  <c r="AF516"/>
  <c r="AE516"/>
  <c r="AD516"/>
  <c r="AC516"/>
  <c r="AB516"/>
  <c r="AA516"/>
  <c r="AI515"/>
  <c r="AH515"/>
  <c r="AG515"/>
  <c r="AF515"/>
  <c r="AE515"/>
  <c r="AD515"/>
  <c r="AC515"/>
  <c r="AB515"/>
  <c r="AA515"/>
  <c r="AI514"/>
  <c r="AH514"/>
  <c r="AG514"/>
  <c r="AF514"/>
  <c r="AE514"/>
  <c r="AD514"/>
  <c r="AC514"/>
  <c r="AB514"/>
  <c r="AA514"/>
  <c r="AI513"/>
  <c r="AH513"/>
  <c r="AG513"/>
  <c r="AF513"/>
  <c r="AE513"/>
  <c r="AD513"/>
  <c r="AC513"/>
  <c r="AB513"/>
  <c r="AA513"/>
  <c r="AI512"/>
  <c r="AH512"/>
  <c r="AG512"/>
  <c r="AF512"/>
  <c r="AE512"/>
  <c r="AD512"/>
  <c r="AC512"/>
  <c r="AB512"/>
  <c r="AA512"/>
  <c r="AI511"/>
  <c r="AH511"/>
  <c r="AG511"/>
  <c r="AF511"/>
  <c r="AE511"/>
  <c r="AD511"/>
  <c r="AC511"/>
  <c r="AB511"/>
  <c r="AA511"/>
  <c r="AI510"/>
  <c r="AH510"/>
  <c r="AG510"/>
  <c r="AF510"/>
  <c r="AE510"/>
  <c r="AD510"/>
  <c r="AC510"/>
  <c r="AB510"/>
  <c r="AA510"/>
  <c r="AI509"/>
  <c r="AH509"/>
  <c r="AG509"/>
  <c r="AF509"/>
  <c r="AE509"/>
  <c r="AD509"/>
  <c r="AC509"/>
  <c r="AB509"/>
  <c r="AA509"/>
  <c r="AI508"/>
  <c r="AH508"/>
  <c r="AG508"/>
  <c r="AF508"/>
  <c r="AE508"/>
  <c r="AD508"/>
  <c r="AC508"/>
  <c r="AB508"/>
  <c r="AA508"/>
  <c r="AI507"/>
  <c r="AH507"/>
  <c r="AG507"/>
  <c r="AF507"/>
  <c r="AE507"/>
  <c r="AD507"/>
  <c r="AC507"/>
  <c r="AB507"/>
  <c r="AA507"/>
  <c r="AI506"/>
  <c r="AH506"/>
  <c r="AG506"/>
  <c r="AF506"/>
  <c r="AE506"/>
  <c r="AD506"/>
  <c r="AC506"/>
  <c r="AB506"/>
  <c r="AA506"/>
  <c r="AI505"/>
  <c r="AH505"/>
  <c r="AG505"/>
  <c r="AF505"/>
  <c r="AE505"/>
  <c r="AD505"/>
  <c r="AC505"/>
  <c r="AB505"/>
  <c r="AA505"/>
  <c r="AI504"/>
  <c r="AH504"/>
  <c r="AG504"/>
  <c r="AF504"/>
  <c r="AE504"/>
  <c r="AD504"/>
  <c r="AC504"/>
  <c r="AB504"/>
  <c r="AA504"/>
  <c r="AI503"/>
  <c r="AH503"/>
  <c r="AG503"/>
  <c r="AF503"/>
  <c r="AE503"/>
  <c r="AD503"/>
  <c r="AC503"/>
  <c r="AB503"/>
  <c r="AA503"/>
  <c r="AI502"/>
  <c r="AH502"/>
  <c r="AG502"/>
  <c r="AF502"/>
  <c r="AE502"/>
  <c r="AD502"/>
  <c r="AC502"/>
  <c r="AB502"/>
  <c r="AA502"/>
  <c r="AI501"/>
  <c r="AH501"/>
  <c r="AG501"/>
  <c r="AF501"/>
  <c r="AE501"/>
  <c r="AD501"/>
  <c r="AC501"/>
  <c r="AB501"/>
  <c r="AA501"/>
  <c r="AI500"/>
  <c r="AH500"/>
  <c r="AG500"/>
  <c r="AF500"/>
  <c r="AE500"/>
  <c r="AD500"/>
  <c r="AC500"/>
  <c r="AB500"/>
  <c r="AA500"/>
  <c r="AI499"/>
  <c r="AH499"/>
  <c r="AG499"/>
  <c r="AF499"/>
  <c r="AE499"/>
  <c r="AD499"/>
  <c r="AC499"/>
  <c r="AB499"/>
  <c r="AA499"/>
  <c r="AI498"/>
  <c r="AH498"/>
  <c r="AG498"/>
  <c r="AF498"/>
  <c r="AE498"/>
  <c r="AD498"/>
  <c r="AC498"/>
  <c r="AB498"/>
  <c r="AA498"/>
  <c r="AI497"/>
  <c r="AH497"/>
  <c r="AG497"/>
  <c r="AF497"/>
  <c r="AE497"/>
  <c r="AD497"/>
  <c r="AC497"/>
  <c r="AB497"/>
  <c r="AA497"/>
  <c r="AI496"/>
  <c r="AH496"/>
  <c r="AG496"/>
  <c r="AF496"/>
  <c r="AE496"/>
  <c r="AD496"/>
  <c r="AC496"/>
  <c r="AB496"/>
  <c r="AA496"/>
  <c r="AI495"/>
  <c r="AH495"/>
  <c r="AG495"/>
  <c r="AF495"/>
  <c r="AE495"/>
  <c r="AD495"/>
  <c r="AC495"/>
  <c r="AB495"/>
  <c r="AA495"/>
  <c r="AI494"/>
  <c r="AH494"/>
  <c r="AG494"/>
  <c r="AF494"/>
  <c r="AE494"/>
  <c r="AD494"/>
  <c r="AC494"/>
  <c r="AB494"/>
  <c r="AA494"/>
  <c r="AI493"/>
  <c r="AH493"/>
  <c r="AG493"/>
  <c r="AF493"/>
  <c r="AE493"/>
  <c r="AD493"/>
  <c r="AC493"/>
  <c r="AB493"/>
  <c r="AA493"/>
  <c r="AI492"/>
  <c r="AH492"/>
  <c r="AG492"/>
  <c r="AF492"/>
  <c r="AE492"/>
  <c r="AD492"/>
  <c r="AC492"/>
  <c r="AB492"/>
  <c r="AA492"/>
  <c r="AI491"/>
  <c r="AH491"/>
  <c r="AG491"/>
  <c r="AF491"/>
  <c r="AE491"/>
  <c r="AD491"/>
  <c r="AC491"/>
  <c r="AB491"/>
  <c r="AA491"/>
  <c r="AI490"/>
  <c r="AH490"/>
  <c r="AG490"/>
  <c r="AF490"/>
  <c r="AE490"/>
  <c r="AD490"/>
  <c r="AC490"/>
  <c r="AB490"/>
  <c r="AA490"/>
  <c r="AI489"/>
  <c r="AH489"/>
  <c r="AG489"/>
  <c r="AF489"/>
  <c r="AE489"/>
  <c r="AD489"/>
  <c r="AC489"/>
  <c r="AB489"/>
  <c r="AA489"/>
  <c r="AI488"/>
  <c r="AH488"/>
  <c r="AG488"/>
  <c r="AF488"/>
  <c r="AE488"/>
  <c r="AD488"/>
  <c r="AC488"/>
  <c r="AB488"/>
  <c r="AA488"/>
  <c r="AI487"/>
  <c r="AH487"/>
  <c r="AG487"/>
  <c r="AF487"/>
  <c r="AE487"/>
  <c r="AD487"/>
  <c r="AC487"/>
  <c r="AB487"/>
  <c r="AA487"/>
  <c r="AI486"/>
  <c r="AH486"/>
  <c r="AG486"/>
  <c r="AF486"/>
  <c r="AE486"/>
  <c r="AD486"/>
  <c r="AC486"/>
  <c r="AB486"/>
  <c r="AA486"/>
  <c r="AI485"/>
  <c r="AH485"/>
  <c r="AG485"/>
  <c r="AF485"/>
  <c r="AE485"/>
  <c r="AD485"/>
  <c r="AC485"/>
  <c r="AB485"/>
  <c r="AA485"/>
  <c r="AI484"/>
  <c r="AH484"/>
  <c r="AG484"/>
  <c r="AF484"/>
  <c r="AE484"/>
  <c r="AD484"/>
  <c r="AC484"/>
  <c r="AB484"/>
  <c r="AA484"/>
  <c r="AI483"/>
  <c r="AH483"/>
  <c r="AG483"/>
  <c r="AF483"/>
  <c r="AE483"/>
  <c r="AD483"/>
  <c r="AC483"/>
  <c r="AB483"/>
  <c r="AA483"/>
  <c r="AI482"/>
  <c r="AH482"/>
  <c r="AG482"/>
  <c r="AF482"/>
  <c r="AE482"/>
  <c r="AD482"/>
  <c r="AC482"/>
  <c r="AB482"/>
  <c r="AA482"/>
  <c r="AI481"/>
  <c r="AH481"/>
  <c r="AG481"/>
  <c r="AF481"/>
  <c r="AE481"/>
  <c r="AD481"/>
  <c r="AC481"/>
  <c r="AB481"/>
  <c r="AA481"/>
  <c r="AI480"/>
  <c r="AH480"/>
  <c r="AG480"/>
  <c r="AF480"/>
  <c r="AE480"/>
  <c r="AD480"/>
  <c r="AC480"/>
  <c r="AB480"/>
  <c r="AA480"/>
  <c r="AI479"/>
  <c r="AH479"/>
  <c r="AG479"/>
  <c r="AF479"/>
  <c r="AE479"/>
  <c r="AD479"/>
  <c r="AC479"/>
  <c r="AB479"/>
  <c r="AA479"/>
  <c r="AI478"/>
  <c r="AH478"/>
  <c r="AG478"/>
  <c r="AF478"/>
  <c r="AE478"/>
  <c r="AD478"/>
  <c r="AC478"/>
  <c r="AB478"/>
  <c r="AA478"/>
  <c r="AI477"/>
  <c r="AH477"/>
  <c r="AG477"/>
  <c r="AF477"/>
  <c r="AE477"/>
  <c r="AD477"/>
  <c r="AC477"/>
  <c r="AB477"/>
  <c r="AA477"/>
  <c r="AI476"/>
  <c r="AH476"/>
  <c r="AG476"/>
  <c r="AF476"/>
  <c r="AE476"/>
  <c r="AD476"/>
  <c r="AC476"/>
  <c r="AB476"/>
  <c r="AA476"/>
  <c r="AI475"/>
  <c r="AH475"/>
  <c r="AG475"/>
  <c r="AF475"/>
  <c r="AE475"/>
  <c r="AD475"/>
  <c r="AC475"/>
  <c r="AB475"/>
  <c r="AA475"/>
  <c r="AI474"/>
  <c r="AH474"/>
  <c r="AG474"/>
  <c r="AF474"/>
  <c r="AE474"/>
  <c r="AD474"/>
  <c r="AC474"/>
  <c r="AB474"/>
  <c r="AA474"/>
  <c r="AI473"/>
  <c r="AH473"/>
  <c r="AG473"/>
  <c r="AF473"/>
  <c r="AE473"/>
  <c r="AD473"/>
  <c r="AC473"/>
  <c r="AB473"/>
  <c r="AA473"/>
  <c r="AI472"/>
  <c r="AH472"/>
  <c r="AG472"/>
  <c r="AF472"/>
  <c r="AE472"/>
  <c r="AD472"/>
  <c r="AC472"/>
  <c r="AB472"/>
  <c r="AA472"/>
  <c r="AI471"/>
  <c r="AH471"/>
  <c r="AG471"/>
  <c r="AF471"/>
  <c r="AE471"/>
  <c r="AD471"/>
  <c r="AC471"/>
  <c r="AB471"/>
  <c r="AA471"/>
  <c r="AI470"/>
  <c r="AH470"/>
  <c r="AG470"/>
  <c r="AF470"/>
  <c r="AE470"/>
  <c r="AD470"/>
  <c r="AC470"/>
  <c r="AB470"/>
  <c r="AA470"/>
  <c r="AI469"/>
  <c r="AH469"/>
  <c r="AG469"/>
  <c r="AF469"/>
  <c r="AE469"/>
  <c r="AD469"/>
  <c r="AC469"/>
  <c r="AB469"/>
  <c r="AA469"/>
  <c r="AI468"/>
  <c r="AH468"/>
  <c r="AG468"/>
  <c r="AF468"/>
  <c r="AE468"/>
  <c r="AD468"/>
  <c r="AC468"/>
  <c r="AB468"/>
  <c r="AA468"/>
  <c r="AI467"/>
  <c r="AH467"/>
  <c r="AG467"/>
  <c r="AF467"/>
  <c r="AE467"/>
  <c r="AD467"/>
  <c r="AC467"/>
  <c r="AB467"/>
  <c r="AA467"/>
  <c r="AI466"/>
  <c r="AH466"/>
  <c r="AG466"/>
  <c r="AF466"/>
  <c r="AE466"/>
  <c r="AD466"/>
  <c r="AC466"/>
  <c r="AB466"/>
  <c r="AA466"/>
  <c r="AI465"/>
  <c r="AH465"/>
  <c r="AG465"/>
  <c r="AF465"/>
  <c r="AE465"/>
  <c r="AD465"/>
  <c r="AC465"/>
  <c r="AB465"/>
  <c r="AA465"/>
  <c r="AI464"/>
  <c r="AH464"/>
  <c r="AG464"/>
  <c r="AF464"/>
  <c r="AE464"/>
  <c r="AD464"/>
  <c r="AC464"/>
  <c r="AB464"/>
  <c r="AA464"/>
  <c r="AI463"/>
  <c r="AH463"/>
  <c r="AG463"/>
  <c r="AF463"/>
  <c r="AE463"/>
  <c r="AD463"/>
  <c r="AC463"/>
  <c r="AB463"/>
  <c r="AA463"/>
  <c r="AI462"/>
  <c r="AH462"/>
  <c r="AG462"/>
  <c r="AF462"/>
  <c r="AE462"/>
  <c r="AD462"/>
  <c r="AC462"/>
  <c r="AB462"/>
  <c r="AA462"/>
  <c r="AI461"/>
  <c r="AH461"/>
  <c r="AG461"/>
  <c r="AF461"/>
  <c r="AE461"/>
  <c r="AD461"/>
  <c r="AC461"/>
  <c r="AB461"/>
  <c r="AA461"/>
  <c r="AI460"/>
  <c r="AH460"/>
  <c r="AG460"/>
  <c r="AF460"/>
  <c r="AE460"/>
  <c r="AD460"/>
  <c r="AC460"/>
  <c r="AB460"/>
  <c r="AA460"/>
  <c r="AI459"/>
  <c r="AH459"/>
  <c r="AG459"/>
  <c r="AF459"/>
  <c r="AE459"/>
  <c r="AD459"/>
  <c r="AC459"/>
  <c r="AB459"/>
  <c r="AA459"/>
  <c r="AI458"/>
  <c r="AH458"/>
  <c r="AG458"/>
  <c r="AF458"/>
  <c r="AE458"/>
  <c r="AD458"/>
  <c r="AC458"/>
  <c r="AB458"/>
  <c r="AA458"/>
  <c r="AI457"/>
  <c r="AH457"/>
  <c r="AG457"/>
  <c r="AF457"/>
  <c r="AE457"/>
  <c r="AD457"/>
  <c r="AC457"/>
  <c r="AB457"/>
  <c r="AA457"/>
  <c r="AI456"/>
  <c r="AH456"/>
  <c r="AG456"/>
  <c r="AF456"/>
  <c r="AE456"/>
  <c r="AD456"/>
  <c r="AC456"/>
  <c r="AB456"/>
  <c r="AA456"/>
  <c r="AI455"/>
  <c r="AH455"/>
  <c r="AG455"/>
  <c r="AF455"/>
  <c r="AE455"/>
  <c r="AD455"/>
  <c r="AC455"/>
  <c r="AB455"/>
  <c r="AA455"/>
  <c r="AI454"/>
  <c r="AH454"/>
  <c r="AG454"/>
  <c r="AF454"/>
  <c r="AE454"/>
  <c r="AD454"/>
  <c r="AC454"/>
  <c r="AB454"/>
  <c r="AA454"/>
  <c r="AI453"/>
  <c r="AH453"/>
  <c r="AG453"/>
  <c r="AF453"/>
  <c r="AE453"/>
  <c r="AD453"/>
  <c r="AC453"/>
  <c r="AB453"/>
  <c r="AA453"/>
  <c r="AI452"/>
  <c r="AH452"/>
  <c r="AG452"/>
  <c r="AF452"/>
  <c r="AE452"/>
  <c r="AD452"/>
  <c r="AC452"/>
  <c r="AB452"/>
  <c r="AA452"/>
  <c r="AI451"/>
  <c r="AH451"/>
  <c r="AG451"/>
  <c r="AF451"/>
  <c r="AE451"/>
  <c r="AD451"/>
  <c r="AC451"/>
  <c r="AB451"/>
  <c r="AA451"/>
  <c r="AI450"/>
  <c r="AH450"/>
  <c r="AG450"/>
  <c r="AF450"/>
  <c r="AE450"/>
  <c r="AD450"/>
  <c r="AC450"/>
  <c r="AB450"/>
  <c r="AA450"/>
  <c r="AI449"/>
  <c r="AH449"/>
  <c r="AG449"/>
  <c r="AF449"/>
  <c r="AE449"/>
  <c r="AD449"/>
  <c r="AC449"/>
  <c r="AB449"/>
  <c r="AA449"/>
  <c r="AI448"/>
  <c r="AH448"/>
  <c r="AG448"/>
  <c r="AF448"/>
  <c r="AE448"/>
  <c r="AD448"/>
  <c r="AC448"/>
  <c r="AB448"/>
  <c r="AA448"/>
  <c r="AI447"/>
  <c r="AH447"/>
  <c r="AG447"/>
  <c r="AF447"/>
  <c r="AE447"/>
  <c r="AD447"/>
  <c r="AC447"/>
  <c r="AB447"/>
  <c r="AA447"/>
  <c r="AI446"/>
  <c r="AH446"/>
  <c r="AG446"/>
  <c r="AF446"/>
  <c r="AE446"/>
  <c r="AD446"/>
  <c r="AC446"/>
  <c r="AB446"/>
  <c r="AA446"/>
  <c r="AI445"/>
  <c r="AH445"/>
  <c r="AG445"/>
  <c r="AF445"/>
  <c r="AE445"/>
  <c r="AD445"/>
  <c r="AC445"/>
  <c r="AB445"/>
  <c r="AA445"/>
  <c r="AI444"/>
  <c r="AH444"/>
  <c r="AG444"/>
  <c r="AF444"/>
  <c r="AE444"/>
  <c r="AD444"/>
  <c r="AC444"/>
  <c r="AB444"/>
  <c r="AA444"/>
  <c r="AI443"/>
  <c r="AH443"/>
  <c r="AG443"/>
  <c r="AF443"/>
  <c r="AE443"/>
  <c r="AD443"/>
  <c r="AC443"/>
  <c r="AB443"/>
  <c r="AA443"/>
  <c r="AI442"/>
  <c r="AH442"/>
  <c r="AG442"/>
  <c r="AF442"/>
  <c r="AE442"/>
  <c r="AD442"/>
  <c r="AC442"/>
  <c r="AB442"/>
  <c r="AA442"/>
  <c r="AI441"/>
  <c r="AH441"/>
  <c r="AG441"/>
  <c r="AF441"/>
  <c r="AE441"/>
  <c r="AD441"/>
  <c r="AC441"/>
  <c r="AB441"/>
  <c r="AA441"/>
  <c r="AI440"/>
  <c r="AH440"/>
  <c r="AG440"/>
  <c r="AF440"/>
  <c r="AE440"/>
  <c r="AD440"/>
  <c r="AC440"/>
  <c r="AB440"/>
  <c r="AA440"/>
  <c r="AI439"/>
  <c r="AH439"/>
  <c r="AG439"/>
  <c r="AF439"/>
  <c r="AE439"/>
  <c r="AD439"/>
  <c r="AC439"/>
  <c r="AB439"/>
  <c r="AA439"/>
  <c r="AI438"/>
  <c r="AH438"/>
  <c r="AG438"/>
  <c r="AF438"/>
  <c r="AE438"/>
  <c r="AD438"/>
  <c r="AC438"/>
  <c r="AB438"/>
  <c r="AA438"/>
  <c r="AI437"/>
  <c r="AH437"/>
  <c r="AG437"/>
  <c r="AF437"/>
  <c r="AE437"/>
  <c r="AD437"/>
  <c r="AC437"/>
  <c r="AB437"/>
  <c r="AA437"/>
  <c r="AI436"/>
  <c r="AH436"/>
  <c r="AG436"/>
  <c r="AF436"/>
  <c r="AE436"/>
  <c r="AD436"/>
  <c r="AC436"/>
  <c r="AB436"/>
  <c r="AA436"/>
  <c r="AI435"/>
  <c r="AH435"/>
  <c r="AG435"/>
  <c r="AF435"/>
  <c r="AE435"/>
  <c r="AD435"/>
  <c r="AC435"/>
  <c r="AB435"/>
  <c r="AA435"/>
  <c r="AI434"/>
  <c r="AH434"/>
  <c r="AG434"/>
  <c r="AF434"/>
  <c r="AE434"/>
  <c r="AD434"/>
  <c r="AC434"/>
  <c r="AB434"/>
  <c r="AA434"/>
  <c r="AI433"/>
  <c r="AH433"/>
  <c r="AG433"/>
  <c r="AF433"/>
  <c r="AE433"/>
  <c r="AD433"/>
  <c r="AC433"/>
  <c r="AB433"/>
  <c r="AA433"/>
  <c r="AI432"/>
  <c r="AH432"/>
  <c r="AG432"/>
  <c r="AF432"/>
  <c r="AE432"/>
  <c r="AD432"/>
  <c r="AC432"/>
  <c r="AB432"/>
  <c r="AA432"/>
  <c r="AI431"/>
  <c r="AH431"/>
  <c r="AG431"/>
  <c r="AF431"/>
  <c r="AE431"/>
  <c r="AD431"/>
  <c r="AC431"/>
  <c r="AB431"/>
  <c r="AA431"/>
  <c r="AI430"/>
  <c r="AH430"/>
  <c r="AG430"/>
  <c r="AF430"/>
  <c r="AE430"/>
  <c r="AD430"/>
  <c r="AC430"/>
  <c r="AB430"/>
  <c r="AA430"/>
  <c r="AI429"/>
  <c r="AH429"/>
  <c r="AG429"/>
  <c r="AF429"/>
  <c r="AE429"/>
  <c r="AD429"/>
  <c r="AC429"/>
  <c r="AB429"/>
  <c r="AA429"/>
  <c r="AI428"/>
  <c r="AH428"/>
  <c r="AG428"/>
  <c r="AF428"/>
  <c r="AE428"/>
  <c r="AD428"/>
  <c r="AC428"/>
  <c r="AB428"/>
  <c r="AA428"/>
  <c r="AI427"/>
  <c r="AH427"/>
  <c r="AG427"/>
  <c r="AF427"/>
  <c r="AE427"/>
  <c r="AD427"/>
  <c r="AC427"/>
  <c r="AB427"/>
  <c r="AA427"/>
  <c r="AI426"/>
  <c r="AH426"/>
  <c r="AG426"/>
  <c r="AF426"/>
  <c r="AE426"/>
  <c r="AD426"/>
  <c r="AC426"/>
  <c r="AB426"/>
  <c r="AA426"/>
  <c r="AI425"/>
  <c r="AH425"/>
  <c r="AG425"/>
  <c r="AF425"/>
  <c r="AE425"/>
  <c r="AD425"/>
  <c r="AC425"/>
  <c r="AB425"/>
  <c r="AA425"/>
  <c r="AI424"/>
  <c r="AH424"/>
  <c r="AG424"/>
  <c r="AF424"/>
  <c r="AE424"/>
  <c r="AD424"/>
  <c r="AC424"/>
  <c r="AB424"/>
  <c r="AA424"/>
  <c r="AI423"/>
  <c r="AH423"/>
  <c r="AG423"/>
  <c r="AF423"/>
  <c r="AE423"/>
  <c r="AD423"/>
  <c r="AC423"/>
  <c r="AB423"/>
  <c r="AA423"/>
  <c r="AI422"/>
  <c r="AH422"/>
  <c r="AG422"/>
  <c r="AF422"/>
  <c r="AE422"/>
  <c r="AD422"/>
  <c r="AC422"/>
  <c r="AB422"/>
  <c r="AA422"/>
  <c r="AI421"/>
  <c r="AH421"/>
  <c r="AG421"/>
  <c r="AF421"/>
  <c r="AE421"/>
  <c r="AD421"/>
  <c r="AC421"/>
  <c r="AB421"/>
  <c r="AA421"/>
  <c r="AI420"/>
  <c r="AH420"/>
  <c r="AG420"/>
  <c r="AF420"/>
  <c r="AE420"/>
  <c r="AD420"/>
  <c r="AC420"/>
  <c r="AB420"/>
  <c r="AA420"/>
  <c r="AI419"/>
  <c r="AH419"/>
  <c r="AG419"/>
  <c r="AF419"/>
  <c r="AE419"/>
  <c r="AD419"/>
  <c r="AC419"/>
  <c r="AB419"/>
  <c r="AA419"/>
  <c r="AI418"/>
  <c r="AH418"/>
  <c r="AG418"/>
  <c r="AF418"/>
  <c r="AE418"/>
  <c r="AD418"/>
  <c r="AC418"/>
  <c r="AB418"/>
  <c r="AA418"/>
  <c r="AI417"/>
  <c r="AH417"/>
  <c r="AG417"/>
  <c r="AF417"/>
  <c r="AE417"/>
  <c r="AD417"/>
  <c r="AC417"/>
  <c r="AB417"/>
  <c r="AA417"/>
  <c r="AI416"/>
  <c r="AH416"/>
  <c r="AG416"/>
  <c r="AF416"/>
  <c r="AE416"/>
  <c r="AD416"/>
  <c r="AC416"/>
  <c r="AB416"/>
  <c r="AA416"/>
  <c r="AI415"/>
  <c r="AH415"/>
  <c r="AG415"/>
  <c r="AF415"/>
  <c r="AE415"/>
  <c r="AD415"/>
  <c r="AC415"/>
  <c r="AB415"/>
  <c r="AA415"/>
  <c r="AI414"/>
  <c r="AH414"/>
  <c r="AG414"/>
  <c r="AF414"/>
  <c r="AE414"/>
  <c r="AD414"/>
  <c r="AC414"/>
  <c r="AB414"/>
  <c r="AA414"/>
  <c r="AI413"/>
  <c r="AH413"/>
  <c r="AG413"/>
  <c r="AF413"/>
  <c r="AE413"/>
  <c r="AD413"/>
  <c r="AC413"/>
  <c r="AB413"/>
  <c r="AA413"/>
  <c r="AI412"/>
  <c r="AH412"/>
  <c r="AG412"/>
  <c r="AF412"/>
  <c r="AE412"/>
  <c r="AD412"/>
  <c r="AC412"/>
  <c r="AB412"/>
  <c r="AA412"/>
  <c r="AI411"/>
  <c r="AH411"/>
  <c r="AG411"/>
  <c r="AF411"/>
  <c r="AE411"/>
  <c r="AD411"/>
  <c r="AC411"/>
  <c r="AB411"/>
  <c r="AA411"/>
  <c r="AI410"/>
  <c r="AH410"/>
  <c r="AG410"/>
  <c r="AF410"/>
  <c r="AE410"/>
  <c r="AD410"/>
  <c r="AC410"/>
  <c r="AB410"/>
  <c r="AA410"/>
  <c r="AI409"/>
  <c r="AH409"/>
  <c r="AG409"/>
  <c r="AF409"/>
  <c r="AE409"/>
  <c r="AD409"/>
  <c r="AC409"/>
  <c r="AB409"/>
  <c r="AA409"/>
  <c r="AI408"/>
  <c r="AH408"/>
  <c r="AG408"/>
  <c r="AF408"/>
  <c r="AE408"/>
  <c r="AD408"/>
  <c r="AC408"/>
  <c r="AB408"/>
  <c r="AA408"/>
  <c r="AI407"/>
  <c r="AH407"/>
  <c r="AG407"/>
  <c r="AF407"/>
  <c r="AE407"/>
  <c r="AD407"/>
  <c r="AC407"/>
  <c r="AB407"/>
  <c r="AA407"/>
  <c r="AI406"/>
  <c r="AH406"/>
  <c r="AG406"/>
  <c r="AF406"/>
  <c r="AE406"/>
  <c r="AD406"/>
  <c r="AC406"/>
  <c r="AB406"/>
  <c r="AA406"/>
  <c r="AI405"/>
  <c r="AH405"/>
  <c r="AG405"/>
  <c r="AF405"/>
  <c r="AE405"/>
  <c r="AD405"/>
  <c r="AC405"/>
  <c r="AB405"/>
  <c r="AA405"/>
  <c r="AI404"/>
  <c r="AH404"/>
  <c r="AG404"/>
  <c r="AF404"/>
  <c r="AE404"/>
  <c r="AD404"/>
  <c r="AC404"/>
  <c r="AB404"/>
  <c r="AA404"/>
  <c r="AI403"/>
  <c r="AH403"/>
  <c r="AG403"/>
  <c r="AF403"/>
  <c r="AE403"/>
  <c r="AD403"/>
  <c r="AC403"/>
  <c r="AB403"/>
  <c r="AA403"/>
  <c r="AI402"/>
  <c r="AH402"/>
  <c r="AG402"/>
  <c r="AF402"/>
  <c r="AE402"/>
  <c r="AD402"/>
  <c r="AC402"/>
  <c r="AB402"/>
  <c r="AA402"/>
  <c r="AI401"/>
  <c r="AH401"/>
  <c r="AG401"/>
  <c r="AF401"/>
  <c r="AE401"/>
  <c r="AD401"/>
  <c r="AC401"/>
  <c r="AB401"/>
  <c r="AA401"/>
  <c r="AI400"/>
  <c r="AH400"/>
  <c r="AG400"/>
  <c r="AF400"/>
  <c r="AE400"/>
  <c r="AD400"/>
  <c r="AC400"/>
  <c r="AB400"/>
  <c r="AA400"/>
  <c r="AI399"/>
  <c r="AH399"/>
  <c r="AG399"/>
  <c r="AF399"/>
  <c r="AE399"/>
  <c r="AD399"/>
  <c r="AC399"/>
  <c r="AB399"/>
  <c r="AA399"/>
  <c r="AI398"/>
  <c r="AH398"/>
  <c r="AG398"/>
  <c r="AF398"/>
  <c r="AE398"/>
  <c r="AD398"/>
  <c r="AC398"/>
  <c r="AB398"/>
  <c r="AA398"/>
  <c r="AI397"/>
  <c r="AH397"/>
  <c r="AG397"/>
  <c r="AF397"/>
  <c r="AE397"/>
  <c r="AD397"/>
  <c r="AC397"/>
  <c r="AB397"/>
  <c r="AA397"/>
  <c r="AI396"/>
  <c r="AH396"/>
  <c r="AG396"/>
  <c r="AF396"/>
  <c r="AE396"/>
  <c r="AD396"/>
  <c r="AC396"/>
  <c r="AB396"/>
  <c r="AA396"/>
  <c r="AI395"/>
  <c r="AH395"/>
  <c r="AG395"/>
  <c r="AF395"/>
  <c r="AE395"/>
  <c r="AD395"/>
  <c r="AC395"/>
  <c r="AB395"/>
  <c r="AA395"/>
  <c r="AI394"/>
  <c r="AH394"/>
  <c r="AG394"/>
  <c r="AF394"/>
  <c r="AE394"/>
  <c r="AD394"/>
  <c r="AC394"/>
  <c r="AB394"/>
  <c r="AA394"/>
  <c r="AI393"/>
  <c r="AH393"/>
  <c r="AG393"/>
  <c r="AF393"/>
  <c r="AE393"/>
  <c r="AD393"/>
  <c r="AC393"/>
  <c r="AB393"/>
  <c r="AA393"/>
  <c r="AI392"/>
  <c r="AH392"/>
  <c r="AG392"/>
  <c r="AF392"/>
  <c r="AE392"/>
  <c r="AD392"/>
  <c r="AC392"/>
  <c r="AB392"/>
  <c r="AA392"/>
  <c r="AI391"/>
  <c r="AH391"/>
  <c r="AG391"/>
  <c r="AF391"/>
  <c r="AE391"/>
  <c r="AD391"/>
  <c r="AC391"/>
  <c r="AB391"/>
  <c r="AA391"/>
  <c r="AI390"/>
  <c r="AH390"/>
  <c r="AG390"/>
  <c r="AF390"/>
  <c r="AE390"/>
  <c r="AD390"/>
  <c r="AC390"/>
  <c r="AB390"/>
  <c r="AA390"/>
  <c r="AI389"/>
  <c r="AH389"/>
  <c r="AG389"/>
  <c r="AF389"/>
  <c r="AE389"/>
  <c r="AD389"/>
  <c r="AC389"/>
  <c r="AB389"/>
  <c r="AA389"/>
  <c r="AI388"/>
  <c r="AH388"/>
  <c r="AG388"/>
  <c r="AF388"/>
  <c r="AE388"/>
  <c r="AD388"/>
  <c r="AC388"/>
  <c r="AB388"/>
  <c r="AA388"/>
  <c r="AI387"/>
  <c r="AH387"/>
  <c r="AG387"/>
  <c r="AF387"/>
  <c r="AE387"/>
  <c r="AD387"/>
  <c r="AC387"/>
  <c r="AB387"/>
  <c r="AA387"/>
  <c r="AI386"/>
  <c r="AH386"/>
  <c r="AG386"/>
  <c r="AF386"/>
  <c r="AE386"/>
  <c r="AD386"/>
  <c r="AC386"/>
  <c r="AB386"/>
  <c r="AA386"/>
  <c r="AI385"/>
  <c r="AH385"/>
  <c r="AG385"/>
  <c r="AF385"/>
  <c r="AE385"/>
  <c r="AD385"/>
  <c r="AC385"/>
  <c r="AB385"/>
  <c r="AA385"/>
  <c r="AI384"/>
  <c r="AH384"/>
  <c r="AG384"/>
  <c r="AF384"/>
  <c r="AE384"/>
  <c r="AD384"/>
  <c r="AC384"/>
  <c r="AB384"/>
  <c r="AA384"/>
  <c r="AI383"/>
  <c r="AH383"/>
  <c r="AG383"/>
  <c r="AF383"/>
  <c r="AE383"/>
  <c r="AD383"/>
  <c r="AC383"/>
  <c r="AB383"/>
  <c r="AA383"/>
  <c r="AI382"/>
  <c r="AH382"/>
  <c r="AG382"/>
  <c r="AF382"/>
  <c r="AE382"/>
  <c r="AD382"/>
  <c r="AC382"/>
  <c r="AB382"/>
  <c r="AA382"/>
  <c r="AI381"/>
  <c r="AH381"/>
  <c r="AG381"/>
  <c r="AF381"/>
  <c r="AE381"/>
  <c r="AD381"/>
  <c r="AC381"/>
  <c r="AB381"/>
  <c r="AA381"/>
  <c r="AI380"/>
  <c r="AH380"/>
  <c r="AG380"/>
  <c r="AF380"/>
  <c r="AE380"/>
  <c r="AD380"/>
  <c r="AC380"/>
  <c r="AB380"/>
  <c r="AA380"/>
  <c r="AI379"/>
  <c r="AH379"/>
  <c r="AG379"/>
  <c r="AF379"/>
  <c r="AE379"/>
  <c r="AD379"/>
  <c r="AC379"/>
  <c r="AB379"/>
  <c r="AA379"/>
  <c r="AI378"/>
  <c r="AH378"/>
  <c r="AG378"/>
  <c r="AF378"/>
  <c r="AE378"/>
  <c r="AD378"/>
  <c r="AC378"/>
  <c r="AB378"/>
  <c r="AA378"/>
  <c r="AI377"/>
  <c r="AH377"/>
  <c r="AG377"/>
  <c r="AF377"/>
  <c r="AE377"/>
  <c r="AD377"/>
  <c r="AC377"/>
  <c r="AB377"/>
  <c r="AA377"/>
  <c r="AI376"/>
  <c r="AH376"/>
  <c r="AG376"/>
  <c r="AF376"/>
  <c r="AE376"/>
  <c r="AD376"/>
  <c r="AC376"/>
  <c r="AB376"/>
  <c r="AA376"/>
  <c r="AI375"/>
  <c r="AH375"/>
  <c r="AG375"/>
  <c r="AF375"/>
  <c r="AE375"/>
  <c r="AD375"/>
  <c r="AC375"/>
  <c r="AB375"/>
  <c r="AA375"/>
  <c r="AI374"/>
  <c r="AH374"/>
  <c r="AG374"/>
  <c r="AF374"/>
  <c r="AE374"/>
  <c r="AD374"/>
  <c r="AC374"/>
  <c r="AB374"/>
  <c r="AA374"/>
  <c r="AI373"/>
  <c r="AH373"/>
  <c r="AG373"/>
  <c r="AF373"/>
  <c r="AE373"/>
  <c r="AD373"/>
  <c r="AC373"/>
  <c r="AB373"/>
  <c r="AA373"/>
  <c r="AI372"/>
  <c r="AH372"/>
  <c r="AG372"/>
  <c r="AF372"/>
  <c r="AE372"/>
  <c r="AD372"/>
  <c r="AC372"/>
  <c r="AB372"/>
  <c r="AA372"/>
  <c r="AI371"/>
  <c r="AH371"/>
  <c r="AG371"/>
  <c r="AF371"/>
  <c r="AE371"/>
  <c r="AD371"/>
  <c r="AC371"/>
  <c r="AB371"/>
  <c r="AA371"/>
  <c r="AI370"/>
  <c r="AH370"/>
  <c r="AG370"/>
  <c r="AF370"/>
  <c r="AE370"/>
  <c r="AD370"/>
  <c r="AC370"/>
  <c r="AB370"/>
  <c r="AA370"/>
  <c r="AI369"/>
  <c r="AH369"/>
  <c r="AG369"/>
  <c r="AF369"/>
  <c r="AE369"/>
  <c r="AD369"/>
  <c r="AC369"/>
  <c r="AB369"/>
  <c r="AA369"/>
  <c r="AI368"/>
  <c r="AH368"/>
  <c r="AG368"/>
  <c r="AF368"/>
  <c r="AE368"/>
  <c r="AD368"/>
  <c r="AC368"/>
  <c r="AB368"/>
  <c r="AA368"/>
  <c r="AI367"/>
  <c r="AH367"/>
  <c r="AG367"/>
  <c r="AF367"/>
  <c r="AE367"/>
  <c r="AD367"/>
  <c r="AC367"/>
  <c r="AB367"/>
  <c r="AA367"/>
  <c r="AI366"/>
  <c r="AH366"/>
  <c r="AG366"/>
  <c r="AF366"/>
  <c r="AE366"/>
  <c r="AD366"/>
  <c r="AC366"/>
  <c r="AB366"/>
  <c r="AA366"/>
  <c r="AI365"/>
  <c r="AH365"/>
  <c r="AG365"/>
  <c r="AF365"/>
  <c r="AE365"/>
  <c r="AD365"/>
  <c r="AC365"/>
  <c r="AB365"/>
  <c r="AA365"/>
  <c r="AI364"/>
  <c r="AH364"/>
  <c r="AG364"/>
  <c r="AF364"/>
  <c r="AE364"/>
  <c r="AD364"/>
  <c r="AC364"/>
  <c r="AB364"/>
  <c r="AA364"/>
  <c r="AI363"/>
  <c r="AH363"/>
  <c r="AG363"/>
  <c r="AF363"/>
  <c r="AE363"/>
  <c r="AD363"/>
  <c r="AC363"/>
  <c r="AB363"/>
  <c r="AA363"/>
  <c r="AI362"/>
  <c r="AH362"/>
  <c r="AG362"/>
  <c r="AF362"/>
  <c r="AE362"/>
  <c r="AD362"/>
  <c r="AC362"/>
  <c r="AB362"/>
  <c r="AA362"/>
  <c r="AI361"/>
  <c r="AH361"/>
  <c r="AG361"/>
  <c r="AF361"/>
  <c r="AE361"/>
  <c r="AD361"/>
  <c r="AC361"/>
  <c r="AB361"/>
  <c r="AA361"/>
  <c r="AI360"/>
  <c r="AH360"/>
  <c r="AG360"/>
  <c r="AF360"/>
  <c r="AE360"/>
  <c r="AD360"/>
  <c r="AC360"/>
  <c r="AB360"/>
  <c r="AA360"/>
  <c r="AI359"/>
  <c r="AH359"/>
  <c r="AG359"/>
  <c r="AF359"/>
  <c r="AE359"/>
  <c r="AD359"/>
  <c r="AC359"/>
  <c r="AB359"/>
  <c r="AA359"/>
  <c r="AI358"/>
  <c r="AH358"/>
  <c r="AG358"/>
  <c r="AF358"/>
  <c r="AE358"/>
  <c r="AD358"/>
  <c r="AC358"/>
  <c r="AB358"/>
  <c r="AA358"/>
  <c r="AI357"/>
  <c r="AH357"/>
  <c r="AG357"/>
  <c r="AF357"/>
  <c r="AE357"/>
  <c r="AD357"/>
  <c r="AC357"/>
  <c r="AB357"/>
  <c r="AA357"/>
  <c r="AI356"/>
  <c r="AH356"/>
  <c r="AG356"/>
  <c r="AF356"/>
  <c r="AE356"/>
  <c r="AD356"/>
  <c r="AC356"/>
  <c r="AB356"/>
  <c r="AA356"/>
  <c r="AI355"/>
  <c r="AH355"/>
  <c r="AG355"/>
  <c r="AF355"/>
  <c r="AE355"/>
  <c r="AD355"/>
  <c r="AC355"/>
  <c r="AB355"/>
  <c r="AA355"/>
  <c r="AI354"/>
  <c r="AH354"/>
  <c r="AG354"/>
  <c r="AF354"/>
  <c r="AE354"/>
  <c r="AD354"/>
  <c r="AC354"/>
  <c r="AB354"/>
  <c r="AA354"/>
  <c r="AI353"/>
  <c r="AH353"/>
  <c r="AG353"/>
  <c r="AF353"/>
  <c r="AE353"/>
  <c r="AD353"/>
  <c r="AC353"/>
  <c r="AB353"/>
  <c r="AA353"/>
  <c r="AI352"/>
  <c r="AH352"/>
  <c r="AG352"/>
  <c r="AF352"/>
  <c r="AE352"/>
  <c r="AD352"/>
  <c r="AC352"/>
  <c r="AB352"/>
  <c r="AA352"/>
  <c r="AI351"/>
  <c r="AH351"/>
  <c r="AG351"/>
  <c r="AF351"/>
  <c r="AE351"/>
  <c r="AD351"/>
  <c r="AC351"/>
  <c r="AB351"/>
  <c r="AA351"/>
  <c r="AI350"/>
  <c r="AH350"/>
  <c r="AG350"/>
  <c r="AF350"/>
  <c r="AE350"/>
  <c r="AD350"/>
  <c r="AC350"/>
  <c r="AB350"/>
  <c r="AA350"/>
  <c r="AI349"/>
  <c r="AH349"/>
  <c r="AG349"/>
  <c r="AF349"/>
  <c r="AE349"/>
  <c r="AD349"/>
  <c r="AC349"/>
  <c r="AB349"/>
  <c r="AA349"/>
  <c r="AI348"/>
  <c r="AH348"/>
  <c r="AG348"/>
  <c r="AF348"/>
  <c r="AE348"/>
  <c r="AD348"/>
  <c r="AC348"/>
  <c r="AB348"/>
  <c r="AA348"/>
  <c r="AI347"/>
  <c r="AH347"/>
  <c r="AG347"/>
  <c r="AF347"/>
  <c r="AE347"/>
  <c r="AD347"/>
  <c r="AC347"/>
  <c r="AB347"/>
  <c r="AA347"/>
  <c r="AI346"/>
  <c r="AH346"/>
  <c r="AG346"/>
  <c r="AF346"/>
  <c r="AE346"/>
  <c r="AD346"/>
  <c r="AC346"/>
  <c r="AB346"/>
  <c r="AA346"/>
  <c r="AI345"/>
  <c r="AH345"/>
  <c r="AG345"/>
  <c r="AF345"/>
  <c r="AE345"/>
  <c r="AD345"/>
  <c r="AC345"/>
  <c r="AB345"/>
  <c r="AA345"/>
  <c r="AI344"/>
  <c r="AH344"/>
  <c r="AG344"/>
  <c r="AF344"/>
  <c r="AE344"/>
  <c r="AD344"/>
  <c r="AC344"/>
  <c r="AB344"/>
  <c r="AA344"/>
  <c r="AI343"/>
  <c r="AH343"/>
  <c r="AG343"/>
  <c r="AF343"/>
  <c r="AE343"/>
  <c r="AD343"/>
  <c r="AC343"/>
  <c r="AB343"/>
  <c r="AA343"/>
  <c r="AI342"/>
  <c r="AH342"/>
  <c r="AG342"/>
  <c r="AF342"/>
  <c r="AE342"/>
  <c r="AD342"/>
  <c r="AC342"/>
  <c r="AB342"/>
  <c r="AA342"/>
  <c r="AI341"/>
  <c r="AH341"/>
  <c r="AG341"/>
  <c r="AF341"/>
  <c r="AE341"/>
  <c r="AD341"/>
  <c r="AC341"/>
  <c r="AB341"/>
  <c r="AA341"/>
  <c r="AI340"/>
  <c r="AH340"/>
  <c r="AG340"/>
  <c r="AF340"/>
  <c r="AE340"/>
  <c r="AD340"/>
  <c r="AC340"/>
  <c r="AB340"/>
  <c r="AA340"/>
  <c r="AI339"/>
  <c r="AH339"/>
  <c r="AG339"/>
  <c r="AF339"/>
  <c r="AE339"/>
  <c r="AD339"/>
  <c r="AC339"/>
  <c r="AB339"/>
  <c r="AA339"/>
  <c r="AI338"/>
  <c r="AH338"/>
  <c r="AG338"/>
  <c r="AF338"/>
  <c r="AE338"/>
  <c r="AD338"/>
  <c r="AC338"/>
  <c r="AB338"/>
  <c r="AA338"/>
  <c r="AI337"/>
  <c r="AH337"/>
  <c r="AG337"/>
  <c r="AF337"/>
  <c r="AE337"/>
  <c r="AD337"/>
  <c r="AC337"/>
  <c r="AB337"/>
  <c r="AA337"/>
  <c r="AI336"/>
  <c r="AH336"/>
  <c r="AG336"/>
  <c r="AF336"/>
  <c r="AE336"/>
  <c r="AD336"/>
  <c r="AC336"/>
  <c r="AB336"/>
  <c r="AA336"/>
  <c r="AI335"/>
  <c r="AH335"/>
  <c r="AG335"/>
  <c r="AF335"/>
  <c r="AE335"/>
  <c r="AD335"/>
  <c r="AC335"/>
  <c r="AB335"/>
  <c r="AA335"/>
  <c r="AI334"/>
  <c r="AH334"/>
  <c r="AG334"/>
  <c r="AF334"/>
  <c r="AE334"/>
  <c r="AD334"/>
  <c r="AC334"/>
  <c r="AB334"/>
  <c r="AA334"/>
  <c r="AI333"/>
  <c r="AH333"/>
  <c r="AG333"/>
  <c r="AF333"/>
  <c r="AE333"/>
  <c r="AD333"/>
  <c r="AC333"/>
  <c r="AB333"/>
  <c r="AA333"/>
  <c r="AI332"/>
  <c r="AH332"/>
  <c r="AG332"/>
  <c r="AF332"/>
  <c r="AE332"/>
  <c r="AD332"/>
  <c r="AC332"/>
  <c r="AB332"/>
  <c r="AA332"/>
  <c r="AI331"/>
  <c r="AH331"/>
  <c r="AG331"/>
  <c r="AF331"/>
  <c r="AE331"/>
  <c r="AD331"/>
  <c r="AC331"/>
  <c r="AB331"/>
  <c r="AA331"/>
  <c r="AI330"/>
  <c r="AH330"/>
  <c r="AG330"/>
  <c r="AF330"/>
  <c r="AE330"/>
  <c r="AD330"/>
  <c r="AC330"/>
  <c r="AB330"/>
  <c r="AA330"/>
  <c r="AI329"/>
  <c r="AH329"/>
  <c r="AG329"/>
  <c r="AF329"/>
  <c r="AE329"/>
  <c r="AD329"/>
  <c r="AC329"/>
  <c r="AB329"/>
  <c r="AA329"/>
  <c r="AI328"/>
  <c r="AH328"/>
  <c r="AG328"/>
  <c r="AF328"/>
  <c r="AE328"/>
  <c r="AD328"/>
  <c r="AC328"/>
  <c r="AB328"/>
  <c r="AA328"/>
  <c r="AI327"/>
  <c r="AH327"/>
  <c r="AG327"/>
  <c r="AF327"/>
  <c r="AE327"/>
  <c r="AD327"/>
  <c r="AC327"/>
  <c r="AB327"/>
  <c r="AA327"/>
  <c r="AI326"/>
  <c r="AH326"/>
  <c r="AG326"/>
  <c r="AF326"/>
  <c r="AE326"/>
  <c r="AD326"/>
  <c r="AC326"/>
  <c r="AB326"/>
  <c r="AA326"/>
  <c r="AI325"/>
  <c r="AH325"/>
  <c r="AG325"/>
  <c r="AF325"/>
  <c r="AE325"/>
  <c r="AD325"/>
  <c r="AC325"/>
  <c r="AB325"/>
  <c r="AA325"/>
  <c r="AI324"/>
  <c r="AH324"/>
  <c r="AG324"/>
  <c r="AF324"/>
  <c r="AE324"/>
  <c r="AD324"/>
  <c r="AC324"/>
  <c r="AB324"/>
  <c r="AA324"/>
  <c r="AI323"/>
  <c r="AH323"/>
  <c r="AG323"/>
  <c r="AF323"/>
  <c r="AE323"/>
  <c r="AD323"/>
  <c r="AC323"/>
  <c r="AB323"/>
  <c r="AA323"/>
  <c r="AI322"/>
  <c r="AH322"/>
  <c r="AG322"/>
  <c r="AF322"/>
  <c r="AE322"/>
  <c r="AD322"/>
  <c r="AC322"/>
  <c r="AB322"/>
  <c r="AA322"/>
  <c r="AI321"/>
  <c r="AH321"/>
  <c r="AG321"/>
  <c r="AF321"/>
  <c r="AE321"/>
  <c r="AD321"/>
  <c r="AC321"/>
  <c r="AB321"/>
  <c r="AA321"/>
  <c r="AI320"/>
  <c r="AH320"/>
  <c r="AG320"/>
  <c r="AF320"/>
  <c r="AE320"/>
  <c r="AD320"/>
  <c r="AC320"/>
  <c r="AB320"/>
  <c r="AA320"/>
  <c r="AI319"/>
  <c r="AH319"/>
  <c r="AG319"/>
  <c r="AF319"/>
  <c r="AE319"/>
  <c r="AD319"/>
  <c r="AC319"/>
  <c r="AB319"/>
  <c r="AA319"/>
  <c r="AI318"/>
  <c r="AH318"/>
  <c r="AG318"/>
  <c r="AF318"/>
  <c r="AE318"/>
  <c r="AD318"/>
  <c r="AC318"/>
  <c r="AB318"/>
  <c r="AA318"/>
  <c r="AI317"/>
  <c r="AH317"/>
  <c r="AG317"/>
  <c r="AF317"/>
  <c r="AE317"/>
  <c r="AD317"/>
  <c r="AC317"/>
  <c r="AB317"/>
  <c r="AA317"/>
  <c r="AI316"/>
  <c r="AH316"/>
  <c r="AG316"/>
  <c r="AF316"/>
  <c r="AE316"/>
  <c r="AD316"/>
  <c r="AC316"/>
  <c r="AB316"/>
  <c r="AA316"/>
  <c r="AI315"/>
  <c r="AH315"/>
  <c r="AG315"/>
  <c r="AF315"/>
  <c r="AE315"/>
  <c r="AD315"/>
  <c r="AC315"/>
  <c r="AB315"/>
  <c r="AA315"/>
  <c r="AI314"/>
  <c r="AH314"/>
  <c r="AG314"/>
  <c r="AF314"/>
  <c r="AE314"/>
  <c r="AD314"/>
  <c r="AC314"/>
  <c r="AB314"/>
  <c r="AA314"/>
  <c r="AI313"/>
  <c r="AH313"/>
  <c r="AG313"/>
  <c r="AF313"/>
  <c r="AE313"/>
  <c r="AD313"/>
  <c r="AC313"/>
  <c r="AB313"/>
  <c r="AA313"/>
  <c r="AI312"/>
  <c r="AH312"/>
  <c r="AG312"/>
  <c r="AF312"/>
  <c r="AE312"/>
  <c r="AD312"/>
  <c r="AC312"/>
  <c r="AB312"/>
  <c r="AA312"/>
  <c r="AI311"/>
  <c r="AH311"/>
  <c r="AG311"/>
  <c r="AF311"/>
  <c r="AE311"/>
  <c r="AD311"/>
  <c r="AC311"/>
  <c r="AB311"/>
  <c r="AA311"/>
  <c r="AI310"/>
  <c r="AH310"/>
  <c r="AG310"/>
  <c r="AF310"/>
  <c r="AE310"/>
  <c r="AD310"/>
  <c r="AC310"/>
  <c r="AB310"/>
  <c r="AA310"/>
  <c r="AI309"/>
  <c r="AH309"/>
  <c r="AG309"/>
  <c r="AF309"/>
  <c r="AE309"/>
  <c r="AD309"/>
  <c r="AC309"/>
  <c r="AB309"/>
  <c r="AA309"/>
  <c r="AI308"/>
  <c r="AH308"/>
  <c r="AG308"/>
  <c r="AF308"/>
  <c r="AE308"/>
  <c r="AD308"/>
  <c r="AC308"/>
  <c r="AB308"/>
  <c r="AA308"/>
  <c r="AI307"/>
  <c r="AH307"/>
  <c r="AG307"/>
  <c r="AF307"/>
  <c r="AE307"/>
  <c r="AD307"/>
  <c r="AC307"/>
  <c r="AB307"/>
  <c r="AA307"/>
  <c r="AI306"/>
  <c r="AH306"/>
  <c r="AG306"/>
  <c r="AF306"/>
  <c r="AE306"/>
  <c r="AD306"/>
  <c r="AC306"/>
  <c r="AB306"/>
  <c r="AA306"/>
  <c r="AI305"/>
  <c r="AH305"/>
  <c r="AG305"/>
  <c r="AF305"/>
  <c r="AE305"/>
  <c r="AD305"/>
  <c r="AC305"/>
  <c r="AB305"/>
  <c r="AA305"/>
  <c r="AI304"/>
  <c r="AH304"/>
  <c r="AG304"/>
  <c r="AF304"/>
  <c r="AE304"/>
  <c r="AD304"/>
  <c r="AC304"/>
  <c r="AB304"/>
  <c r="AA304"/>
  <c r="AI303"/>
  <c r="AH303"/>
  <c r="AG303"/>
  <c r="AF303"/>
  <c r="AE303"/>
  <c r="AD303"/>
  <c r="AC303"/>
  <c r="AB303"/>
  <c r="AA303"/>
  <c r="AI302"/>
  <c r="AH302"/>
  <c r="AG302"/>
  <c r="AF302"/>
  <c r="AE302"/>
  <c r="AD302"/>
  <c r="AC302"/>
  <c r="AB302"/>
  <c r="AA302"/>
  <c r="AI301"/>
  <c r="AH301"/>
  <c r="AG301"/>
  <c r="AF301"/>
  <c r="AE301"/>
  <c r="AD301"/>
  <c r="AC301"/>
  <c r="AB301"/>
  <c r="AA301"/>
  <c r="AI300"/>
  <c r="AH300"/>
  <c r="AG300"/>
  <c r="AF300"/>
  <c r="AE300"/>
  <c r="AD300"/>
  <c r="AC300"/>
  <c r="AB300"/>
  <c r="AA300"/>
  <c r="AI299"/>
  <c r="AH299"/>
  <c r="AG299"/>
  <c r="AF299"/>
  <c r="AE299"/>
  <c r="AD299"/>
  <c r="AC299"/>
  <c r="AB299"/>
  <c r="AA299"/>
  <c r="AI298"/>
  <c r="AH298"/>
  <c r="AG298"/>
  <c r="AF298"/>
  <c r="AE298"/>
  <c r="AD298"/>
  <c r="AC298"/>
  <c r="AB298"/>
  <c r="AA298"/>
  <c r="AI297"/>
  <c r="AH297"/>
  <c r="AG297"/>
  <c r="AF297"/>
  <c r="AE297"/>
  <c r="AD297"/>
  <c r="AC297"/>
  <c r="AB297"/>
  <c r="AA297"/>
  <c r="AI296"/>
  <c r="AH296"/>
  <c r="AG296"/>
  <c r="AF296"/>
  <c r="AE296"/>
  <c r="AD296"/>
  <c r="AC296"/>
  <c r="AB296"/>
  <c r="AA296"/>
  <c r="AI295"/>
  <c r="AH295"/>
  <c r="AG295"/>
  <c r="AF295"/>
  <c r="AE295"/>
  <c r="AD295"/>
  <c r="AC295"/>
  <c r="AB295"/>
  <c r="AA295"/>
  <c r="AI294"/>
  <c r="AH294"/>
  <c r="AG294"/>
  <c r="AF294"/>
  <c r="AE294"/>
  <c r="AD294"/>
  <c r="AC294"/>
  <c r="AB294"/>
  <c r="AA294"/>
  <c r="AI293"/>
  <c r="AH293"/>
  <c r="AG293"/>
  <c r="AF293"/>
  <c r="AE293"/>
  <c r="AD293"/>
  <c r="AC293"/>
  <c r="AB293"/>
  <c r="AA293"/>
  <c r="AI292"/>
  <c r="AH292"/>
  <c r="AG292"/>
  <c r="AF292"/>
  <c r="AE292"/>
  <c r="AD292"/>
  <c r="AC292"/>
  <c r="AB292"/>
  <c r="AA292"/>
  <c r="AI291"/>
  <c r="AH291"/>
  <c r="AG291"/>
  <c r="AF291"/>
  <c r="AE291"/>
  <c r="AD291"/>
  <c r="AC291"/>
  <c r="AB291"/>
  <c r="AA291"/>
  <c r="AI290"/>
  <c r="AH290"/>
  <c r="AG290"/>
  <c r="AF290"/>
  <c r="AE290"/>
  <c r="AD290"/>
  <c r="AC290"/>
  <c r="AB290"/>
  <c r="AA290"/>
  <c r="AI289"/>
  <c r="AH289"/>
  <c r="AG289"/>
  <c r="AF289"/>
  <c r="AE289"/>
  <c r="AD289"/>
  <c r="AC289"/>
  <c r="AB289"/>
  <c r="AA289"/>
  <c r="AI288"/>
  <c r="AH288"/>
  <c r="AG288"/>
  <c r="AF288"/>
  <c r="AE288"/>
  <c r="AD288"/>
  <c r="AC288"/>
  <c r="AB288"/>
  <c r="AA288"/>
  <c r="AI287"/>
  <c r="AH287"/>
  <c r="AG287"/>
  <c r="AF287"/>
  <c r="AE287"/>
  <c r="AD287"/>
  <c r="AC287"/>
  <c r="AB287"/>
  <c r="AA287"/>
  <c r="AI286"/>
  <c r="AH286"/>
  <c r="AG286"/>
  <c r="AF286"/>
  <c r="AE286"/>
  <c r="AD286"/>
  <c r="AC286"/>
  <c r="AB286"/>
  <c r="AA286"/>
  <c r="AI285"/>
  <c r="AH285"/>
  <c r="AG285"/>
  <c r="AF285"/>
  <c r="AE285"/>
  <c r="AD285"/>
  <c r="AC285"/>
  <c r="AB285"/>
  <c r="AA285"/>
  <c r="AI284"/>
  <c r="AH284"/>
  <c r="AG284"/>
  <c r="AF284"/>
  <c r="AE284"/>
  <c r="AD284"/>
  <c r="AC284"/>
  <c r="AB284"/>
  <c r="AA284"/>
  <c r="AI283"/>
  <c r="AH283"/>
  <c r="AG283"/>
  <c r="AF283"/>
  <c r="AE283"/>
  <c r="AD283"/>
  <c r="AC283"/>
  <c r="AB283"/>
  <c r="AA283"/>
  <c r="AI282"/>
  <c r="AH282"/>
  <c r="AG282"/>
  <c r="AF282"/>
  <c r="AE282"/>
  <c r="AD282"/>
  <c r="AC282"/>
  <c r="AB282"/>
  <c r="AA282"/>
  <c r="AI281"/>
  <c r="AH281"/>
  <c r="AG281"/>
  <c r="AF281"/>
  <c r="AE281"/>
  <c r="AD281"/>
  <c r="AC281"/>
  <c r="AB281"/>
  <c r="AA281"/>
  <c r="AI280"/>
  <c r="AH280"/>
  <c r="AG280"/>
  <c r="AF280"/>
  <c r="AE280"/>
  <c r="AD280"/>
  <c r="AC280"/>
  <c r="AB280"/>
  <c r="AA280"/>
  <c r="AI279"/>
  <c r="AH279"/>
  <c r="AG279"/>
  <c r="AF279"/>
  <c r="AE279"/>
  <c r="AD279"/>
  <c r="AC279"/>
  <c r="AB279"/>
  <c r="AA279"/>
  <c r="AI278"/>
  <c r="AH278"/>
  <c r="AG278"/>
  <c r="AF278"/>
  <c r="AE278"/>
  <c r="AD278"/>
  <c r="AC278"/>
  <c r="AB278"/>
  <c r="AA278"/>
  <c r="AI277"/>
  <c r="AH277"/>
  <c r="AG277"/>
  <c r="AF277"/>
  <c r="AE277"/>
  <c r="AD277"/>
  <c r="AC277"/>
  <c r="AB277"/>
  <c r="AA277"/>
  <c r="AI276"/>
  <c r="AH276"/>
  <c r="AG276"/>
  <c r="AF276"/>
  <c r="AE276"/>
  <c r="AD276"/>
  <c r="AC276"/>
  <c r="AB276"/>
  <c r="AA276"/>
  <c r="AI275"/>
  <c r="AH275"/>
  <c r="AG275"/>
  <c r="AF275"/>
  <c r="AE275"/>
  <c r="AD275"/>
  <c r="AC275"/>
  <c r="AB275"/>
  <c r="AA275"/>
  <c r="AI274"/>
  <c r="AH274"/>
  <c r="AG274"/>
  <c r="AF274"/>
  <c r="AE274"/>
  <c r="AD274"/>
  <c r="AC274"/>
  <c r="AB274"/>
  <c r="AA274"/>
  <c r="AI273"/>
  <c r="AH273"/>
  <c r="AG273"/>
  <c r="AF273"/>
  <c r="AE273"/>
  <c r="AD273"/>
  <c r="AC273"/>
  <c r="AB273"/>
  <c r="AA273"/>
  <c r="AI272"/>
  <c r="AH272"/>
  <c r="AG272"/>
  <c r="AF272"/>
  <c r="AE272"/>
  <c r="AD272"/>
  <c r="AC272"/>
  <c r="AB272"/>
  <c r="AA272"/>
  <c r="AI271"/>
  <c r="AH271"/>
  <c r="AG271"/>
  <c r="AF271"/>
  <c r="AE271"/>
  <c r="AD271"/>
  <c r="AC271"/>
  <c r="AB271"/>
  <c r="AA271"/>
  <c r="AI270"/>
  <c r="AH270"/>
  <c r="AG270"/>
  <c r="AF270"/>
  <c r="AE270"/>
  <c r="AD270"/>
  <c r="AC270"/>
  <c r="AB270"/>
  <c r="AA270"/>
  <c r="AI269"/>
  <c r="AH269"/>
  <c r="AG269"/>
  <c r="AF269"/>
  <c r="AE269"/>
  <c r="AD269"/>
  <c r="AC269"/>
  <c r="AB269"/>
  <c r="AA269"/>
  <c r="AI268"/>
  <c r="AH268"/>
  <c r="AG268"/>
  <c r="AF268"/>
  <c r="AE268"/>
  <c r="AD268"/>
  <c r="AC268"/>
  <c r="AB268"/>
  <c r="AA268"/>
  <c r="AI267"/>
  <c r="AH267"/>
  <c r="AG267"/>
  <c r="AF267"/>
  <c r="AE267"/>
  <c r="AD267"/>
  <c r="AC267"/>
  <c r="AB267"/>
  <c r="AA267"/>
  <c r="AI266"/>
  <c r="AH266"/>
  <c r="AG266"/>
  <c r="AF266"/>
  <c r="AE266"/>
  <c r="AD266"/>
  <c r="AC266"/>
  <c r="AB266"/>
  <c r="AA266"/>
  <c r="AI265"/>
  <c r="AH265"/>
  <c r="AG265"/>
  <c r="AF265"/>
  <c r="AE265"/>
  <c r="AD265"/>
  <c r="AC265"/>
  <c r="AB265"/>
  <c r="AA265"/>
  <c r="AI264"/>
  <c r="AH264"/>
  <c r="AG264"/>
  <c r="AF264"/>
  <c r="AE264"/>
  <c r="AD264"/>
  <c r="AC264"/>
  <c r="AB264"/>
  <c r="AA264"/>
  <c r="AI263"/>
  <c r="AH263"/>
  <c r="AG263"/>
  <c r="AF263"/>
  <c r="AE263"/>
  <c r="AD263"/>
  <c r="AC263"/>
  <c r="AB263"/>
  <c r="AA263"/>
  <c r="AI262"/>
  <c r="AH262"/>
  <c r="AG262"/>
  <c r="AF262"/>
  <c r="AE262"/>
  <c r="AD262"/>
  <c r="AC262"/>
  <c r="AB262"/>
  <c r="AA262"/>
  <c r="AI261"/>
  <c r="AH261"/>
  <c r="AG261"/>
  <c r="AF261"/>
  <c r="AE261"/>
  <c r="AD261"/>
  <c r="AC261"/>
  <c r="AB261"/>
  <c r="AA261"/>
  <c r="AI260"/>
  <c r="AH260"/>
  <c r="AG260"/>
  <c r="AF260"/>
  <c r="AE260"/>
  <c r="AD260"/>
  <c r="AC260"/>
  <c r="AB260"/>
  <c r="AA260"/>
  <c r="AI259"/>
  <c r="AH259"/>
  <c r="AG259"/>
  <c r="AF259"/>
  <c r="AE259"/>
  <c r="AD259"/>
  <c r="AC259"/>
  <c r="AB259"/>
  <c r="AA259"/>
  <c r="AI258"/>
  <c r="AH258"/>
  <c r="AG258"/>
  <c r="AF258"/>
  <c r="AE258"/>
  <c r="AD258"/>
  <c r="AC258"/>
  <c r="AB258"/>
  <c r="AA258"/>
  <c r="AI257"/>
  <c r="AH257"/>
  <c r="AG257"/>
  <c r="AF257"/>
  <c r="AE257"/>
  <c r="AD257"/>
  <c r="AC257"/>
  <c r="AB257"/>
  <c r="AA257"/>
  <c r="AI256"/>
  <c r="AH256"/>
  <c r="AG256"/>
  <c r="AF256"/>
  <c r="AE256"/>
  <c r="AD256"/>
  <c r="AC256"/>
  <c r="AB256"/>
  <c r="AA256"/>
  <c r="AI255"/>
  <c r="AH255"/>
  <c r="AG255"/>
  <c r="AF255"/>
  <c r="AE255"/>
  <c r="AD255"/>
  <c r="AC255"/>
  <c r="AB255"/>
  <c r="AA255"/>
  <c r="AI254"/>
  <c r="AH254"/>
  <c r="AG254"/>
  <c r="AF254"/>
  <c r="AE254"/>
  <c r="AD254"/>
  <c r="AC254"/>
  <c r="AB254"/>
  <c r="AA254"/>
  <c r="AI253"/>
  <c r="AH253"/>
  <c r="AG253"/>
  <c r="AF253"/>
  <c r="AE253"/>
  <c r="AD253"/>
  <c r="AC253"/>
  <c r="AB253"/>
  <c r="AA253"/>
  <c r="AI252"/>
  <c r="AH252"/>
  <c r="AG252"/>
  <c r="AF252"/>
  <c r="AE252"/>
  <c r="AD252"/>
  <c r="AC252"/>
  <c r="AB252"/>
  <c r="AA252"/>
  <c r="AI251"/>
  <c r="AH251"/>
  <c r="AG251"/>
  <c r="AF251"/>
  <c r="AE251"/>
  <c r="AD251"/>
  <c r="AC251"/>
  <c r="AB251"/>
  <c r="AA251"/>
  <c r="AI250"/>
  <c r="AH250"/>
  <c r="AG250"/>
  <c r="AF250"/>
  <c r="AE250"/>
  <c r="AD250"/>
  <c r="AC250"/>
  <c r="AB250"/>
  <c r="AA250"/>
  <c r="AI249"/>
  <c r="AH249"/>
  <c r="AG249"/>
  <c r="AF249"/>
  <c r="AE249"/>
  <c r="AD249"/>
  <c r="AC249"/>
  <c r="AB249"/>
  <c r="AA249"/>
  <c r="AI248"/>
  <c r="AH248"/>
  <c r="AG248"/>
  <c r="AF248"/>
  <c r="AE248"/>
  <c r="AD248"/>
  <c r="AC248"/>
  <c r="AB248"/>
  <c r="AA248"/>
  <c r="AI247"/>
  <c r="AH247"/>
  <c r="AG247"/>
  <c r="AF247"/>
  <c r="AE247"/>
  <c r="AD247"/>
  <c r="AC247"/>
  <c r="AB247"/>
  <c r="AA247"/>
  <c r="AI246"/>
  <c r="AH246"/>
  <c r="AG246"/>
  <c r="AF246"/>
  <c r="AE246"/>
  <c r="AD246"/>
  <c r="AC246"/>
  <c r="AB246"/>
  <c r="AA246"/>
  <c r="AI245"/>
  <c r="AH245"/>
  <c r="AG245"/>
  <c r="AF245"/>
  <c r="AE245"/>
  <c r="AD245"/>
  <c r="AC245"/>
  <c r="AB245"/>
  <c r="AA245"/>
  <c r="AI244"/>
  <c r="AH244"/>
  <c r="AG244"/>
  <c r="AF244"/>
  <c r="AE244"/>
  <c r="AD244"/>
  <c r="AC244"/>
  <c r="AB244"/>
  <c r="AA244"/>
  <c r="AI243"/>
  <c r="AH243"/>
  <c r="AG243"/>
  <c r="AF243"/>
  <c r="AE243"/>
  <c r="AD243"/>
  <c r="AC243"/>
  <c r="AB243"/>
  <c r="AA243"/>
  <c r="AI242"/>
  <c r="AH242"/>
  <c r="AG242"/>
  <c r="AF242"/>
  <c r="AE242"/>
  <c r="AD242"/>
  <c r="AC242"/>
  <c r="AB242"/>
  <c r="AA242"/>
  <c r="AI241"/>
  <c r="AH241"/>
  <c r="AG241"/>
  <c r="AF241"/>
  <c r="AE241"/>
  <c r="AD241"/>
  <c r="AC241"/>
  <c r="AB241"/>
  <c r="AA241"/>
  <c r="AI240"/>
  <c r="AH240"/>
  <c r="AG240"/>
  <c r="AF240"/>
  <c r="AE240"/>
  <c r="AD240"/>
  <c r="AC240"/>
  <c r="AB240"/>
  <c r="AA240"/>
  <c r="AI239"/>
  <c r="AH239"/>
  <c r="AG239"/>
  <c r="AF239"/>
  <c r="AE239"/>
  <c r="AD239"/>
  <c r="AC239"/>
  <c r="AB239"/>
  <c r="AA239"/>
  <c r="AI238"/>
  <c r="AH238"/>
  <c r="AG238"/>
  <c r="AF238"/>
  <c r="AE238"/>
  <c r="AD238"/>
  <c r="AC238"/>
  <c r="AB238"/>
  <c r="AA238"/>
  <c r="AI237"/>
  <c r="AH237"/>
  <c r="AG237"/>
  <c r="AF237"/>
  <c r="AE237"/>
  <c r="AD237"/>
  <c r="AC237"/>
  <c r="AB237"/>
  <c r="AA237"/>
  <c r="AI236"/>
  <c r="AH236"/>
  <c r="AG236"/>
  <c r="AF236"/>
  <c r="AE236"/>
  <c r="AD236"/>
  <c r="AC236"/>
  <c r="AB236"/>
  <c r="AA236"/>
  <c r="AI235"/>
  <c r="AH235"/>
  <c r="AG235"/>
  <c r="AF235"/>
  <c r="AE235"/>
  <c r="AD235"/>
  <c r="AC235"/>
  <c r="AB235"/>
  <c r="AA235"/>
  <c r="AI234"/>
  <c r="AH234"/>
  <c r="AG234"/>
  <c r="AF234"/>
  <c r="AE234"/>
  <c r="AD234"/>
  <c r="AC234"/>
  <c r="AB234"/>
  <c r="AA234"/>
  <c r="AI233"/>
  <c r="AH233"/>
  <c r="AG233"/>
  <c r="AF233"/>
  <c r="AE233"/>
  <c r="AD233"/>
  <c r="AC233"/>
  <c r="AB233"/>
  <c r="AA233"/>
  <c r="AI232"/>
  <c r="AH232"/>
  <c r="AG232"/>
  <c r="AF232"/>
  <c r="AE232"/>
  <c r="AD232"/>
  <c r="AC232"/>
  <c r="AB232"/>
  <c r="AA232"/>
  <c r="AI231"/>
  <c r="AH231"/>
  <c r="AG231"/>
  <c r="AF231"/>
  <c r="AE231"/>
  <c r="AD231"/>
  <c r="AC231"/>
  <c r="AB231"/>
  <c r="AA231"/>
  <c r="AI230"/>
  <c r="AH230"/>
  <c r="AG230"/>
  <c r="AF230"/>
  <c r="AE230"/>
  <c r="AD230"/>
  <c r="AC230"/>
  <c r="AB230"/>
  <c r="AA230"/>
  <c r="AI229"/>
  <c r="AH229"/>
  <c r="AG229"/>
  <c r="AF229"/>
  <c r="AE229"/>
  <c r="AD229"/>
  <c r="AC229"/>
  <c r="AB229"/>
  <c r="AA229"/>
  <c r="AI228"/>
  <c r="AH228"/>
  <c r="AG228"/>
  <c r="AF228"/>
  <c r="AE228"/>
  <c r="AD228"/>
  <c r="AC228"/>
  <c r="AB228"/>
  <c r="AA228"/>
  <c r="AI227"/>
  <c r="AH227"/>
  <c r="AG227"/>
  <c r="AF227"/>
  <c r="AE227"/>
  <c r="AD227"/>
  <c r="AC227"/>
  <c r="AB227"/>
  <c r="AA227"/>
  <c r="AI226"/>
  <c r="AH226"/>
  <c r="AG226"/>
  <c r="AF226"/>
  <c r="AE226"/>
  <c r="AD226"/>
  <c r="AC226"/>
  <c r="AB226"/>
  <c r="AA226"/>
  <c r="AI225"/>
  <c r="AH225"/>
  <c r="AG225"/>
  <c r="AF225"/>
  <c r="AE225"/>
  <c r="AD225"/>
  <c r="AC225"/>
  <c r="AB225"/>
  <c r="AA225"/>
  <c r="AI224"/>
  <c r="AH224"/>
  <c r="AG224"/>
  <c r="AF224"/>
  <c r="AE224"/>
  <c r="AD224"/>
  <c r="AC224"/>
  <c r="AB224"/>
  <c r="AA224"/>
  <c r="AI223"/>
  <c r="AH223"/>
  <c r="AG223"/>
  <c r="AF223"/>
  <c r="AE223"/>
  <c r="AD223"/>
  <c r="AC223"/>
  <c r="AB223"/>
  <c r="AA223"/>
  <c r="AI222"/>
  <c r="AH222"/>
  <c r="AG222"/>
  <c r="AF222"/>
  <c r="AE222"/>
  <c r="AD222"/>
  <c r="AC222"/>
  <c r="AB222"/>
  <c r="AA222"/>
  <c r="AI221"/>
  <c r="AH221"/>
  <c r="AG221"/>
  <c r="AF221"/>
  <c r="AE221"/>
  <c r="AD221"/>
  <c r="AC221"/>
  <c r="AB221"/>
  <c r="AA221"/>
  <c r="AI220"/>
  <c r="AH220"/>
  <c r="AG220"/>
  <c r="AF220"/>
  <c r="AE220"/>
  <c r="AD220"/>
  <c r="AC220"/>
  <c r="AB220"/>
  <c r="AA220"/>
  <c r="AI219"/>
  <c r="AH219"/>
  <c r="AG219"/>
  <c r="AF219"/>
  <c r="AE219"/>
  <c r="AD219"/>
  <c r="AC219"/>
  <c r="AB219"/>
  <c r="AA219"/>
  <c r="AI218"/>
  <c r="AH218"/>
  <c r="AG218"/>
  <c r="AF218"/>
  <c r="AE218"/>
  <c r="AD218"/>
  <c r="AC218"/>
  <c r="AB218"/>
  <c r="AA218"/>
  <c r="AI217"/>
  <c r="AH217"/>
  <c r="AG217"/>
  <c r="AF217"/>
  <c r="AE217"/>
  <c r="AD217"/>
  <c r="AC217"/>
  <c r="AB217"/>
  <c r="AA217"/>
  <c r="AI216"/>
  <c r="AH216"/>
  <c r="AG216"/>
  <c r="AF216"/>
  <c r="AE216"/>
  <c r="AD216"/>
  <c r="AC216"/>
  <c r="AB216"/>
  <c r="AA216"/>
  <c r="AI215"/>
  <c r="AH215"/>
  <c r="AG215"/>
  <c r="AF215"/>
  <c r="AE215"/>
  <c r="AD215"/>
  <c r="AC215"/>
  <c r="AB215"/>
  <c r="AA215"/>
  <c r="AI214"/>
  <c r="AH214"/>
  <c r="AG214"/>
  <c r="AF214"/>
  <c r="AE214"/>
  <c r="AD214"/>
  <c r="AC214"/>
  <c r="AB214"/>
  <c r="AA214"/>
  <c r="AI213"/>
  <c r="AH213"/>
  <c r="AG213"/>
  <c r="AF213"/>
  <c r="AE213"/>
  <c r="AD213"/>
  <c r="AC213"/>
  <c r="AB213"/>
  <c r="AA213"/>
  <c r="AI212"/>
  <c r="AH212"/>
  <c r="AG212"/>
  <c r="AF212"/>
  <c r="AE212"/>
  <c r="AD212"/>
  <c r="AC212"/>
  <c r="AB212"/>
  <c r="AA212"/>
  <c r="AI211"/>
  <c r="AH211"/>
  <c r="AG211"/>
  <c r="AF211"/>
  <c r="AE211"/>
  <c r="AD211"/>
  <c r="AC211"/>
  <c r="AB211"/>
  <c r="AA211"/>
  <c r="AI210"/>
  <c r="AH210"/>
  <c r="AG210"/>
  <c r="AF210"/>
  <c r="AE210"/>
  <c r="AD210"/>
  <c r="AC210"/>
  <c r="AB210"/>
  <c r="AA210"/>
  <c r="AI209"/>
  <c r="AH209"/>
  <c r="AG209"/>
  <c r="AF209"/>
  <c r="AE209"/>
  <c r="AD209"/>
  <c r="AC209"/>
  <c r="AB209"/>
  <c r="AA209"/>
  <c r="AI208"/>
  <c r="AH208"/>
  <c r="AG208"/>
  <c r="AF208"/>
  <c r="AE208"/>
  <c r="AD208"/>
  <c r="AC208"/>
  <c r="AB208"/>
  <c r="AA208"/>
  <c r="AI207"/>
  <c r="AH207"/>
  <c r="AG207"/>
  <c r="AF207"/>
  <c r="AE207"/>
  <c r="AD207"/>
  <c r="AC207"/>
  <c r="AB207"/>
  <c r="AA207"/>
  <c r="AI206"/>
  <c r="AH206"/>
  <c r="AG206"/>
  <c r="AF206"/>
  <c r="AE206"/>
  <c r="AD206"/>
  <c r="AC206"/>
  <c r="AB206"/>
  <c r="AA206"/>
  <c r="AI205"/>
  <c r="AH205"/>
  <c r="AG205"/>
  <c r="AF205"/>
  <c r="AE205"/>
  <c r="AD205"/>
  <c r="AC205"/>
  <c r="AB205"/>
  <c r="AA205"/>
  <c r="AI204"/>
  <c r="AH204"/>
  <c r="AG204"/>
  <c r="AF204"/>
  <c r="AE204"/>
  <c r="AD204"/>
  <c r="AC204"/>
  <c r="AB204"/>
  <c r="AA204"/>
  <c r="AI203"/>
  <c r="AH203"/>
  <c r="AG203"/>
  <c r="AF203"/>
  <c r="AE203"/>
  <c r="AD203"/>
  <c r="AC203"/>
  <c r="AB203"/>
  <c r="AA203"/>
  <c r="AI202"/>
  <c r="AH202"/>
  <c r="AG202"/>
  <c r="AF202"/>
  <c r="AE202"/>
  <c r="AD202"/>
  <c r="AC202"/>
  <c r="AB202"/>
  <c r="AA202"/>
  <c r="AI201"/>
  <c r="AH201"/>
  <c r="AG201"/>
  <c r="AF201"/>
  <c r="AE201"/>
  <c r="AD201"/>
  <c r="AC201"/>
  <c r="AB201"/>
  <c r="AA201"/>
  <c r="AI200"/>
  <c r="AH200"/>
  <c r="AG200"/>
  <c r="AF200"/>
  <c r="AE200"/>
  <c r="AD200"/>
  <c r="AC200"/>
  <c r="AB200"/>
  <c r="AA200"/>
  <c r="AI199"/>
  <c r="AH199"/>
  <c r="AG199"/>
  <c r="AF199"/>
  <c r="AE199"/>
  <c r="AD199"/>
  <c r="AC199"/>
  <c r="AB199"/>
  <c r="AA199"/>
  <c r="AI198"/>
  <c r="AH198"/>
  <c r="AG198"/>
  <c r="AF198"/>
  <c r="AE198"/>
  <c r="AD198"/>
  <c r="AC198"/>
  <c r="AB198"/>
  <c r="AA198"/>
  <c r="AI197"/>
  <c r="AH197"/>
  <c r="AG197"/>
  <c r="AF197"/>
  <c r="AE197"/>
  <c r="AD197"/>
  <c r="AC197"/>
  <c r="AB197"/>
  <c r="AA197"/>
  <c r="AI196"/>
  <c r="AH196"/>
  <c r="AG196"/>
  <c r="AF196"/>
  <c r="AE196"/>
  <c r="AD196"/>
  <c r="AC196"/>
  <c r="AB196"/>
  <c r="AA196"/>
  <c r="AI195"/>
  <c r="AH195"/>
  <c r="AG195"/>
  <c r="AF195"/>
  <c r="AE195"/>
  <c r="AD195"/>
  <c r="AC195"/>
  <c r="AB195"/>
  <c r="AA195"/>
  <c r="AI194"/>
  <c r="AH194"/>
  <c r="AG194"/>
  <c r="AF194"/>
  <c r="AE194"/>
  <c r="AD194"/>
  <c r="AC194"/>
  <c r="AB194"/>
  <c r="AA194"/>
  <c r="AI193"/>
  <c r="AH193"/>
  <c r="AG193"/>
  <c r="AF193"/>
  <c r="AE193"/>
  <c r="AD193"/>
  <c r="AC193"/>
  <c r="AB193"/>
  <c r="AA193"/>
  <c r="AI192"/>
  <c r="AH192"/>
  <c r="AG192"/>
  <c r="AF192"/>
  <c r="AE192"/>
  <c r="AD192"/>
  <c r="AC192"/>
  <c r="AB192"/>
  <c r="AA192"/>
  <c r="AI191"/>
  <c r="AH191"/>
  <c r="AG191"/>
  <c r="AF191"/>
  <c r="AE191"/>
  <c r="AD191"/>
  <c r="AC191"/>
  <c r="AB191"/>
  <c r="AA191"/>
  <c r="AI190"/>
  <c r="AH190"/>
  <c r="AG190"/>
  <c r="AF190"/>
  <c r="AE190"/>
  <c r="AD190"/>
  <c r="AC190"/>
  <c r="AB190"/>
  <c r="AA190"/>
  <c r="AI189"/>
  <c r="AH189"/>
  <c r="AG189"/>
  <c r="AF189"/>
  <c r="AE189"/>
  <c r="AD189"/>
  <c r="AC189"/>
  <c r="AB189"/>
  <c r="AA189"/>
  <c r="AI188"/>
  <c r="AH188"/>
  <c r="AG188"/>
  <c r="AF188"/>
  <c r="AE188"/>
  <c r="AD188"/>
  <c r="AC188"/>
  <c r="AB188"/>
  <c r="AA188"/>
  <c r="AI187"/>
  <c r="AH187"/>
  <c r="AG187"/>
  <c r="AF187"/>
  <c r="AE187"/>
  <c r="AD187"/>
  <c r="AC187"/>
  <c r="AB187"/>
  <c r="AA187"/>
  <c r="AI186"/>
  <c r="AH186"/>
  <c r="AG186"/>
  <c r="AF186"/>
  <c r="AE186"/>
  <c r="AD186"/>
  <c r="AC186"/>
  <c r="AB186"/>
  <c r="AA186"/>
  <c r="AI185"/>
  <c r="AH185"/>
  <c r="AG185"/>
  <c r="AF185"/>
  <c r="AE185"/>
  <c r="AD185"/>
  <c r="AC185"/>
  <c r="AB185"/>
  <c r="AA185"/>
  <c r="AI184"/>
  <c r="AH184"/>
  <c r="AG184"/>
  <c r="AF184"/>
  <c r="AE184"/>
  <c r="AD184"/>
  <c r="AC184"/>
  <c r="AB184"/>
  <c r="AA184"/>
  <c r="AI183"/>
  <c r="AH183"/>
  <c r="AG183"/>
  <c r="AF183"/>
  <c r="AE183"/>
  <c r="AD183"/>
  <c r="AC183"/>
  <c r="AB183"/>
  <c r="AA183"/>
  <c r="AI182"/>
  <c r="AH182"/>
  <c r="AG182"/>
  <c r="AF182"/>
  <c r="AE182"/>
  <c r="AD182"/>
  <c r="AC182"/>
  <c r="AB182"/>
  <c r="AA182"/>
  <c r="AI181"/>
  <c r="AH181"/>
  <c r="AG181"/>
  <c r="AF181"/>
  <c r="AE181"/>
  <c r="AD181"/>
  <c r="AC181"/>
  <c r="AB181"/>
  <c r="AA181"/>
  <c r="AI180"/>
  <c r="AH180"/>
  <c r="AG180"/>
  <c r="AF180"/>
  <c r="AE180"/>
  <c r="AD180"/>
  <c r="AC180"/>
  <c r="AB180"/>
  <c r="AA180"/>
  <c r="AI179"/>
  <c r="AH179"/>
  <c r="AG179"/>
  <c r="AF179"/>
  <c r="AE179"/>
  <c r="AD179"/>
  <c r="AC179"/>
  <c r="AB179"/>
  <c r="AA179"/>
  <c r="AI178"/>
  <c r="AH178"/>
  <c r="AG178"/>
  <c r="AF178"/>
  <c r="AE178"/>
  <c r="AD178"/>
  <c r="AC178"/>
  <c r="AB178"/>
  <c r="AA178"/>
  <c r="AI177"/>
  <c r="AH177"/>
  <c r="AG177"/>
  <c r="AF177"/>
  <c r="AE177"/>
  <c r="AD177"/>
  <c r="AC177"/>
  <c r="AB177"/>
  <c r="AA177"/>
  <c r="AI176"/>
  <c r="AH176"/>
  <c r="AG176"/>
  <c r="AF176"/>
  <c r="AE176"/>
  <c r="AD176"/>
  <c r="AC176"/>
  <c r="AB176"/>
  <c r="AA176"/>
  <c r="AI175"/>
  <c r="AH175"/>
  <c r="AG175"/>
  <c r="AF175"/>
  <c r="AE175"/>
  <c r="AD175"/>
  <c r="AC175"/>
  <c r="AB175"/>
  <c r="AA175"/>
  <c r="AI174"/>
  <c r="AH174"/>
  <c r="AG174"/>
  <c r="AF174"/>
  <c r="AE174"/>
  <c r="AD174"/>
  <c r="AC174"/>
  <c r="AB174"/>
  <c r="AA174"/>
  <c r="AI173"/>
  <c r="AH173"/>
  <c r="AG173"/>
  <c r="AF173"/>
  <c r="AE173"/>
  <c r="AD173"/>
  <c r="AC173"/>
  <c r="AB173"/>
  <c r="AA173"/>
  <c r="AI172"/>
  <c r="AH172"/>
  <c r="AG172"/>
  <c r="AF172"/>
  <c r="AE172"/>
  <c r="AD172"/>
  <c r="AC172"/>
  <c r="AB172"/>
  <c r="AA172"/>
  <c r="AI171"/>
  <c r="AH171"/>
  <c r="AG171"/>
  <c r="AF171"/>
  <c r="AE171"/>
  <c r="AD171"/>
  <c r="AC171"/>
  <c r="AB171"/>
  <c r="AA171"/>
  <c r="AI170"/>
  <c r="AH170"/>
  <c r="AG170"/>
  <c r="AF170"/>
  <c r="AE170"/>
  <c r="AD170"/>
  <c r="AC170"/>
  <c r="AB170"/>
  <c r="AA170"/>
  <c r="AI169"/>
  <c r="AH169"/>
  <c r="AG169"/>
  <c r="AF169"/>
  <c r="AE169"/>
  <c r="AD169"/>
  <c r="AC169"/>
  <c r="AB169"/>
  <c r="AA169"/>
  <c r="AI168"/>
  <c r="AH168"/>
  <c r="AG168"/>
  <c r="AF168"/>
  <c r="AE168"/>
  <c r="AD168"/>
  <c r="AC168"/>
  <c r="AB168"/>
  <c r="AA168"/>
  <c r="AI167"/>
  <c r="AH167"/>
  <c r="AG167"/>
  <c r="AF167"/>
  <c r="AE167"/>
  <c r="AD167"/>
  <c r="AC167"/>
  <c r="AB167"/>
  <c r="AA167"/>
  <c r="AI166"/>
  <c r="AH166"/>
  <c r="AG166"/>
  <c r="AF166"/>
  <c r="AE166"/>
  <c r="AD166"/>
  <c r="AC166"/>
  <c r="AB166"/>
  <c r="AA166"/>
  <c r="AI165"/>
  <c r="AH165"/>
  <c r="AG165"/>
  <c r="AF165"/>
  <c r="AE165"/>
  <c r="AD165"/>
  <c r="AC165"/>
  <c r="AB165"/>
  <c r="AA165"/>
  <c r="AI164"/>
  <c r="AH164"/>
  <c r="AG164"/>
  <c r="AF164"/>
  <c r="AE164"/>
  <c r="AD164"/>
  <c r="AC164"/>
  <c r="AB164"/>
  <c r="AA164"/>
  <c r="AI163"/>
  <c r="AH163"/>
  <c r="AG163"/>
  <c r="AF163"/>
  <c r="AE163"/>
  <c r="AD163"/>
  <c r="AC163"/>
  <c r="AB163"/>
  <c r="AA163"/>
  <c r="AI162"/>
  <c r="AH162"/>
  <c r="AG162"/>
  <c r="AF162"/>
  <c r="AE162"/>
  <c r="AD162"/>
  <c r="AC162"/>
  <c r="AB162"/>
  <c r="AA162"/>
  <c r="AI161"/>
  <c r="AH161"/>
  <c r="AG161"/>
  <c r="AF161"/>
  <c r="AE161"/>
  <c r="AD161"/>
  <c r="AC161"/>
  <c r="AB161"/>
  <c r="AA161"/>
  <c r="AI160"/>
  <c r="AH160"/>
  <c r="AG160"/>
  <c r="AF160"/>
  <c r="AE160"/>
  <c r="AD160"/>
  <c r="AC160"/>
  <c r="AB160"/>
  <c r="AA160"/>
  <c r="AI159"/>
  <c r="AH159"/>
  <c r="AG159"/>
  <c r="AF159"/>
  <c r="AE159"/>
  <c r="AD159"/>
  <c r="AC159"/>
  <c r="AB159"/>
  <c r="AA159"/>
  <c r="AI158"/>
  <c r="AH158"/>
  <c r="AG158"/>
  <c r="AF158"/>
  <c r="AE158"/>
  <c r="AD158"/>
  <c r="AC158"/>
  <c r="AB158"/>
  <c r="AA158"/>
  <c r="AI157"/>
  <c r="AH157"/>
  <c r="AG157"/>
  <c r="AF157"/>
  <c r="AE157"/>
  <c r="AD157"/>
  <c r="AC157"/>
  <c r="AB157"/>
  <c r="AA157"/>
  <c r="AI156"/>
  <c r="AH156"/>
  <c r="AG156"/>
  <c r="AF156"/>
  <c r="AE156"/>
  <c r="AD156"/>
  <c r="AC156"/>
  <c r="AB156"/>
  <c r="AA156"/>
  <c r="AI155"/>
  <c r="AH155"/>
  <c r="AG155"/>
  <c r="AF155"/>
  <c r="AE155"/>
  <c r="AD155"/>
  <c r="AC155"/>
  <c r="AB155"/>
  <c r="AA155"/>
  <c r="AI154"/>
  <c r="AH154"/>
  <c r="AG154"/>
  <c r="AF154"/>
  <c r="AE154"/>
  <c r="AD154"/>
  <c r="AC154"/>
  <c r="AB154"/>
  <c r="AA154"/>
  <c r="AI153"/>
  <c r="AH153"/>
  <c r="AG153"/>
  <c r="AF153"/>
  <c r="AE153"/>
  <c r="AD153"/>
  <c r="AC153"/>
  <c r="AB153"/>
  <c r="AA153"/>
  <c r="AI152"/>
  <c r="AH152"/>
  <c r="AG152"/>
  <c r="AF152"/>
  <c r="AE152"/>
  <c r="AD152"/>
  <c r="AC152"/>
  <c r="AB152"/>
  <c r="AA152"/>
  <c r="AI151"/>
  <c r="AH151"/>
  <c r="AG151"/>
  <c r="AF151"/>
  <c r="AE151"/>
  <c r="AD151"/>
  <c r="AC151"/>
  <c r="AB151"/>
  <c r="AA151"/>
  <c r="AI150"/>
  <c r="AH150"/>
  <c r="AG150"/>
  <c r="AF150"/>
  <c r="AE150"/>
  <c r="AD150"/>
  <c r="AC150"/>
  <c r="AB150"/>
  <c r="AA150"/>
  <c r="AI149"/>
  <c r="AH149"/>
  <c r="AG149"/>
  <c r="AF149"/>
  <c r="AE149"/>
  <c r="AD149"/>
  <c r="AC149"/>
  <c r="AB149"/>
  <c r="AA149"/>
  <c r="AI148"/>
  <c r="AH148"/>
  <c r="AG148"/>
  <c r="AF148"/>
  <c r="AE148"/>
  <c r="AD148"/>
  <c r="AC148"/>
  <c r="AB148"/>
  <c r="AA148"/>
  <c r="AI147"/>
  <c r="AH147"/>
  <c r="AG147"/>
  <c r="AF147"/>
  <c r="AE147"/>
  <c r="AD147"/>
  <c r="AC147"/>
  <c r="AB147"/>
  <c r="AA147"/>
  <c r="AI146"/>
  <c r="AH146"/>
  <c r="AG146"/>
  <c r="AF146"/>
  <c r="AE146"/>
  <c r="AD146"/>
  <c r="AC146"/>
  <c r="AB146"/>
  <c r="AA146"/>
  <c r="AI145"/>
  <c r="AH145"/>
  <c r="AG145"/>
  <c r="AF145"/>
  <c r="AE145"/>
  <c r="AD145"/>
  <c r="AC145"/>
  <c r="AB145"/>
  <c r="AA145"/>
  <c r="AI144"/>
  <c r="AH144"/>
  <c r="AG144"/>
  <c r="AF144"/>
  <c r="AE144"/>
  <c r="AD144"/>
  <c r="AC144"/>
  <c r="AB144"/>
  <c r="AA144"/>
  <c r="AI143"/>
  <c r="AH143"/>
  <c r="AG143"/>
  <c r="AF143"/>
  <c r="AE143"/>
  <c r="AD143"/>
  <c r="AC143"/>
  <c r="AB143"/>
  <c r="AA143"/>
  <c r="AI142"/>
  <c r="AH142"/>
  <c r="AG142"/>
  <c r="AF142"/>
  <c r="AE142"/>
  <c r="AD142"/>
  <c r="AC142"/>
  <c r="AB142"/>
  <c r="AA142"/>
  <c r="AI141"/>
  <c r="AH141"/>
  <c r="AG141"/>
  <c r="AF141"/>
  <c r="AE141"/>
  <c r="AD141"/>
  <c r="AC141"/>
  <c r="AB141"/>
  <c r="AA141"/>
  <c r="AI140"/>
  <c r="AH140"/>
  <c r="AG140"/>
  <c r="AF140"/>
  <c r="AE140"/>
  <c r="AD140"/>
  <c r="AC140"/>
  <c r="AB140"/>
  <c r="AA140"/>
  <c r="AI139"/>
  <c r="AH139"/>
  <c r="AG139"/>
  <c r="AF139"/>
  <c r="AE139"/>
  <c r="AD139"/>
  <c r="AC139"/>
  <c r="AB139"/>
  <c r="AA139"/>
  <c r="AI138"/>
  <c r="AH138"/>
  <c r="AG138"/>
  <c r="AF138"/>
  <c r="AE138"/>
  <c r="AD138"/>
  <c r="AC138"/>
  <c r="AB138"/>
  <c r="AA138"/>
  <c r="AI137"/>
  <c r="AH137"/>
  <c r="AG137"/>
  <c r="AF137"/>
  <c r="AE137"/>
  <c r="AD137"/>
  <c r="AC137"/>
  <c r="AB137"/>
  <c r="AA137"/>
  <c r="AI136"/>
  <c r="AH136"/>
  <c r="AG136"/>
  <c r="AF136"/>
  <c r="AE136"/>
  <c r="AD136"/>
  <c r="AC136"/>
  <c r="AB136"/>
  <c r="AA136"/>
  <c r="AI135"/>
  <c r="AH135"/>
  <c r="AG135"/>
  <c r="AF135"/>
  <c r="AE135"/>
  <c r="AD135"/>
  <c r="AC135"/>
  <c r="AB135"/>
  <c r="AA135"/>
  <c r="AI134"/>
  <c r="AH134"/>
  <c r="AG134"/>
  <c r="AF134"/>
  <c r="AE134"/>
  <c r="AD134"/>
  <c r="AC134"/>
  <c r="AB134"/>
  <c r="AA134"/>
  <c r="AI133"/>
  <c r="AH133"/>
  <c r="AG133"/>
  <c r="AF133"/>
  <c r="AE133"/>
  <c r="AD133"/>
  <c r="AC133"/>
  <c r="AB133"/>
  <c r="AA133"/>
  <c r="AI132"/>
  <c r="AH132"/>
  <c r="AG132"/>
  <c r="AF132"/>
  <c r="AE132"/>
  <c r="AD132"/>
  <c r="AC132"/>
  <c r="AB132"/>
  <c r="AA132"/>
  <c r="AI131"/>
  <c r="AH131"/>
  <c r="AG131"/>
  <c r="AF131"/>
  <c r="AE131"/>
  <c r="AD131"/>
  <c r="AC131"/>
  <c r="AB131"/>
  <c r="AA131"/>
  <c r="AI130"/>
  <c r="AH130"/>
  <c r="AG130"/>
  <c r="AF130"/>
  <c r="AE130"/>
  <c r="AD130"/>
  <c r="AC130"/>
  <c r="AB130"/>
  <c r="AA130"/>
  <c r="AI129"/>
  <c r="AH129"/>
  <c r="AG129"/>
  <c r="AF129"/>
  <c r="AE129"/>
  <c r="AD129"/>
  <c r="AC129"/>
  <c r="AB129"/>
  <c r="AA129"/>
  <c r="AI128"/>
  <c r="AH128"/>
  <c r="AG128"/>
  <c r="AF128"/>
  <c r="AE128"/>
  <c r="AD128"/>
  <c r="AC128"/>
  <c r="AB128"/>
  <c r="AA128"/>
  <c r="AI127"/>
  <c r="AH127"/>
  <c r="AG127"/>
  <c r="AF127"/>
  <c r="AE127"/>
  <c r="AD127"/>
  <c r="AC127"/>
  <c r="AB127"/>
  <c r="AA127"/>
  <c r="AI126"/>
  <c r="AH126"/>
  <c r="AG126"/>
  <c r="AF126"/>
  <c r="AE126"/>
  <c r="AD126"/>
  <c r="AC126"/>
  <c r="AB126"/>
  <c r="AA126"/>
  <c r="AI125"/>
  <c r="AH125"/>
  <c r="AG125"/>
  <c r="AF125"/>
  <c r="AE125"/>
  <c r="AD125"/>
  <c r="AC125"/>
  <c r="AB125"/>
  <c r="AA125"/>
  <c r="AI124"/>
  <c r="AH124"/>
  <c r="AG124"/>
  <c r="AF124"/>
  <c r="AE124"/>
  <c r="AD124"/>
  <c r="AC124"/>
  <c r="AB124"/>
  <c r="AA124"/>
  <c r="AI123"/>
  <c r="AH123"/>
  <c r="AG123"/>
  <c r="AF123"/>
  <c r="AE123"/>
  <c r="AD123"/>
  <c r="AC123"/>
  <c r="AB123"/>
  <c r="AA123"/>
  <c r="AI122"/>
  <c r="AH122"/>
  <c r="AG122"/>
  <c r="AF122"/>
  <c r="AE122"/>
  <c r="AD122"/>
  <c r="AC122"/>
  <c r="AB122"/>
  <c r="AA122"/>
  <c r="AI121"/>
  <c r="AH121"/>
  <c r="AG121"/>
  <c r="AF121"/>
  <c r="AE121"/>
  <c r="AD121"/>
  <c r="AC121"/>
  <c r="AB121"/>
  <c r="AA121"/>
  <c r="AI120"/>
  <c r="AH120"/>
  <c r="AG120"/>
  <c r="AF120"/>
  <c r="AE120"/>
  <c r="AD120"/>
  <c r="AC120"/>
  <c r="AB120"/>
  <c r="AA120"/>
  <c r="AI119"/>
  <c r="AH119"/>
  <c r="AG119"/>
  <c r="AF119"/>
  <c r="AE119"/>
  <c r="AD119"/>
  <c r="AC119"/>
  <c r="AB119"/>
  <c r="AA119"/>
  <c r="AI118"/>
  <c r="AH118"/>
  <c r="AG118"/>
  <c r="AF118"/>
  <c r="AE118"/>
  <c r="AD118"/>
  <c r="AC118"/>
  <c r="AB118"/>
  <c r="AA118"/>
  <c r="AI117"/>
  <c r="AH117"/>
  <c r="AG117"/>
  <c r="AF117"/>
  <c r="AE117"/>
  <c r="AD117"/>
  <c r="AC117"/>
  <c r="AB117"/>
  <c r="AA117"/>
  <c r="AI116"/>
  <c r="AH116"/>
  <c r="AG116"/>
  <c r="AF116"/>
  <c r="AE116"/>
  <c r="AD116"/>
  <c r="AC116"/>
  <c r="AB116"/>
  <c r="AA116"/>
  <c r="AI115"/>
  <c r="AH115"/>
  <c r="AG115"/>
  <c r="AF115"/>
  <c r="AE115"/>
  <c r="AD115"/>
  <c r="AC115"/>
  <c r="AB115"/>
  <c r="AA115"/>
  <c r="AI114"/>
  <c r="AH114"/>
  <c r="AG114"/>
  <c r="AF114"/>
  <c r="AE114"/>
  <c r="AD114"/>
  <c r="AC114"/>
  <c r="AB114"/>
  <c r="AA114"/>
  <c r="AI113"/>
  <c r="AH113"/>
  <c r="AG113"/>
  <c r="AF113"/>
  <c r="AE113"/>
  <c r="AD113"/>
  <c r="AC113"/>
  <c r="AB113"/>
  <c r="AA113"/>
  <c r="AI112"/>
  <c r="AH112"/>
  <c r="AG112"/>
  <c r="AF112"/>
  <c r="AE112"/>
  <c r="AD112"/>
  <c r="AC112"/>
  <c r="AB112"/>
  <c r="AA112"/>
  <c r="AI111"/>
  <c r="AH111"/>
  <c r="AG111"/>
  <c r="AF111"/>
  <c r="AE111"/>
  <c r="AD111"/>
  <c r="AC111"/>
  <c r="AB111"/>
  <c r="AA111"/>
  <c r="AI110"/>
  <c r="AH110"/>
  <c r="AG110"/>
  <c r="AF110"/>
  <c r="AE110"/>
  <c r="AD110"/>
  <c r="AC110"/>
  <c r="AB110"/>
  <c r="AA110"/>
  <c r="AI109"/>
  <c r="AH109"/>
  <c r="AG109"/>
  <c r="AF109"/>
  <c r="AE109"/>
  <c r="AD109"/>
  <c r="AC109"/>
  <c r="AB109"/>
  <c r="AA109"/>
  <c r="AI108"/>
  <c r="AH108"/>
  <c r="AG108"/>
  <c r="AF108"/>
  <c r="AE108"/>
  <c r="AD108"/>
  <c r="AC108"/>
  <c r="AB108"/>
  <c r="AA108"/>
  <c r="AI107"/>
  <c r="AH107"/>
  <c r="AG107"/>
  <c r="AF107"/>
  <c r="AE107"/>
  <c r="AD107"/>
  <c r="AC107"/>
  <c r="AB107"/>
  <c r="AA107"/>
  <c r="AI106"/>
  <c r="AH106"/>
  <c r="AG106"/>
  <c r="AF106"/>
  <c r="AE106"/>
  <c r="AD106"/>
  <c r="AC106"/>
  <c r="AB106"/>
  <c r="AA106"/>
  <c r="AI105"/>
  <c r="AH105"/>
  <c r="AG105"/>
  <c r="AF105"/>
  <c r="AE105"/>
  <c r="AD105"/>
  <c r="AC105"/>
  <c r="AB105"/>
  <c r="AA105"/>
  <c r="AI104"/>
  <c r="AH104"/>
  <c r="AG104"/>
  <c r="AF104"/>
  <c r="AE104"/>
  <c r="AD104"/>
  <c r="AC104"/>
  <c r="AB104"/>
  <c r="AA104"/>
  <c r="AI103"/>
  <c r="AH103"/>
  <c r="AG103"/>
  <c r="AF103"/>
  <c r="AE103"/>
  <c r="AD103"/>
  <c r="AC103"/>
  <c r="AB103"/>
  <c r="AA103"/>
  <c r="AA11"/>
  <c r="AB11"/>
  <c r="AC11"/>
  <c r="AD11"/>
  <c r="AE11"/>
  <c r="AF11"/>
  <c r="AG11"/>
  <c r="AH11"/>
  <c r="AI11"/>
  <c r="AA12"/>
  <c r="AB12"/>
  <c r="AC12"/>
  <c r="AD12"/>
  <c r="AE12"/>
  <c r="AF12"/>
  <c r="AG12"/>
  <c r="AH12"/>
  <c r="AI12"/>
  <c r="AA13"/>
  <c r="AB13"/>
  <c r="AC13"/>
  <c r="AD13"/>
  <c r="AE13"/>
  <c r="AF13"/>
  <c r="AG13"/>
  <c r="AH13"/>
  <c r="AI13"/>
  <c r="AA14"/>
  <c r="AB14"/>
  <c r="AC14"/>
  <c r="AD14"/>
  <c r="AE14"/>
  <c r="AF14"/>
  <c r="AG14"/>
  <c r="AH14"/>
  <c r="AI14"/>
  <c r="AA15"/>
  <c r="AB15"/>
  <c r="AC15"/>
  <c r="AD15"/>
  <c r="AE15"/>
  <c r="AF15"/>
  <c r="AG15"/>
  <c r="AH15"/>
  <c r="AI15"/>
  <c r="AA16"/>
  <c r="AB16"/>
  <c r="AC16"/>
  <c r="AD16"/>
  <c r="AE16"/>
  <c r="AF16"/>
  <c r="AG16"/>
  <c r="AH16"/>
  <c r="AI16"/>
  <c r="AA17"/>
  <c r="AB17"/>
  <c r="AC17"/>
  <c r="AD17"/>
  <c r="AE17"/>
  <c r="AF17"/>
  <c r="AG17"/>
  <c r="AH17"/>
  <c r="AI17"/>
  <c r="AA18"/>
  <c r="AB18"/>
  <c r="AC18"/>
  <c r="AD18"/>
  <c r="AE18"/>
  <c r="AF18"/>
  <c r="AG18"/>
  <c r="AH18"/>
  <c r="AI18"/>
  <c r="AA19"/>
  <c r="AB19"/>
  <c r="AC19"/>
  <c r="AD19"/>
  <c r="AE19"/>
  <c r="AF19"/>
  <c r="AG19"/>
  <c r="AH19"/>
  <c r="AI19"/>
  <c r="AA20"/>
  <c r="AB20"/>
  <c r="AC20"/>
  <c r="AD20"/>
  <c r="AE20"/>
  <c r="AF20"/>
  <c r="AG20"/>
  <c r="AH20"/>
  <c r="AI20"/>
  <c r="AA21"/>
  <c r="AB21"/>
  <c r="AC21"/>
  <c r="AD21"/>
  <c r="AE21"/>
  <c r="AF21"/>
  <c r="AG21"/>
  <c r="AH21"/>
  <c r="AI21"/>
  <c r="AA22"/>
  <c r="AB22"/>
  <c r="AC22"/>
  <c r="AD22"/>
  <c r="AE22"/>
  <c r="AF22"/>
  <c r="AG22"/>
  <c r="AH22"/>
  <c r="AI22"/>
  <c r="AA23"/>
  <c r="AB23"/>
  <c r="AC23"/>
  <c r="AD23"/>
  <c r="AE23"/>
  <c r="AF23"/>
  <c r="AG23"/>
  <c r="AH23"/>
  <c r="AI23"/>
  <c r="AA24"/>
  <c r="AB24"/>
  <c r="AC24"/>
  <c r="AD24"/>
  <c r="AE24"/>
  <c r="AF24"/>
  <c r="AG24"/>
  <c r="AH24"/>
  <c r="AI24"/>
  <c r="AA25"/>
  <c r="AB25"/>
  <c r="AC25"/>
  <c r="AD25"/>
  <c r="AE25"/>
  <c r="AF25"/>
  <c r="AG25"/>
  <c r="AH25"/>
  <c r="AI25"/>
  <c r="AA26"/>
  <c r="AB26"/>
  <c r="AC26"/>
  <c r="AD26"/>
  <c r="AE26"/>
  <c r="AF26"/>
  <c r="AG26"/>
  <c r="AH26"/>
  <c r="AI26"/>
  <c r="AA27"/>
  <c r="AB27"/>
  <c r="AC27"/>
  <c r="AD27"/>
  <c r="AE27"/>
  <c r="AF27"/>
  <c r="AG27"/>
  <c r="AH27"/>
  <c r="AI27"/>
  <c r="AA28"/>
  <c r="AB28"/>
  <c r="AC28"/>
  <c r="AD28"/>
  <c r="AE28"/>
  <c r="AF28"/>
  <c r="AG28"/>
  <c r="AH28"/>
  <c r="AI28"/>
  <c r="AA29"/>
  <c r="AB29"/>
  <c r="AC29"/>
  <c r="AD29"/>
  <c r="AE29"/>
  <c r="AF29"/>
  <c r="AG29"/>
  <c r="AH29"/>
  <c r="AI29"/>
  <c r="AA30"/>
  <c r="AB30"/>
  <c r="AC30"/>
  <c r="AD30"/>
  <c r="AE30"/>
  <c r="AF30"/>
  <c r="AG30"/>
  <c r="AH30"/>
  <c r="AI30"/>
  <c r="AA31"/>
  <c r="AB31"/>
  <c r="AC31"/>
  <c r="AD31"/>
  <c r="AE31"/>
  <c r="AF31"/>
  <c r="AG31"/>
  <c r="AH31"/>
  <c r="AI31"/>
  <c r="AA32"/>
  <c r="AB32"/>
  <c r="AC32"/>
  <c r="AD32"/>
  <c r="AE32"/>
  <c r="AF32"/>
  <c r="AG32"/>
  <c r="AH32"/>
  <c r="AI32"/>
  <c r="AA33"/>
  <c r="AB33"/>
  <c r="AC33"/>
  <c r="AD33"/>
  <c r="AE33"/>
  <c r="AF33"/>
  <c r="AG33"/>
  <c r="AH33"/>
  <c r="AI33"/>
  <c r="AA34"/>
  <c r="AB34"/>
  <c r="AC34"/>
  <c r="AD34"/>
  <c r="AE34"/>
  <c r="AF34"/>
  <c r="AG34"/>
  <c r="AH34"/>
  <c r="AI34"/>
  <c r="AA35"/>
  <c r="AB35"/>
  <c r="AC35"/>
  <c r="AD35"/>
  <c r="AE35"/>
  <c r="AF35"/>
  <c r="AG35"/>
  <c r="AH35"/>
  <c r="AI35"/>
  <c r="AA36"/>
  <c r="AB36"/>
  <c r="AC36"/>
  <c r="AD36"/>
  <c r="AE36"/>
  <c r="AF36"/>
  <c r="AG36"/>
  <c r="AH36"/>
  <c r="AI36"/>
  <c r="AA37"/>
  <c r="AB37"/>
  <c r="AC37"/>
  <c r="AD37"/>
  <c r="AE37"/>
  <c r="AF37"/>
  <c r="AG37"/>
  <c r="AH37"/>
  <c r="AI37"/>
  <c r="AA38"/>
  <c r="AB38"/>
  <c r="AC38"/>
  <c r="AD38"/>
  <c r="AE38"/>
  <c r="AF38"/>
  <c r="AG38"/>
  <c r="AH38"/>
  <c r="AI38"/>
  <c r="AA39"/>
  <c r="AB39"/>
  <c r="AC39"/>
  <c r="AD39"/>
  <c r="AE39"/>
  <c r="AF39"/>
  <c r="AG39"/>
  <c r="AH39"/>
  <c r="AI39"/>
  <c r="AA40"/>
  <c r="AB40"/>
  <c r="AC40"/>
  <c r="AD40"/>
  <c r="AE40"/>
  <c r="AF40"/>
  <c r="AG40"/>
  <c r="AH40"/>
  <c r="AI40"/>
  <c r="AA41"/>
  <c r="AB41"/>
  <c r="AC41"/>
  <c r="AD41"/>
  <c r="AE41"/>
  <c r="AF41"/>
  <c r="AG41"/>
  <c r="AH41"/>
  <c r="AI41"/>
  <c r="AA42"/>
  <c r="AB42"/>
  <c r="AC42"/>
  <c r="AD42"/>
  <c r="AE42"/>
  <c r="AF42"/>
  <c r="AG42"/>
  <c r="AH42"/>
  <c r="AI42"/>
  <c r="AA43"/>
  <c r="AB43"/>
  <c r="AC43"/>
  <c r="AD43"/>
  <c r="AE43"/>
  <c r="AF43"/>
  <c r="AG43"/>
  <c r="AH43"/>
  <c r="AI43"/>
  <c r="AA44"/>
  <c r="AB44"/>
  <c r="AC44"/>
  <c r="AD44"/>
  <c r="AE44"/>
  <c r="AF44"/>
  <c r="AG44"/>
  <c r="AH44"/>
  <c r="AI44"/>
  <c r="AA45"/>
  <c r="AB45"/>
  <c r="AC45"/>
  <c r="AD45"/>
  <c r="AE45"/>
  <c r="AF45"/>
  <c r="AG45"/>
  <c r="AH45"/>
  <c r="AI45"/>
  <c r="AA46"/>
  <c r="AB46"/>
  <c r="AC46"/>
  <c r="AD46"/>
  <c r="AE46"/>
  <c r="AF46"/>
  <c r="AG46"/>
  <c r="AH46"/>
  <c r="AI46"/>
  <c r="AA47"/>
  <c r="AB47"/>
  <c r="AC47"/>
  <c r="AD47"/>
  <c r="AE47"/>
  <c r="AF47"/>
  <c r="AG47"/>
  <c r="AH47"/>
  <c r="AI47"/>
  <c r="AA48"/>
  <c r="AB48"/>
  <c r="AC48"/>
  <c r="AD48"/>
  <c r="AE48"/>
  <c r="AF48"/>
  <c r="AG48"/>
  <c r="AH48"/>
  <c r="AI48"/>
  <c r="AA49"/>
  <c r="AB49"/>
  <c r="AC49"/>
  <c r="AD49"/>
  <c r="AE49"/>
  <c r="AF49"/>
  <c r="AG49"/>
  <c r="AH49"/>
  <c r="AI49"/>
  <c r="AA50"/>
  <c r="AB50"/>
  <c r="AC50"/>
  <c r="AD50"/>
  <c r="AE50"/>
  <c r="AF50"/>
  <c r="AG50"/>
  <c r="AH50"/>
  <c r="AI50"/>
  <c r="AA51"/>
  <c r="AB51"/>
  <c r="AC51"/>
  <c r="AD51"/>
  <c r="AE51"/>
  <c r="AF51"/>
  <c r="AG51"/>
  <c r="AH51"/>
  <c r="AI51"/>
  <c r="AA52"/>
  <c r="AB52"/>
  <c r="AC52"/>
  <c r="AD52"/>
  <c r="AE52"/>
  <c r="AF52"/>
  <c r="AG52"/>
  <c r="AH52"/>
  <c r="AI52"/>
  <c r="AA53"/>
  <c r="AB53"/>
  <c r="AC53"/>
  <c r="AD53"/>
  <c r="AE53"/>
  <c r="AF53"/>
  <c r="AG53"/>
  <c r="AH53"/>
  <c r="AI53"/>
  <c r="AA54"/>
  <c r="AB54"/>
  <c r="AC54"/>
  <c r="AD54"/>
  <c r="AE54"/>
  <c r="AF54"/>
  <c r="AG54"/>
  <c r="AH54"/>
  <c r="AI54"/>
  <c r="AA55"/>
  <c r="AB55"/>
  <c r="AC55"/>
  <c r="AD55"/>
  <c r="AE55"/>
  <c r="AF55"/>
  <c r="AG55"/>
  <c r="AH55"/>
  <c r="AI55"/>
  <c r="AA56"/>
  <c r="AB56"/>
  <c r="AC56"/>
  <c r="AD56"/>
  <c r="AE56"/>
  <c r="AF56"/>
  <c r="AG56"/>
  <c r="AH56"/>
  <c r="AI56"/>
  <c r="AA57"/>
  <c r="AB57"/>
  <c r="AC57"/>
  <c r="AD57"/>
  <c r="AE57"/>
  <c r="AF57"/>
  <c r="AG57"/>
  <c r="AH57"/>
  <c r="AI57"/>
  <c r="AA58"/>
  <c r="AB58"/>
  <c r="AC58"/>
  <c r="AD58"/>
  <c r="AE58"/>
  <c r="AF58"/>
  <c r="AG58"/>
  <c r="AH58"/>
  <c r="AI58"/>
  <c r="AA59"/>
  <c r="AB59"/>
  <c r="AC59"/>
  <c r="AD59"/>
  <c r="AE59"/>
  <c r="AF59"/>
  <c r="AG59"/>
  <c r="AH59"/>
  <c r="AI59"/>
  <c r="AA60"/>
  <c r="AB60"/>
  <c r="AC60"/>
  <c r="AD60"/>
  <c r="AE60"/>
  <c r="AF60"/>
  <c r="AG60"/>
  <c r="AH60"/>
  <c r="AI60"/>
  <c r="AA61"/>
  <c r="AB61"/>
  <c r="AC61"/>
  <c r="AD61"/>
  <c r="AE61"/>
  <c r="AF61"/>
  <c r="AG61"/>
  <c r="AH61"/>
  <c r="AI61"/>
  <c r="AA62"/>
  <c r="AB62"/>
  <c r="AC62"/>
  <c r="AD62"/>
  <c r="AE62"/>
  <c r="AF62"/>
  <c r="AG62"/>
  <c r="AH62"/>
  <c r="AI62"/>
  <c r="AA63"/>
  <c r="AB63"/>
  <c r="AC63"/>
  <c r="AD63"/>
  <c r="AE63"/>
  <c r="AF63"/>
  <c r="AG63"/>
  <c r="AH63"/>
  <c r="AI63"/>
  <c r="AA64"/>
  <c r="AB64"/>
  <c r="AC64"/>
  <c r="AD64"/>
  <c r="AE64"/>
  <c r="AF64"/>
  <c r="AG64"/>
  <c r="AH64"/>
  <c r="AI64"/>
  <c r="AA65"/>
  <c r="AB65"/>
  <c r="AC65"/>
  <c r="AD65"/>
  <c r="AE65"/>
  <c r="AF65"/>
  <c r="AG65"/>
  <c r="AH65"/>
  <c r="AI65"/>
  <c r="AA66"/>
  <c r="AB66"/>
  <c r="AC66"/>
  <c r="AD66"/>
  <c r="AE66"/>
  <c r="AF66"/>
  <c r="AG66"/>
  <c r="AH66"/>
  <c r="AI66"/>
  <c r="AA67"/>
  <c r="AB67"/>
  <c r="AC67"/>
  <c r="AD67"/>
  <c r="AE67"/>
  <c r="AF67"/>
  <c r="AG67"/>
  <c r="AH67"/>
  <c r="AI67"/>
  <c r="AA68"/>
  <c r="AB68"/>
  <c r="AC68"/>
  <c r="AD68"/>
  <c r="AE68"/>
  <c r="AF68"/>
  <c r="AG68"/>
  <c r="AH68"/>
  <c r="AI68"/>
  <c r="AA69"/>
  <c r="AB69"/>
  <c r="AC69"/>
  <c r="AD69"/>
  <c r="AE69"/>
  <c r="AF69"/>
  <c r="AG69"/>
  <c r="AH69"/>
  <c r="AI69"/>
  <c r="AA70"/>
  <c r="AB70"/>
  <c r="AC70"/>
  <c r="AD70"/>
  <c r="AE70"/>
  <c r="AF70"/>
  <c r="AG70"/>
  <c r="AH70"/>
  <c r="AI70"/>
  <c r="AA71"/>
  <c r="AB71"/>
  <c r="AC71"/>
  <c r="AD71"/>
  <c r="AE71"/>
  <c r="AF71"/>
  <c r="AG71"/>
  <c r="AH71"/>
  <c r="AI71"/>
  <c r="AA72"/>
  <c r="AB72"/>
  <c r="AC72"/>
  <c r="AD72"/>
  <c r="AE72"/>
  <c r="AF72"/>
  <c r="AG72"/>
  <c r="AH72"/>
  <c r="AI72"/>
  <c r="AA73"/>
  <c r="AB73"/>
  <c r="AC73"/>
  <c r="AD73"/>
  <c r="AE73"/>
  <c r="AF73"/>
  <c r="AG73"/>
  <c r="AH73"/>
  <c r="AI73"/>
  <c r="AA74"/>
  <c r="AB74"/>
  <c r="AC74"/>
  <c r="AD74"/>
  <c r="AE74"/>
  <c r="AF74"/>
  <c r="AG74"/>
  <c r="AH74"/>
  <c r="AI74"/>
  <c r="AA75"/>
  <c r="AB75"/>
  <c r="AC75"/>
  <c r="AD75"/>
  <c r="AE75"/>
  <c r="AF75"/>
  <c r="AG75"/>
  <c r="AH75"/>
  <c r="AI75"/>
  <c r="AA76"/>
  <c r="AB76"/>
  <c r="AC76"/>
  <c r="AD76"/>
  <c r="AE76"/>
  <c r="AF76"/>
  <c r="AG76"/>
  <c r="AH76"/>
  <c r="AI76"/>
  <c r="AA77"/>
  <c r="AB77"/>
  <c r="AC77"/>
  <c r="AD77"/>
  <c r="AE77"/>
  <c r="AF77"/>
  <c r="AG77"/>
  <c r="AH77"/>
  <c r="AI77"/>
  <c r="AA78"/>
  <c r="AB78"/>
  <c r="AC78"/>
  <c r="AD78"/>
  <c r="AE78"/>
  <c r="AF78"/>
  <c r="AG78"/>
  <c r="AH78"/>
  <c r="AI78"/>
  <c r="AA79"/>
  <c r="AB79"/>
  <c r="AC79"/>
  <c r="AD79"/>
  <c r="AE79"/>
  <c r="AF79"/>
  <c r="AG79"/>
  <c r="AH79"/>
  <c r="AI79"/>
  <c r="AA80"/>
  <c r="AB80"/>
  <c r="AC80"/>
  <c r="AD80"/>
  <c r="AE80"/>
  <c r="AF80"/>
  <c r="AG80"/>
  <c r="AH80"/>
  <c r="AI80"/>
  <c r="AA81"/>
  <c r="AB81"/>
  <c r="AC81"/>
  <c r="AD81"/>
  <c r="AE81"/>
  <c r="AF81"/>
  <c r="AG81"/>
  <c r="AH81"/>
  <c r="AI81"/>
  <c r="AA82"/>
  <c r="AB82"/>
  <c r="AC82"/>
  <c r="AD82"/>
  <c r="AE82"/>
  <c r="AF82"/>
  <c r="AG82"/>
  <c r="AH82"/>
  <c r="AI82"/>
  <c r="AA83"/>
  <c r="AB83"/>
  <c r="AC83"/>
  <c r="AD83"/>
  <c r="AE83"/>
  <c r="AF83"/>
  <c r="AG83"/>
  <c r="AH83"/>
  <c r="AI83"/>
  <c r="AA84"/>
  <c r="AB84"/>
  <c r="AC84"/>
  <c r="AD84"/>
  <c r="AE84"/>
  <c r="AF84"/>
  <c r="AG84"/>
  <c r="AH84"/>
  <c r="AI84"/>
  <c r="AA85"/>
  <c r="AB85"/>
  <c r="AC85"/>
  <c r="AD85"/>
  <c r="AE85"/>
  <c r="AF85"/>
  <c r="AG85"/>
  <c r="AH85"/>
  <c r="AI85"/>
  <c r="AA86"/>
  <c r="AB86"/>
  <c r="AC86"/>
  <c r="AD86"/>
  <c r="AE86"/>
  <c r="AF86"/>
  <c r="AG86"/>
  <c r="AH86"/>
  <c r="AI86"/>
  <c r="AA87"/>
  <c r="AB87"/>
  <c r="AC87"/>
  <c r="AD87"/>
  <c r="AE87"/>
  <c r="AF87"/>
  <c r="AG87"/>
  <c r="AH87"/>
  <c r="AI87"/>
  <c r="AA88"/>
  <c r="AB88"/>
  <c r="AC88"/>
  <c r="AD88"/>
  <c r="AE88"/>
  <c r="AF88"/>
  <c r="AG88"/>
  <c r="AH88"/>
  <c r="AI88"/>
  <c r="AA89"/>
  <c r="AB89"/>
  <c r="AC89"/>
  <c r="AD89"/>
  <c r="AE89"/>
  <c r="AF89"/>
  <c r="AG89"/>
  <c r="AH89"/>
  <c r="AI89"/>
  <c r="AA90"/>
  <c r="AB90"/>
  <c r="AC90"/>
  <c r="AD90"/>
  <c r="AE90"/>
  <c r="AF90"/>
  <c r="AG90"/>
  <c r="AH90"/>
  <c r="AI90"/>
  <c r="AA91"/>
  <c r="AB91"/>
  <c r="AC91"/>
  <c r="AD91"/>
  <c r="AE91"/>
  <c r="AF91"/>
  <c r="AG91"/>
  <c r="AH91"/>
  <c r="AI91"/>
  <c r="AA92"/>
  <c r="AB92"/>
  <c r="AC92"/>
  <c r="AD92"/>
  <c r="AE92"/>
  <c r="AF92"/>
  <c r="AG92"/>
  <c r="AH92"/>
  <c r="AI92"/>
  <c r="AA93"/>
  <c r="AB93"/>
  <c r="AC93"/>
  <c r="AD93"/>
  <c r="AE93"/>
  <c r="AF93"/>
  <c r="AG93"/>
  <c r="AH93"/>
  <c r="AI93"/>
  <c r="AA94"/>
  <c r="AB94"/>
  <c r="AC94"/>
  <c r="AD94"/>
  <c r="AE94"/>
  <c r="AF94"/>
  <c r="AG94"/>
  <c r="AH94"/>
  <c r="AI94"/>
  <c r="AA95"/>
  <c r="AB95"/>
  <c r="AC95"/>
  <c r="AD95"/>
  <c r="AE95"/>
  <c r="AF95"/>
  <c r="AG95"/>
  <c r="AH95"/>
  <c r="AI95"/>
  <c r="AA96"/>
  <c r="AB96"/>
  <c r="AC96"/>
  <c r="AD96"/>
  <c r="AE96"/>
  <c r="AF96"/>
  <c r="AG96"/>
  <c r="AH96"/>
  <c r="AI96"/>
  <c r="AA97"/>
  <c r="AB97"/>
  <c r="AC97"/>
  <c r="AD97"/>
  <c r="AE97"/>
  <c r="AF97"/>
  <c r="AG97"/>
  <c r="AH97"/>
  <c r="AI97"/>
  <c r="AA98"/>
  <c r="AB98"/>
  <c r="AC98"/>
  <c r="AD98"/>
  <c r="AE98"/>
  <c r="AF98"/>
  <c r="AG98"/>
  <c r="AH98"/>
  <c r="AI98"/>
  <c r="AA99"/>
  <c r="AB99"/>
  <c r="AC99"/>
  <c r="AD99"/>
  <c r="AE99"/>
  <c r="AF99"/>
  <c r="AG99"/>
  <c r="AH99"/>
  <c r="AI99"/>
  <c r="AA100"/>
  <c r="AB100"/>
  <c r="AC100"/>
  <c r="AD100"/>
  <c r="AE100"/>
  <c r="AF100"/>
  <c r="AG100"/>
  <c r="AH100"/>
  <c r="AI100"/>
  <c r="AA101"/>
  <c r="AB101"/>
  <c r="AC101"/>
  <c r="AD101"/>
  <c r="AE101"/>
  <c r="AF101"/>
  <c r="AG101"/>
  <c r="AH101"/>
  <c r="AI101"/>
  <c r="AA102"/>
  <c r="AB102"/>
  <c r="AC102"/>
  <c r="AD102"/>
  <c r="AE102"/>
  <c r="AF102"/>
  <c r="AG102"/>
  <c r="AH102"/>
  <c r="AI102"/>
  <c r="AI10"/>
  <c r="AH10"/>
  <c r="AG10"/>
  <c r="AF10"/>
  <c r="AE10"/>
  <c r="AD10"/>
  <c r="AC10"/>
  <c r="AB10"/>
  <c r="AA10"/>
  <c r="AI9"/>
  <c r="AH9"/>
  <c r="AG9"/>
  <c r="AF9"/>
  <c r="AE9"/>
  <c r="AD9"/>
  <c r="AC9"/>
  <c r="AB9"/>
  <c r="AA9"/>
  <c r="AI8"/>
  <c r="AH8"/>
  <c r="AG8"/>
  <c r="AF8"/>
  <c r="AE8"/>
  <c r="AD8"/>
  <c r="AC8"/>
  <c r="AB8"/>
  <c r="AA8"/>
  <c r="AC4"/>
  <c r="AC5"/>
  <c r="AC6"/>
  <c r="AC7"/>
  <c r="AC3"/>
  <c r="AI4"/>
  <c r="AI5"/>
  <c r="AI6"/>
  <c r="AI7"/>
  <c r="AI3"/>
  <c r="AG4"/>
  <c r="AH4"/>
  <c r="AG5"/>
  <c r="AH5"/>
  <c r="AG6"/>
  <c r="AH6"/>
  <c r="AG7"/>
  <c r="AH7"/>
  <c r="AH3"/>
  <c r="AG3"/>
  <c r="AE4" l="1"/>
  <c r="AF4"/>
  <c r="AE5"/>
  <c r="AF5"/>
  <c r="AE6"/>
  <c r="AF6"/>
  <c r="AE7"/>
  <c r="AF7"/>
  <c r="AE3"/>
  <c r="AF3"/>
  <c r="AD4"/>
  <c r="AD5"/>
  <c r="AD6"/>
  <c r="AD7"/>
  <c r="AD3"/>
  <c r="AB4"/>
  <c r="AB5"/>
  <c r="AB6"/>
  <c r="AB7"/>
  <c r="AB3"/>
  <c r="AA4"/>
  <c r="AA5"/>
  <c r="AA6"/>
  <c r="AA7"/>
  <c r="AA3"/>
</calcChain>
</file>

<file path=xl/sharedStrings.xml><?xml version="1.0" encoding="utf-8"?>
<sst xmlns="http://schemas.openxmlformats.org/spreadsheetml/2006/main" count="9080" uniqueCount="254">
  <si>
    <t>configid</t>
    <phoneticPr fontId="0" type="noConversion"/>
  </si>
  <si>
    <t>流水号</t>
    <phoneticPr fontId="0" type="noConversion"/>
  </si>
  <si>
    <t>时间</t>
    <phoneticPr fontId="0" type="noConversion"/>
  </si>
  <si>
    <t>步数</t>
    <phoneticPr fontId="0" type="noConversion"/>
  </si>
  <si>
    <t>配置用</t>
    <phoneticPr fontId="0" type="noConversion"/>
  </si>
  <si>
    <t>Limit</t>
    <phoneticPr fontId="0" type="noConversion"/>
  </si>
  <si>
    <t>0步数1时间</t>
    <phoneticPr fontId="0" type="noConversion"/>
  </si>
  <si>
    <t>目标1</t>
    <phoneticPr fontId="8" type="noConversion"/>
  </si>
  <si>
    <t>目标2</t>
  </si>
  <si>
    <t>目标3</t>
  </si>
  <si>
    <t>目标4</t>
  </si>
  <si>
    <t>目标5</t>
  </si>
  <si>
    <t>目标6</t>
  </si>
  <si>
    <t>weight</t>
    <phoneticPr fontId="0" type="noConversion"/>
  </si>
  <si>
    <t>掉落权值</t>
    <phoneticPr fontId="0" type="noConversion"/>
  </si>
  <si>
    <t>1星分数</t>
    <phoneticPr fontId="0" type="noConversion"/>
  </si>
  <si>
    <t>2星分数</t>
  </si>
  <si>
    <t>3星分数</t>
  </si>
  <si>
    <t>stars</t>
    <phoneticPr fontId="0" type="noConversion"/>
  </si>
  <si>
    <t>星级得分</t>
    <phoneticPr fontId="0" type="noConversion"/>
  </si>
  <si>
    <t>LvID</t>
    <phoneticPr fontId="0" type="noConversion"/>
  </si>
  <si>
    <t>关卡ID</t>
    <phoneticPr fontId="0" type="noConversion"/>
  </si>
  <si>
    <t>target-score</t>
    <phoneticPr fontId="0" type="noConversion"/>
  </si>
  <si>
    <t>通关目标-分数（1/2/3）</t>
    <phoneticPr fontId="0" type="noConversion"/>
  </si>
  <si>
    <t>target-collect</t>
    <phoneticPr fontId="0" type="noConversion"/>
  </si>
  <si>
    <t>通关目标-掉落</t>
    <phoneticPr fontId="0" type="noConversion"/>
  </si>
  <si>
    <t>target-collectnums</t>
    <phoneticPr fontId="0" type="noConversion"/>
  </si>
  <si>
    <t>通关目标-掉落数量</t>
    <phoneticPr fontId="0" type="noConversion"/>
  </si>
  <si>
    <t>模式</t>
    <phoneticPr fontId="0" type="noConversion"/>
  </si>
  <si>
    <t>mode</t>
    <phoneticPr fontId="0" type="noConversion"/>
  </si>
  <si>
    <t>过关条件</t>
    <phoneticPr fontId="0" type="noConversion"/>
  </si>
  <si>
    <t>得分</t>
    <phoneticPr fontId="0" type="noConversion"/>
  </si>
  <si>
    <t>掉落收集</t>
    <phoneticPr fontId="0" type="noConversion"/>
  </si>
  <si>
    <t>物品收集</t>
    <phoneticPr fontId="0" type="noConversion"/>
  </si>
  <si>
    <t>格子</t>
    <phoneticPr fontId="0" type="noConversion"/>
  </si>
  <si>
    <t>笼子</t>
    <phoneticPr fontId="0" type="noConversion"/>
  </si>
  <si>
    <t>炸弹</t>
    <phoneticPr fontId="0" type="noConversion"/>
  </si>
  <si>
    <t>掉落0</t>
    <phoneticPr fontId="0" type="noConversion"/>
  </si>
  <si>
    <t>掉落1</t>
    <phoneticPr fontId="0" type="noConversion"/>
  </si>
  <si>
    <t>目标2数量</t>
  </si>
  <si>
    <t>目标3数量</t>
  </si>
  <si>
    <t>目标4数量</t>
  </si>
  <si>
    <t>目标5数量</t>
  </si>
  <si>
    <t>目标6数量</t>
  </si>
  <si>
    <t>target-item</t>
    <phoneticPr fontId="0" type="noConversion"/>
  </si>
  <si>
    <t>target-itemnum</t>
    <phoneticPr fontId="0" type="noConversion"/>
  </si>
  <si>
    <t>通关目标-收集物</t>
    <phoneticPr fontId="0" type="noConversion"/>
  </si>
  <si>
    <t>target-cagehp</t>
    <phoneticPr fontId="0" type="noConversion"/>
  </si>
  <si>
    <t>炸弹回合数</t>
    <phoneticPr fontId="0" type="noConversion"/>
  </si>
  <si>
    <t>收集炸弹数</t>
    <phoneticPr fontId="0" type="noConversion"/>
  </si>
  <si>
    <t>无</t>
    <phoneticPr fontId="0" type="noConversion"/>
  </si>
  <si>
    <t>得分</t>
  </si>
  <si>
    <t>掉落收集</t>
  </si>
  <si>
    <t>物品收集</t>
  </si>
  <si>
    <t>格子</t>
  </si>
  <si>
    <t>笼子</t>
  </si>
  <si>
    <t>炸弹</t>
  </si>
  <si>
    <t>通关目标-笼子血量</t>
    <phoneticPr fontId="0" type="noConversion"/>
  </si>
  <si>
    <t/>
  </si>
  <si>
    <t>通关目标-炸弹数量/回合</t>
    <phoneticPr fontId="0" type="noConversion"/>
  </si>
  <si>
    <t>通关目标-收集物品数量</t>
    <phoneticPr fontId="0" type="noConversion"/>
  </si>
  <si>
    <t>目标1数量</t>
    <phoneticPr fontId="8" type="noConversion"/>
  </si>
  <si>
    <t>Limit</t>
    <phoneticPr fontId="9" type="noConversion"/>
  </si>
  <si>
    <t>weight</t>
    <phoneticPr fontId="9" type="noConversion"/>
  </si>
  <si>
    <t>mode</t>
    <phoneticPr fontId="9" type="noConversion"/>
  </si>
  <si>
    <t>stars</t>
    <phoneticPr fontId="9" type="noConversion"/>
  </si>
  <si>
    <t>target-score</t>
    <phoneticPr fontId="9" type="noConversion"/>
  </si>
  <si>
    <t>target-collect</t>
    <phoneticPr fontId="9" type="noConversion"/>
  </si>
  <si>
    <t>target-collectnums</t>
    <phoneticPr fontId="9" type="noConversion"/>
  </si>
  <si>
    <t>target-item</t>
    <phoneticPr fontId="9" type="noConversion"/>
  </si>
  <si>
    <t>target-itemnum</t>
    <phoneticPr fontId="9" type="noConversion"/>
  </si>
  <si>
    <t>target-cagehp</t>
    <phoneticPr fontId="9" type="noConversion"/>
  </si>
  <si>
    <t>0/10</t>
    <phoneticPr fontId="9" type="noConversion"/>
  </si>
  <si>
    <t>100,0,100,100,100,0</t>
    <phoneticPr fontId="9" type="noConversion"/>
  </si>
  <si>
    <t>1000/3000/6000</t>
    <phoneticPr fontId="9" type="noConversion"/>
  </si>
  <si>
    <t>0/</t>
    <phoneticPr fontId="9" type="noConversion"/>
  </si>
  <si>
    <t>10/</t>
    <phoneticPr fontId="9" type="noConversion"/>
  </si>
  <si>
    <t>10/5</t>
    <phoneticPr fontId="9" type="noConversion"/>
  </si>
  <si>
    <t>0/15</t>
    <phoneticPr fontId="9" type="noConversion"/>
  </si>
  <si>
    <t>100,0,0,100,100,100</t>
    <phoneticPr fontId="9" type="noConversion"/>
  </si>
  <si>
    <t>3/4/</t>
    <phoneticPr fontId="9" type="noConversion"/>
  </si>
  <si>
    <t>15/15/</t>
    <phoneticPr fontId="9" type="noConversion"/>
  </si>
  <si>
    <t>0/16</t>
    <phoneticPr fontId="9" type="noConversion"/>
  </si>
  <si>
    <t>100,100,0,100,100,0</t>
    <phoneticPr fontId="9" type="noConversion"/>
  </si>
  <si>
    <t>1/4/</t>
    <phoneticPr fontId="9" type="noConversion"/>
  </si>
  <si>
    <t>15/20/</t>
    <phoneticPr fontId="9" type="noConversion"/>
  </si>
  <si>
    <t>0/18</t>
    <phoneticPr fontId="9" type="noConversion"/>
  </si>
  <si>
    <t>100,0,100,0,100,100</t>
    <phoneticPr fontId="9" type="noConversion"/>
  </si>
  <si>
    <t>0/2/4/</t>
    <phoneticPr fontId="9" type="noConversion"/>
  </si>
  <si>
    <t>15/15/15/</t>
    <phoneticPr fontId="9" type="noConversion"/>
  </si>
  <si>
    <t>100,100,100,100,0,100</t>
    <phoneticPr fontId="9" type="noConversion"/>
  </si>
  <si>
    <t>3/</t>
    <phoneticPr fontId="9" type="noConversion"/>
  </si>
  <si>
    <t>100,100,100,100,100,0</t>
    <phoneticPr fontId="9" type="noConversion"/>
  </si>
  <si>
    <t>4/</t>
    <phoneticPr fontId="9" type="noConversion"/>
  </si>
  <si>
    <t>0/24</t>
    <phoneticPr fontId="9" type="noConversion"/>
  </si>
  <si>
    <t>0,100,100,100,100,100</t>
    <phoneticPr fontId="9" type="noConversion"/>
  </si>
  <si>
    <t>0/1/</t>
    <phoneticPr fontId="9" type="noConversion"/>
  </si>
  <si>
    <t>5/1/</t>
    <phoneticPr fontId="9" type="noConversion"/>
  </si>
  <si>
    <t>0/26</t>
    <phoneticPr fontId="9" type="noConversion"/>
  </si>
  <si>
    <t>100,0,100,100,100,100</t>
    <phoneticPr fontId="9" type="noConversion"/>
  </si>
  <si>
    <t>3/3/</t>
    <phoneticPr fontId="9" type="noConversion"/>
  </si>
  <si>
    <t>0/20</t>
    <phoneticPr fontId="9" type="noConversion"/>
  </si>
  <si>
    <t>100,100,0,100,100,100</t>
    <phoneticPr fontId="9" type="noConversion"/>
  </si>
  <si>
    <t>100,80,100,0,100,100</t>
    <phoneticPr fontId="9" type="noConversion"/>
  </si>
  <si>
    <t>0/22</t>
    <phoneticPr fontId="9" type="noConversion"/>
  </si>
  <si>
    <t>0/5/</t>
    <phoneticPr fontId="9" type="noConversion"/>
  </si>
  <si>
    <t>24/24/</t>
    <phoneticPr fontId="9" type="noConversion"/>
  </si>
  <si>
    <t>0/25</t>
    <phoneticPr fontId="9" type="noConversion"/>
  </si>
  <si>
    <t>90,90,90,100,100,0</t>
    <phoneticPr fontId="9" type="noConversion"/>
  </si>
  <si>
    <t>0/1/</t>
    <phoneticPr fontId="9" type="noConversion"/>
  </si>
  <si>
    <t>22/22/</t>
    <phoneticPr fontId="9" type="noConversion"/>
  </si>
  <si>
    <t>0,90,90,90,100,100</t>
    <phoneticPr fontId="9" type="noConversion"/>
  </si>
  <si>
    <t>1/2/</t>
    <phoneticPr fontId="9" type="noConversion"/>
  </si>
  <si>
    <t>26/26/</t>
    <phoneticPr fontId="9" type="noConversion"/>
  </si>
  <si>
    <t>100,0,90,90,90,100</t>
    <phoneticPr fontId="9" type="noConversion"/>
  </si>
  <si>
    <t>6/</t>
    <phoneticPr fontId="9" type="noConversion"/>
  </si>
  <si>
    <t>100,100,0,80,50,80</t>
    <phoneticPr fontId="9" type="noConversion"/>
  </si>
  <si>
    <t>4/2/</t>
    <phoneticPr fontId="9" type="noConversion"/>
  </si>
  <si>
    <t>100,80,100,0,100,80</t>
    <phoneticPr fontId="9" type="noConversion"/>
  </si>
  <si>
    <t>2/3/</t>
    <phoneticPr fontId="9" type="noConversion"/>
  </si>
  <si>
    <t>90,100,100,90,0,90</t>
    <phoneticPr fontId="9" type="noConversion"/>
  </si>
  <si>
    <t>0/3/5/</t>
    <phoneticPr fontId="9" type="noConversion"/>
  </si>
  <si>
    <t>28/20/28/</t>
    <phoneticPr fontId="9" type="noConversion"/>
  </si>
  <si>
    <t>0/23</t>
    <phoneticPr fontId="9" type="noConversion"/>
  </si>
  <si>
    <t>28/28/</t>
    <phoneticPr fontId="9" type="noConversion"/>
  </si>
  <si>
    <t>0,100,80,100,80,100</t>
    <phoneticPr fontId="9" type="noConversion"/>
  </si>
  <si>
    <t>2/3/4/</t>
    <phoneticPr fontId="9" type="noConversion"/>
  </si>
  <si>
    <t>24/24/24/</t>
    <phoneticPr fontId="9" type="noConversion"/>
  </si>
  <si>
    <t>100,0,80,80,100,100</t>
    <phoneticPr fontId="9" type="noConversion"/>
  </si>
  <si>
    <t>80,80,0,80,100,100</t>
    <phoneticPr fontId="9" type="noConversion"/>
  </si>
  <si>
    <t>80,80,100,0,80,100</t>
    <phoneticPr fontId="9" type="noConversion"/>
  </si>
  <si>
    <t>0/30</t>
    <phoneticPr fontId="9" type="noConversion"/>
  </si>
  <si>
    <t>60,100,60,100,0,80</t>
    <phoneticPr fontId="9" type="noConversion"/>
  </si>
  <si>
    <t>0/28</t>
    <phoneticPr fontId="9" type="noConversion"/>
  </si>
  <si>
    <t>100,100,0,80,100,80</t>
    <phoneticPr fontId="9" type="noConversion"/>
  </si>
  <si>
    <t>5/3/</t>
    <phoneticPr fontId="9" type="noConversion"/>
  </si>
  <si>
    <t>0,100,100,100,80,100</t>
    <phoneticPr fontId="9" type="noConversion"/>
  </si>
  <si>
    <t>3/5/</t>
    <phoneticPr fontId="9" type="noConversion"/>
  </si>
  <si>
    <t>1500/4500/9000</t>
    <phoneticPr fontId="9" type="noConversion"/>
  </si>
  <si>
    <t>28/30/</t>
    <phoneticPr fontId="9" type="noConversion"/>
  </si>
  <si>
    <t>100,100,0,80,80,100</t>
    <phoneticPr fontId="9" type="noConversion"/>
  </si>
  <si>
    <t>3/4/</t>
    <phoneticPr fontId="9" type="noConversion"/>
  </si>
  <si>
    <t>32/34/</t>
    <phoneticPr fontId="9" type="noConversion"/>
  </si>
  <si>
    <t>100,80,100,0,80,100</t>
    <phoneticPr fontId="9" type="noConversion"/>
  </si>
  <si>
    <t>80,100,80,100,0,100</t>
    <phoneticPr fontId="9" type="noConversion"/>
  </si>
  <si>
    <t>100,100,80,80,100,0</t>
    <phoneticPr fontId="9" type="noConversion"/>
  </si>
  <si>
    <t>0,80,100,100,100,80</t>
    <phoneticPr fontId="9" type="noConversion"/>
  </si>
  <si>
    <t>1500/5000/10000</t>
    <phoneticPr fontId="9" type="noConversion"/>
  </si>
  <si>
    <t>1/</t>
    <phoneticPr fontId="9" type="noConversion"/>
  </si>
  <si>
    <t>8/</t>
    <phoneticPr fontId="9" type="noConversion"/>
  </si>
  <si>
    <t>100,80,80,100,80,0</t>
    <phoneticPr fontId="9" type="noConversion"/>
  </si>
  <si>
    <t>2/4/</t>
    <phoneticPr fontId="9" type="noConversion"/>
  </si>
  <si>
    <t>100,80,100,0,80,80</t>
    <phoneticPr fontId="9" type="noConversion"/>
  </si>
  <si>
    <t>4/5/</t>
    <phoneticPr fontId="9" type="noConversion"/>
  </si>
  <si>
    <t>32/28/</t>
    <phoneticPr fontId="9" type="noConversion"/>
  </si>
  <si>
    <t>80,100,100,80,0,80</t>
    <phoneticPr fontId="9" type="noConversion"/>
  </si>
  <si>
    <t>30/30/</t>
    <phoneticPr fontId="9" type="noConversion"/>
  </si>
  <si>
    <t>100,80,80,100,100,0</t>
    <phoneticPr fontId="9" type="noConversion"/>
  </si>
  <si>
    <t>1500/6500/12000</t>
    <phoneticPr fontId="9" type="noConversion"/>
  </si>
  <si>
    <t>0,100,100,80,80,100</t>
    <phoneticPr fontId="9" type="noConversion"/>
  </si>
  <si>
    <t>80,50,50,50,100,100</t>
    <phoneticPr fontId="9" type="noConversion"/>
  </si>
  <si>
    <t>100,100,0,100,80,80</t>
    <phoneticPr fontId="9" type="noConversion"/>
  </si>
  <si>
    <t>0/</t>
    <phoneticPr fontId="9" type="noConversion"/>
  </si>
  <si>
    <t>4/</t>
    <phoneticPr fontId="9" type="noConversion"/>
  </si>
  <si>
    <t>100,100,80,100,0,100</t>
    <phoneticPr fontId="9" type="noConversion"/>
  </si>
  <si>
    <t>2000/7000/14000</t>
    <phoneticPr fontId="9" type="noConversion"/>
  </si>
  <si>
    <t>1/</t>
    <phoneticPr fontId="9" type="noConversion"/>
  </si>
  <si>
    <t>6/</t>
    <phoneticPr fontId="9" type="noConversion"/>
  </si>
  <si>
    <t>80,80,100,80,100,0</t>
    <phoneticPr fontId="9" type="noConversion"/>
  </si>
  <si>
    <t>34/34/</t>
    <phoneticPr fontId="9" type="noConversion"/>
  </si>
  <si>
    <t>0,80,80,80,100,100</t>
    <phoneticPr fontId="9" type="noConversion"/>
  </si>
  <si>
    <t>31/29/</t>
    <phoneticPr fontId="9" type="noConversion"/>
  </si>
  <si>
    <t>100,0,80,100,80,100</t>
    <phoneticPr fontId="9" type="noConversion"/>
  </si>
  <si>
    <t>80,100,0,100,80,100</t>
    <phoneticPr fontId="9" type="noConversion"/>
  </si>
  <si>
    <t>100,100,80,0,100,80</t>
    <phoneticPr fontId="9" type="noConversion"/>
  </si>
  <si>
    <t>100,100,70,80,0,90</t>
    <phoneticPr fontId="9" type="noConversion"/>
  </si>
  <si>
    <t>100,100,50,100,50,50</t>
    <phoneticPr fontId="9" type="noConversion"/>
  </si>
  <si>
    <t>2/4/5/</t>
    <phoneticPr fontId="9" type="noConversion"/>
  </si>
  <si>
    <t>20/20/20/</t>
    <phoneticPr fontId="9" type="noConversion"/>
  </si>
  <si>
    <t>8/1/</t>
    <phoneticPr fontId="9" type="noConversion"/>
  </si>
  <si>
    <t>0/32</t>
    <phoneticPr fontId="9" type="noConversion"/>
  </si>
  <si>
    <t>2/6/</t>
    <phoneticPr fontId="9" type="noConversion"/>
  </si>
  <si>
    <t>100,100,80,0,80,80</t>
    <phoneticPr fontId="9" type="noConversion"/>
  </si>
  <si>
    <t>2/5/</t>
    <phoneticPr fontId="9" type="noConversion"/>
  </si>
  <si>
    <t>30/34/</t>
    <phoneticPr fontId="9" type="noConversion"/>
  </si>
  <si>
    <t>28/26/</t>
    <phoneticPr fontId="9" type="noConversion"/>
  </si>
  <si>
    <t>100,80,100,80,100,0</t>
    <phoneticPr fontId="9" type="noConversion"/>
  </si>
  <si>
    <t>0,100,80,100,100,80</t>
    <phoneticPr fontId="9" type="noConversion"/>
  </si>
  <si>
    <t>28/36/</t>
    <phoneticPr fontId="9" type="noConversion"/>
  </si>
  <si>
    <t>30/24/</t>
    <phoneticPr fontId="9" type="noConversion"/>
  </si>
  <si>
    <t>100,50,50,50,100,100</t>
    <phoneticPr fontId="9" type="noConversion"/>
  </si>
  <si>
    <t>100,100,80,100,0,80</t>
    <phoneticPr fontId="9" type="noConversion"/>
  </si>
  <si>
    <t>1/90</t>
    <phoneticPr fontId="9" type="noConversion"/>
  </si>
  <si>
    <t>100,0,80,80,80,100</t>
    <phoneticPr fontId="9" type="noConversion"/>
  </si>
  <si>
    <t>26/34/</t>
    <phoneticPr fontId="9" type="noConversion"/>
  </si>
  <si>
    <t>32/32/</t>
    <phoneticPr fontId="9" type="noConversion"/>
  </si>
  <si>
    <t>0/34</t>
    <phoneticPr fontId="9" type="noConversion"/>
  </si>
  <si>
    <t>4/4/</t>
    <phoneticPr fontId="9" type="noConversion"/>
  </si>
  <si>
    <t>0/35</t>
    <phoneticPr fontId="9" type="noConversion"/>
  </si>
  <si>
    <t>1/4/</t>
    <phoneticPr fontId="9" type="noConversion"/>
  </si>
  <si>
    <t>35/30/</t>
    <phoneticPr fontId="9" type="noConversion"/>
  </si>
  <si>
    <t>100,0,100,100,0,100</t>
    <phoneticPr fontId="9" type="noConversion"/>
  </si>
  <si>
    <t>30/28/</t>
    <phoneticPr fontId="9" type="noConversion"/>
  </si>
  <si>
    <t>80,80,100,100,100,0</t>
    <phoneticPr fontId="9" type="noConversion"/>
  </si>
  <si>
    <t>0,80,80,100,100,100</t>
    <phoneticPr fontId="9" type="noConversion"/>
  </si>
  <si>
    <t>28/34/</t>
    <phoneticPr fontId="9" type="noConversion"/>
  </si>
  <si>
    <t>80,100,100,80,100,0</t>
    <phoneticPr fontId="9" type="noConversion"/>
  </si>
  <si>
    <t>0,100,80,80,100,100</t>
    <phoneticPr fontId="9" type="noConversion"/>
  </si>
  <si>
    <t>80,0,100,100,100,80</t>
    <phoneticPr fontId="9" type="noConversion"/>
  </si>
  <si>
    <t>32/36/</t>
    <phoneticPr fontId="9" type="noConversion"/>
  </si>
  <si>
    <t>50,100,50,100,50,100</t>
    <phoneticPr fontId="9" type="noConversion"/>
  </si>
  <si>
    <t>0/4/</t>
    <phoneticPr fontId="9" type="noConversion"/>
  </si>
  <si>
    <t>36/32/</t>
    <phoneticPr fontId="9" type="noConversion"/>
  </si>
  <si>
    <t>100,80,100,0,50,80</t>
    <phoneticPr fontId="9" type="noConversion"/>
  </si>
  <si>
    <t>1/5/</t>
    <phoneticPr fontId="9" type="noConversion"/>
  </si>
  <si>
    <t>100,0,80,80,80,80</t>
    <phoneticPr fontId="9" type="noConversion"/>
  </si>
  <si>
    <t>100,80,0,100,80,100</t>
    <phoneticPr fontId="9" type="noConversion"/>
  </si>
  <si>
    <t>0,100,50,50,50,100</t>
    <phoneticPr fontId="9" type="noConversion"/>
  </si>
  <si>
    <t>80,100,80,100,100,0</t>
    <phoneticPr fontId="9" type="noConversion"/>
  </si>
  <si>
    <t>80,0,80,100,80,100</t>
    <phoneticPr fontId="9" type="noConversion"/>
  </si>
  <si>
    <t>0/2/</t>
    <phoneticPr fontId="9" type="noConversion"/>
  </si>
  <si>
    <t>34/20/</t>
    <phoneticPr fontId="9" type="noConversion"/>
  </si>
  <si>
    <t>100,80,0,80,80,100</t>
    <phoneticPr fontId="9" type="noConversion"/>
  </si>
  <si>
    <t>28/32/</t>
    <phoneticPr fontId="9" type="noConversion"/>
  </si>
  <si>
    <t>80,100,80,0,100,80</t>
    <phoneticPr fontId="9" type="noConversion"/>
  </si>
  <si>
    <t>100,80,100,80,0,100</t>
    <phoneticPr fontId="9" type="noConversion"/>
  </si>
  <si>
    <t>100,50,100,50,100,50</t>
    <phoneticPr fontId="9" type="noConversion"/>
  </si>
  <si>
    <t>80,100,100,0,80,80</t>
    <phoneticPr fontId="9" type="noConversion"/>
  </si>
  <si>
    <t>80,0,100,80,100,80</t>
    <phoneticPr fontId="9" type="noConversion"/>
  </si>
  <si>
    <t>1/120</t>
    <phoneticPr fontId="9" type="noConversion"/>
  </si>
  <si>
    <t>100,80,0,80,100,100</t>
    <phoneticPr fontId="9" type="noConversion"/>
  </si>
  <si>
    <t>0/3/</t>
    <phoneticPr fontId="9" type="noConversion"/>
  </si>
  <si>
    <t>100,100,100,0,80,80</t>
    <phoneticPr fontId="9" type="noConversion"/>
  </si>
  <si>
    <t>18/16/</t>
    <phoneticPr fontId="9" type="noConversion"/>
  </si>
  <si>
    <t>100,80,100,100,0,80</t>
    <phoneticPr fontId="9" type="noConversion"/>
  </si>
  <si>
    <t>20/18/</t>
    <phoneticPr fontId="9" type="noConversion"/>
  </si>
  <si>
    <t>50,50,50,100,100,100</t>
    <phoneticPr fontId="9" type="noConversion"/>
  </si>
  <si>
    <t>100,100,100,50,50,50</t>
    <phoneticPr fontId="9" type="noConversion"/>
  </si>
  <si>
    <t>25/25/</t>
    <phoneticPr fontId="9" type="noConversion"/>
  </si>
  <si>
    <t>20/24/</t>
    <phoneticPr fontId="9" type="noConversion"/>
  </si>
  <si>
    <t>18/32/</t>
    <phoneticPr fontId="9" type="noConversion"/>
  </si>
  <si>
    <t>80,100,80,100,0,80</t>
    <phoneticPr fontId="9" type="noConversion"/>
  </si>
  <si>
    <t>0,100,80,80,80,100</t>
    <phoneticPr fontId="9" type="noConversion"/>
  </si>
  <si>
    <t>100,80,0,80,100,80</t>
    <phoneticPr fontId="9" type="noConversion"/>
  </si>
  <si>
    <t>16/18/</t>
    <phoneticPr fontId="9" type="noConversion"/>
  </si>
  <si>
    <t>1/60</t>
    <phoneticPr fontId="9" type="noConversion"/>
  </si>
  <si>
    <t>100,100,50,50,50,100</t>
    <phoneticPr fontId="9" type="noConversion"/>
  </si>
  <si>
    <t>100,100,100,0,100,100</t>
    <phoneticPr fontId="9" type="noConversion"/>
  </si>
  <si>
    <t>1/45</t>
    <phoneticPr fontId="9" type="noConversion"/>
  </si>
  <si>
    <t>30/15/</t>
    <phoneticPr fontId="9" type="noConversion"/>
  </si>
  <si>
    <t>100,80,80,80,100,0</t>
    <phoneticPr fontId="9" type="noConversion"/>
  </si>
  <si>
    <t>0,100,80,100,80,80</t>
    <phoneticPr fontId="9" type="noConversion"/>
  </si>
  <si>
    <t>100,80,80,0,80,100</t>
    <phoneticPr fontId="9" type="noConversion"/>
  </si>
  <si>
    <t>80,100,100,100,0,80</t>
    <phoneticPr fontId="9" type="noConversion"/>
  </si>
</sst>
</file>

<file path=xl/styles.xml><?xml version="1.0" encoding="utf-8"?>
<styleSheet xmlns="http://schemas.openxmlformats.org/spreadsheetml/2006/main">
  <fonts count="11">
    <font>
      <sz val="11"/>
      <color theme="1"/>
      <name val="宋体"/>
      <family val="2"/>
      <charset val="134"/>
      <scheme val="minor"/>
    </font>
    <font>
      <sz val="10"/>
      <name val="微软雅黑"/>
      <family val="2"/>
      <charset val="134"/>
    </font>
    <font>
      <sz val="11"/>
      <color theme="1"/>
      <name val="宋体"/>
      <family val="2"/>
      <charset val="134"/>
      <scheme val="minor"/>
    </font>
    <font>
      <sz val="11"/>
      <color indexed="8"/>
      <name val="Tahoma"/>
      <family val="2"/>
    </font>
    <font>
      <sz val="12"/>
      <name val="宋体"/>
      <family val="3"/>
      <charset val="134"/>
    </font>
    <font>
      <sz val="11"/>
      <color indexed="8"/>
      <name val="宋体"/>
      <family val="3"/>
      <charset val="134"/>
    </font>
    <font>
      <u/>
      <sz val="11"/>
      <color indexed="12"/>
      <name val="宋体"/>
      <family val="3"/>
      <charset val="134"/>
    </font>
    <font>
      <u/>
      <sz val="11"/>
      <color theme="10"/>
      <name val="宋体"/>
      <family val="3"/>
      <charset val="134"/>
    </font>
    <font>
      <sz val="9"/>
      <name val="宋体"/>
      <family val="3"/>
      <charset val="134"/>
      <scheme val="minor"/>
    </font>
    <font>
      <sz val="9"/>
      <name val="宋体"/>
      <family val="2"/>
      <charset val="134"/>
      <scheme val="minor"/>
    </font>
    <font>
      <sz val="10"/>
      <color theme="0"/>
      <name val="微软雅黑"/>
      <family val="2"/>
      <charset val="134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89999084444715716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0">
    <xf numFmtId="0" fontId="0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top"/>
      <protection locked="0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top"/>
      <protection locked="0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</cellStyleXfs>
  <cellXfs count="25">
    <xf numFmtId="0" fontId="0" fillId="0" borderId="0" xfId="0">
      <alignment vertical="center"/>
    </xf>
    <xf numFmtId="0" fontId="1" fillId="2" borderId="0" xfId="0" applyFont="1" applyFill="1">
      <alignment vertical="center"/>
    </xf>
    <xf numFmtId="0" fontId="1" fillId="3" borderId="1" xfId="0" applyFont="1" applyFill="1" applyBorder="1" applyAlignment="1">
      <alignment horizontal="left" vertical="center"/>
    </xf>
    <xf numFmtId="0" fontId="1" fillId="4" borderId="1" xfId="0" applyFont="1" applyFill="1" applyBorder="1" applyAlignment="1">
      <alignment horizontal="left" vertical="center"/>
    </xf>
    <xf numFmtId="0" fontId="1" fillId="2" borderId="0" xfId="0" applyFont="1" applyFill="1" applyAlignment="1">
      <alignment horizontal="center" vertical="center"/>
    </xf>
    <xf numFmtId="0" fontId="1" fillId="5" borderId="1" xfId="0" applyFont="1" applyFill="1" applyBorder="1" applyAlignment="1">
      <alignment vertical="center"/>
    </xf>
    <xf numFmtId="0" fontId="1" fillId="6" borderId="1" xfId="0" applyFont="1" applyFill="1" applyBorder="1" applyAlignment="1">
      <alignment horizontal="left" vertical="center"/>
    </xf>
    <xf numFmtId="0" fontId="1" fillId="2" borderId="0" xfId="0" applyFont="1" applyFill="1">
      <alignment vertical="center"/>
    </xf>
    <xf numFmtId="0" fontId="1" fillId="2" borderId="0" xfId="0" applyFont="1" applyFill="1">
      <alignment vertical="center"/>
    </xf>
    <xf numFmtId="0" fontId="1" fillId="3" borderId="1" xfId="0" applyFont="1" applyFill="1" applyBorder="1" applyAlignment="1">
      <alignment horizontal="center" vertical="center"/>
    </xf>
    <xf numFmtId="0" fontId="1" fillId="2" borderId="0" xfId="0" applyFont="1" applyFill="1" applyAlignment="1">
      <alignment vertical="center"/>
    </xf>
    <xf numFmtId="0" fontId="1" fillId="7" borderId="1" xfId="0" applyFont="1" applyFill="1" applyBorder="1" applyAlignment="1">
      <alignment horizontal="left" vertical="center"/>
    </xf>
    <xf numFmtId="0" fontId="10" fillId="8" borderId="1" xfId="0" applyFont="1" applyFill="1" applyBorder="1" applyAlignment="1">
      <alignment horizontal="left" vertical="center"/>
    </xf>
    <xf numFmtId="0" fontId="1" fillId="3" borderId="1" xfId="0" applyFont="1" applyFill="1" applyBorder="1" applyAlignment="1">
      <alignment vertical="center"/>
    </xf>
    <xf numFmtId="0" fontId="1" fillId="4" borderId="0" xfId="0" applyFont="1" applyFill="1">
      <alignment vertical="center"/>
    </xf>
    <xf numFmtId="0" fontId="1" fillId="9" borderId="1" xfId="0" applyFont="1" applyFill="1" applyBorder="1" applyAlignment="1">
      <alignment horizontal="left" vertical="center"/>
    </xf>
    <xf numFmtId="0" fontId="1" fillId="9" borderId="1" xfId="0" applyFont="1" applyFill="1" applyBorder="1" applyAlignment="1">
      <alignment vertical="center"/>
    </xf>
    <xf numFmtId="0" fontId="1" fillId="10" borderId="1" xfId="0" applyFont="1" applyFill="1" applyBorder="1" applyAlignment="1">
      <alignment horizontal="left" vertical="center"/>
    </xf>
    <xf numFmtId="0" fontId="1" fillId="10" borderId="1" xfId="0" applyFont="1" applyFill="1" applyBorder="1" applyAlignment="1">
      <alignment vertical="center"/>
    </xf>
    <xf numFmtId="0" fontId="1" fillId="11" borderId="1" xfId="0" applyFont="1" applyFill="1" applyBorder="1" applyAlignment="1">
      <alignment vertical="center"/>
    </xf>
    <xf numFmtId="0" fontId="1" fillId="11" borderId="1" xfId="0" applyFont="1" applyFill="1" applyBorder="1" applyAlignment="1">
      <alignment horizontal="left" vertical="center"/>
    </xf>
    <xf numFmtId="0" fontId="1" fillId="12" borderId="1" xfId="0" applyFont="1" applyFill="1" applyBorder="1" applyAlignment="1">
      <alignment vertical="center"/>
    </xf>
    <xf numFmtId="0" fontId="1" fillId="12" borderId="1" xfId="0" applyFont="1" applyFill="1" applyBorder="1" applyAlignment="1">
      <alignment horizontal="left" vertical="center"/>
    </xf>
    <xf numFmtId="0" fontId="1" fillId="13" borderId="1" xfId="0" applyFont="1" applyFill="1" applyBorder="1" applyAlignment="1">
      <alignment vertical="center"/>
    </xf>
    <xf numFmtId="0" fontId="1" fillId="13" borderId="1" xfId="0" applyFont="1" applyFill="1" applyBorder="1" applyAlignment="1">
      <alignment horizontal="left" vertical="center"/>
    </xf>
  </cellXfs>
  <cellStyles count="20">
    <cellStyle name="百分比 2" xfId="4"/>
    <cellStyle name="百分比 3" xfId="7"/>
    <cellStyle name="百分比 4" xfId="10"/>
    <cellStyle name="百分比 5" xfId="12"/>
    <cellStyle name="百分比 6" xfId="14"/>
    <cellStyle name="百分比 7" xfId="18"/>
    <cellStyle name="百分比 8" xfId="2"/>
    <cellStyle name="常规" xfId="0" builtinId="0"/>
    <cellStyle name="常规 10" xfId="19"/>
    <cellStyle name="常规 11" xfId="1"/>
    <cellStyle name="常规 2" xfId="3"/>
    <cellStyle name="常规 3" xfId="6"/>
    <cellStyle name="常规 4" xfId="9"/>
    <cellStyle name="常规 5" xfId="11"/>
    <cellStyle name="常规 6" xfId="13"/>
    <cellStyle name="常规 7" xfId="15"/>
    <cellStyle name="常规 8" xfId="16"/>
    <cellStyle name="常规 9" xfId="17"/>
    <cellStyle name="超链接 2" xfId="5"/>
    <cellStyle name="超链接 3" xfId="8"/>
  </cellStyles>
  <dxfs count="31"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ill>
        <patternFill>
          <bgColor theme="0" tint="-0.89996032593768116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CCE8C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I1012"/>
  <sheetViews>
    <sheetView tabSelected="1" zoomScale="85" zoomScaleNormal="85" workbookViewId="0">
      <pane xSplit="3" ySplit="1" topLeftCell="M2" activePane="bottomRight" state="frozen"/>
      <selection pane="topRight" activeCell="D1" sqref="D1"/>
      <selection pane="bottomLeft" activeCell="A3" sqref="A3"/>
      <selection pane="bottomRight" activeCell="Z4" sqref="Z4"/>
    </sheetView>
  </sheetViews>
  <sheetFormatPr defaultRowHeight="21.95" customHeight="1"/>
  <cols>
    <col min="1" max="1" width="8.25" style="4" bestFit="1" customWidth="1"/>
    <col min="2" max="2" width="6.625" style="8" bestFit="1" customWidth="1"/>
    <col min="3" max="3" width="5.125" style="1" bestFit="1" customWidth="1"/>
    <col min="4" max="4" width="5.125" style="8" bestFit="1" customWidth="1"/>
    <col min="5" max="7" width="8.25" style="10" bestFit="1" customWidth="1"/>
    <col min="8" max="8" width="9.625" style="10" bestFit="1" customWidth="1"/>
    <col min="9" max="10" width="9" style="10" customWidth="1"/>
    <col min="11" max="11" width="8.25" style="8" bestFit="1" customWidth="1"/>
    <col min="12" max="12" width="6.625" style="8" bestFit="1" customWidth="1"/>
    <col min="13" max="14" width="6.625" style="8" customWidth="1"/>
    <col min="15" max="20" width="8.25" style="10" bestFit="1" customWidth="1"/>
    <col min="21" max="21" width="6.625" style="8" bestFit="1" customWidth="1"/>
    <col min="22" max="23" width="8.25" style="10" bestFit="1" customWidth="1"/>
    <col min="24" max="26" width="9" style="10" customWidth="1"/>
    <col min="27" max="28" width="9" style="8" bestFit="1" customWidth="1"/>
    <col min="29" max="29" width="9" style="8" customWidth="1"/>
    <col min="30" max="35" width="9" style="8" bestFit="1" customWidth="1"/>
    <col min="36" max="16384" width="9" style="1"/>
  </cols>
  <sheetData>
    <row r="1" spans="1:35" ht="21.95" customHeight="1">
      <c r="A1" s="2" t="s">
        <v>1</v>
      </c>
      <c r="B1" s="3" t="s">
        <v>21</v>
      </c>
      <c r="C1" s="2" t="s">
        <v>3</v>
      </c>
      <c r="D1" s="2" t="s">
        <v>2</v>
      </c>
      <c r="E1" s="18" t="s">
        <v>7</v>
      </c>
      <c r="F1" s="19" t="s">
        <v>8</v>
      </c>
      <c r="G1" s="21" t="s">
        <v>9</v>
      </c>
      <c r="H1" s="16" t="s">
        <v>10</v>
      </c>
      <c r="I1" s="13" t="s">
        <v>11</v>
      </c>
      <c r="J1" s="23" t="s">
        <v>12</v>
      </c>
      <c r="K1" s="2" t="s">
        <v>28</v>
      </c>
      <c r="L1" s="3" t="s">
        <v>23</v>
      </c>
      <c r="M1" s="2" t="s">
        <v>37</v>
      </c>
      <c r="N1" s="2" t="s">
        <v>38</v>
      </c>
      <c r="O1" s="18" t="s">
        <v>61</v>
      </c>
      <c r="P1" s="19" t="s">
        <v>39</v>
      </c>
      <c r="Q1" s="21" t="s">
        <v>40</v>
      </c>
      <c r="R1" s="16" t="s">
        <v>41</v>
      </c>
      <c r="S1" s="13" t="s">
        <v>42</v>
      </c>
      <c r="T1" s="23" t="s">
        <v>43</v>
      </c>
      <c r="U1" s="3" t="s">
        <v>57</v>
      </c>
      <c r="V1" s="13" t="s">
        <v>49</v>
      </c>
      <c r="W1" s="13" t="s">
        <v>48</v>
      </c>
      <c r="X1" s="13" t="s">
        <v>15</v>
      </c>
      <c r="Y1" s="13" t="s">
        <v>16</v>
      </c>
      <c r="Z1" s="13" t="s">
        <v>17</v>
      </c>
      <c r="AA1" s="11" t="s">
        <v>6</v>
      </c>
      <c r="AB1" s="11" t="s">
        <v>14</v>
      </c>
      <c r="AC1" s="11" t="s">
        <v>30</v>
      </c>
      <c r="AD1" s="11" t="s">
        <v>19</v>
      </c>
      <c r="AE1" s="11" t="s">
        <v>25</v>
      </c>
      <c r="AF1" s="11" t="s">
        <v>27</v>
      </c>
      <c r="AG1" s="11" t="s">
        <v>46</v>
      </c>
      <c r="AH1" s="11" t="s">
        <v>60</v>
      </c>
      <c r="AI1" s="11" t="s">
        <v>59</v>
      </c>
    </row>
    <row r="2" spans="1:35" ht="21.95" customHeight="1">
      <c r="A2" s="2" t="s">
        <v>0</v>
      </c>
      <c r="B2" s="3" t="s">
        <v>20</v>
      </c>
      <c r="C2" s="2" t="s">
        <v>4</v>
      </c>
      <c r="D2" s="2" t="s">
        <v>4</v>
      </c>
      <c r="E2" s="17" t="s">
        <v>4</v>
      </c>
      <c r="F2" s="20" t="s">
        <v>4</v>
      </c>
      <c r="G2" s="22" t="s">
        <v>4</v>
      </c>
      <c r="H2" s="15" t="s">
        <v>4</v>
      </c>
      <c r="I2" s="2" t="s">
        <v>4</v>
      </c>
      <c r="J2" s="24" t="s">
        <v>4</v>
      </c>
      <c r="K2" s="2" t="s">
        <v>4</v>
      </c>
      <c r="L2" s="3" t="s">
        <v>22</v>
      </c>
      <c r="M2" s="2" t="s">
        <v>4</v>
      </c>
      <c r="N2" s="2" t="s">
        <v>4</v>
      </c>
      <c r="O2" s="17" t="s">
        <v>4</v>
      </c>
      <c r="P2" s="20" t="s">
        <v>4</v>
      </c>
      <c r="Q2" s="22" t="s">
        <v>4</v>
      </c>
      <c r="R2" s="15" t="s">
        <v>4</v>
      </c>
      <c r="S2" s="2" t="s">
        <v>4</v>
      </c>
      <c r="T2" s="24" t="s">
        <v>4</v>
      </c>
      <c r="U2" s="3" t="s">
        <v>47</v>
      </c>
      <c r="V2" s="2" t="s">
        <v>4</v>
      </c>
      <c r="W2" s="2" t="s">
        <v>4</v>
      </c>
      <c r="X2" s="2" t="s">
        <v>4</v>
      </c>
      <c r="Y2" s="2" t="s">
        <v>4</v>
      </c>
      <c r="Z2" s="2" t="s">
        <v>4</v>
      </c>
      <c r="AA2" s="11" t="s">
        <v>5</v>
      </c>
      <c r="AB2" s="11" t="s">
        <v>13</v>
      </c>
      <c r="AC2" s="11" t="s">
        <v>29</v>
      </c>
      <c r="AD2" s="11" t="s">
        <v>18</v>
      </c>
      <c r="AE2" s="11" t="s">
        <v>24</v>
      </c>
      <c r="AF2" s="11" t="s">
        <v>26</v>
      </c>
      <c r="AG2" s="11" t="s">
        <v>44</v>
      </c>
      <c r="AH2" s="11" t="s">
        <v>45</v>
      </c>
      <c r="AI2" s="11" t="s">
        <v>26</v>
      </c>
    </row>
    <row r="3" spans="1:35" s="7" customFormat="1" ht="21.95" customHeight="1">
      <c r="A3" s="9">
        <v>1</v>
      </c>
      <c r="B3" s="17">
        <v>1</v>
      </c>
      <c r="C3" s="6">
        <v>10</v>
      </c>
      <c r="D3" s="6">
        <v>0</v>
      </c>
      <c r="E3" s="5">
        <v>100</v>
      </c>
      <c r="F3" s="5">
        <v>0</v>
      </c>
      <c r="G3" s="5">
        <v>100</v>
      </c>
      <c r="H3" s="5">
        <v>100</v>
      </c>
      <c r="I3" s="5">
        <v>100</v>
      </c>
      <c r="J3" s="5">
        <v>0</v>
      </c>
      <c r="K3" s="17" t="s">
        <v>53</v>
      </c>
      <c r="L3" s="6">
        <v>3</v>
      </c>
      <c r="M3" s="6">
        <v>0</v>
      </c>
      <c r="N3" s="6">
        <v>0</v>
      </c>
      <c r="O3" s="5">
        <v>10</v>
      </c>
      <c r="P3" s="5">
        <v>0</v>
      </c>
      <c r="Q3" s="5">
        <v>0</v>
      </c>
      <c r="R3" s="5">
        <v>0</v>
      </c>
      <c r="S3" s="5">
        <v>0</v>
      </c>
      <c r="T3" s="5">
        <v>0</v>
      </c>
      <c r="U3" s="6">
        <v>0</v>
      </c>
      <c r="V3" s="5">
        <v>10</v>
      </c>
      <c r="W3" s="5">
        <v>5</v>
      </c>
      <c r="X3" s="16">
        <v>1000</v>
      </c>
      <c r="Y3" s="16">
        <v>2000</v>
      </c>
      <c r="Z3" s="16">
        <v>3000</v>
      </c>
      <c r="AA3" s="12" t="str">
        <f t="shared" ref="AA3:AA34" si="0">IF(C3=0,CONCATENATE("1/",D3),CONCATENATE("0/",C3))</f>
        <v>0/10</v>
      </c>
      <c r="AB3" s="12" t="str">
        <f>CONCATENATE(E3,",",F3,",",G3,",",H3,",",I3,",",J3)</f>
        <v>100,0,100,100,100,0</v>
      </c>
      <c r="AC3" s="12">
        <f t="shared" ref="AC3:AC34" si="1">VLOOKUP(K3,$I$1005:$J$1012,2,FALSE)</f>
        <v>2</v>
      </c>
      <c r="AD3" s="12" t="str">
        <f t="shared" ref="AD3:AD34" si="2">CONCATENATE(X3,"/",Y3,"/",Z3)</f>
        <v>1000/2000/3000</v>
      </c>
      <c r="AE3" s="12" t="str">
        <f t="shared" ref="AE3:AE34" si="3">CONCATENATE(IF(M3=0,"","0/"),IF(N3=0,"","1/"))</f>
        <v/>
      </c>
      <c r="AF3" s="12" t="str">
        <f t="shared" ref="AF3:AF34" si="4">CONCATENATE(IF(M3=0,"",CONCATENATE(M3,"/")),IF(N3=0,"",CONCATENATE(N3,"/")))</f>
        <v/>
      </c>
      <c r="AG3" s="12" t="str">
        <f t="shared" ref="AG3:AG34" si="5">CONCATENATE(IF(O3=0,"","0/"),IF(P3=0,"","1/"),IF(Q3=0,"","2/"),IF(R3=0,"","3/"),IF(S3=0,"","4/"),IF(T3=0,"","5/"))</f>
        <v>0/</v>
      </c>
      <c r="AH3" s="12" t="str">
        <f t="shared" ref="AH3:AH34" si="6">CONCATENATE(IF(O3=0,"",CONCATENATE(O3,"/")),IF(P3=0,"",CONCATENATE(P3,"/")),IF(Q3=0,"",CONCATENATE(Q3,"/")),IF(R3=0,"",CONCATENATE(R3,"/")),IF(S3=0,"",CONCATENATE(S3,"/")),IF(T3=0,"",CONCATENATE(T3,"/")))</f>
        <v>10/</v>
      </c>
      <c r="AI3" s="12" t="str">
        <f t="shared" ref="AI3:AI34" si="7">CONCATENATE(V3,"/",W3)</f>
        <v>10/5</v>
      </c>
    </row>
    <row r="4" spans="1:35" s="8" customFormat="1" ht="21.95" customHeight="1">
      <c r="A4" s="9">
        <v>2</v>
      </c>
      <c r="B4" s="17">
        <v>2</v>
      </c>
      <c r="C4" s="6">
        <v>15</v>
      </c>
      <c r="D4" s="6">
        <v>0</v>
      </c>
      <c r="E4" s="5">
        <v>100</v>
      </c>
      <c r="F4" s="5">
        <v>0</v>
      </c>
      <c r="G4" s="5">
        <v>0</v>
      </c>
      <c r="H4" s="5">
        <v>100</v>
      </c>
      <c r="I4" s="5">
        <v>100</v>
      </c>
      <c r="J4" s="5">
        <v>100</v>
      </c>
      <c r="K4" s="15" t="s">
        <v>53</v>
      </c>
      <c r="L4" s="6">
        <v>3</v>
      </c>
      <c r="M4" s="6">
        <v>0</v>
      </c>
      <c r="N4" s="6">
        <v>0</v>
      </c>
      <c r="O4" s="5">
        <v>0</v>
      </c>
      <c r="P4" s="5">
        <v>0</v>
      </c>
      <c r="Q4" s="5">
        <v>0</v>
      </c>
      <c r="R4" s="5">
        <v>15</v>
      </c>
      <c r="S4" s="5">
        <v>15</v>
      </c>
      <c r="T4" s="5">
        <v>0</v>
      </c>
      <c r="U4" s="6">
        <v>0</v>
      </c>
      <c r="V4" s="5">
        <v>10</v>
      </c>
      <c r="W4" s="5">
        <v>5</v>
      </c>
      <c r="X4" s="16">
        <v>1000</v>
      </c>
      <c r="Y4" s="16">
        <v>3000</v>
      </c>
      <c r="Z4" s="16">
        <v>6000</v>
      </c>
      <c r="AA4" s="12" t="str">
        <f t="shared" si="0"/>
        <v>0/15</v>
      </c>
      <c r="AB4" s="12" t="str">
        <f t="shared" ref="AB4:AB7" si="8">CONCATENATE(E4,",",F4,",",G4,",",H4,",",I4,",",J4)</f>
        <v>100,0,0,100,100,100</v>
      </c>
      <c r="AC4" s="12">
        <f t="shared" si="1"/>
        <v>2</v>
      </c>
      <c r="AD4" s="12" t="str">
        <f t="shared" si="2"/>
        <v>1000/3000/6000</v>
      </c>
      <c r="AE4" s="12" t="str">
        <f t="shared" si="3"/>
        <v/>
      </c>
      <c r="AF4" s="12" t="str">
        <f t="shared" si="4"/>
        <v/>
      </c>
      <c r="AG4" s="12" t="str">
        <f t="shared" si="5"/>
        <v>3/4/</v>
      </c>
      <c r="AH4" s="12" t="str">
        <f t="shared" si="6"/>
        <v>15/15/</v>
      </c>
      <c r="AI4" s="12" t="str">
        <f t="shared" si="7"/>
        <v>10/5</v>
      </c>
    </row>
    <row r="5" spans="1:35" s="8" customFormat="1" ht="21.95" customHeight="1">
      <c r="A5" s="9">
        <v>3</v>
      </c>
      <c r="B5" s="17">
        <v>3</v>
      </c>
      <c r="C5" s="6">
        <v>16</v>
      </c>
      <c r="D5" s="6">
        <v>0</v>
      </c>
      <c r="E5" s="5">
        <v>100</v>
      </c>
      <c r="F5" s="5">
        <v>100</v>
      </c>
      <c r="G5" s="5">
        <v>0</v>
      </c>
      <c r="H5" s="5">
        <v>100</v>
      </c>
      <c r="I5" s="5">
        <v>100</v>
      </c>
      <c r="J5" s="5">
        <v>0</v>
      </c>
      <c r="K5" s="15" t="s">
        <v>53</v>
      </c>
      <c r="L5" s="6">
        <v>3</v>
      </c>
      <c r="M5" s="6">
        <v>0</v>
      </c>
      <c r="N5" s="6">
        <v>0</v>
      </c>
      <c r="O5" s="5">
        <v>0</v>
      </c>
      <c r="P5" s="5">
        <v>15</v>
      </c>
      <c r="Q5" s="5">
        <v>0</v>
      </c>
      <c r="R5" s="5">
        <v>0</v>
      </c>
      <c r="S5" s="5">
        <v>20</v>
      </c>
      <c r="T5" s="5">
        <v>0</v>
      </c>
      <c r="U5" s="6">
        <v>0</v>
      </c>
      <c r="V5" s="5">
        <v>10</v>
      </c>
      <c r="W5" s="5">
        <v>5</v>
      </c>
      <c r="X5" s="16">
        <v>1000</v>
      </c>
      <c r="Y5" s="16">
        <v>3000</v>
      </c>
      <c r="Z5" s="16">
        <v>6000</v>
      </c>
      <c r="AA5" s="12" t="str">
        <f t="shared" si="0"/>
        <v>0/16</v>
      </c>
      <c r="AB5" s="12" t="str">
        <f t="shared" si="8"/>
        <v>100,100,0,100,100,0</v>
      </c>
      <c r="AC5" s="12">
        <f t="shared" si="1"/>
        <v>2</v>
      </c>
      <c r="AD5" s="12" t="str">
        <f t="shared" si="2"/>
        <v>1000/3000/6000</v>
      </c>
      <c r="AE5" s="12" t="str">
        <f t="shared" si="3"/>
        <v/>
      </c>
      <c r="AF5" s="12" t="str">
        <f t="shared" si="4"/>
        <v/>
      </c>
      <c r="AG5" s="12" t="str">
        <f t="shared" si="5"/>
        <v>1/4/</v>
      </c>
      <c r="AH5" s="12" t="str">
        <f t="shared" si="6"/>
        <v>15/20/</v>
      </c>
      <c r="AI5" s="12" t="str">
        <f t="shared" si="7"/>
        <v>10/5</v>
      </c>
    </row>
    <row r="6" spans="1:35" s="8" customFormat="1" ht="21.95" customHeight="1">
      <c r="A6" s="9">
        <v>4</v>
      </c>
      <c r="B6" s="17">
        <v>4</v>
      </c>
      <c r="C6" s="6">
        <v>18</v>
      </c>
      <c r="D6" s="6">
        <v>0</v>
      </c>
      <c r="E6" s="5">
        <v>100</v>
      </c>
      <c r="F6" s="5">
        <v>0</v>
      </c>
      <c r="G6" s="5">
        <v>100</v>
      </c>
      <c r="H6" s="5">
        <v>0</v>
      </c>
      <c r="I6" s="5">
        <v>100</v>
      </c>
      <c r="J6" s="5">
        <v>100</v>
      </c>
      <c r="K6" s="15" t="s">
        <v>53</v>
      </c>
      <c r="L6" s="6">
        <v>3</v>
      </c>
      <c r="M6" s="6">
        <v>0</v>
      </c>
      <c r="N6" s="6">
        <v>0</v>
      </c>
      <c r="O6" s="5">
        <v>15</v>
      </c>
      <c r="P6" s="5">
        <v>0</v>
      </c>
      <c r="Q6" s="5">
        <v>15</v>
      </c>
      <c r="R6" s="5">
        <v>0</v>
      </c>
      <c r="S6" s="5">
        <v>15</v>
      </c>
      <c r="T6" s="5">
        <v>0</v>
      </c>
      <c r="U6" s="6">
        <v>0</v>
      </c>
      <c r="V6" s="5">
        <v>10</v>
      </c>
      <c r="W6" s="5">
        <v>5</v>
      </c>
      <c r="X6" s="16">
        <v>1000</v>
      </c>
      <c r="Y6" s="16">
        <v>3000</v>
      </c>
      <c r="Z6" s="16">
        <v>6000</v>
      </c>
      <c r="AA6" s="12" t="str">
        <f t="shared" si="0"/>
        <v>0/18</v>
      </c>
      <c r="AB6" s="12" t="str">
        <f t="shared" si="8"/>
        <v>100,0,100,0,100,100</v>
      </c>
      <c r="AC6" s="12">
        <f t="shared" si="1"/>
        <v>2</v>
      </c>
      <c r="AD6" s="12" t="str">
        <f t="shared" si="2"/>
        <v>1000/3000/6000</v>
      </c>
      <c r="AE6" s="12" t="str">
        <f t="shared" si="3"/>
        <v/>
      </c>
      <c r="AF6" s="12" t="str">
        <f t="shared" si="4"/>
        <v/>
      </c>
      <c r="AG6" s="12" t="str">
        <f t="shared" si="5"/>
        <v>0/2/4/</v>
      </c>
      <c r="AH6" s="12" t="str">
        <f t="shared" si="6"/>
        <v>15/15/15/</v>
      </c>
      <c r="AI6" s="12" t="str">
        <f t="shared" si="7"/>
        <v>10/5</v>
      </c>
    </row>
    <row r="7" spans="1:35" s="8" customFormat="1" ht="21.95" customHeight="1">
      <c r="A7" s="9">
        <v>5</v>
      </c>
      <c r="B7" s="17">
        <v>5</v>
      </c>
      <c r="C7" s="6">
        <v>18</v>
      </c>
      <c r="D7" s="6">
        <v>0</v>
      </c>
      <c r="E7" s="5">
        <v>100</v>
      </c>
      <c r="F7" s="5">
        <v>100</v>
      </c>
      <c r="G7" s="5">
        <v>100</v>
      </c>
      <c r="H7" s="5">
        <v>100</v>
      </c>
      <c r="I7" s="5">
        <v>0</v>
      </c>
      <c r="J7" s="5">
        <v>100</v>
      </c>
      <c r="K7" s="17" t="s">
        <v>52</v>
      </c>
      <c r="L7" s="6">
        <v>3</v>
      </c>
      <c r="M7" s="6">
        <v>2</v>
      </c>
      <c r="N7" s="6">
        <v>0</v>
      </c>
      <c r="O7" s="5">
        <v>0</v>
      </c>
      <c r="P7" s="5">
        <v>0</v>
      </c>
      <c r="Q7" s="5">
        <v>0</v>
      </c>
      <c r="R7" s="5">
        <v>0</v>
      </c>
      <c r="S7" s="5">
        <v>0</v>
      </c>
      <c r="T7" s="5">
        <v>0</v>
      </c>
      <c r="U7" s="6">
        <v>0</v>
      </c>
      <c r="V7" s="5">
        <v>10</v>
      </c>
      <c r="W7" s="5">
        <v>5</v>
      </c>
      <c r="X7" s="16">
        <v>1000</v>
      </c>
      <c r="Y7" s="16">
        <v>3000</v>
      </c>
      <c r="Z7" s="16">
        <v>6000</v>
      </c>
      <c r="AA7" s="12" t="str">
        <f t="shared" si="0"/>
        <v>0/18</v>
      </c>
      <c r="AB7" s="12" t="str">
        <f t="shared" si="8"/>
        <v>100,100,100,100,0,100</v>
      </c>
      <c r="AC7" s="12">
        <f t="shared" si="1"/>
        <v>1</v>
      </c>
      <c r="AD7" s="12" t="str">
        <f t="shared" si="2"/>
        <v>1000/3000/6000</v>
      </c>
      <c r="AE7" s="12" t="str">
        <f t="shared" si="3"/>
        <v>0/</v>
      </c>
      <c r="AF7" s="12" t="str">
        <f t="shared" si="4"/>
        <v>2/</v>
      </c>
      <c r="AG7" s="12" t="str">
        <f t="shared" si="5"/>
        <v/>
      </c>
      <c r="AH7" s="12" t="str">
        <f t="shared" si="6"/>
        <v/>
      </c>
      <c r="AI7" s="12" t="str">
        <f t="shared" si="7"/>
        <v>10/5</v>
      </c>
    </row>
    <row r="8" spans="1:35" s="8" customFormat="1" ht="21.95" customHeight="1">
      <c r="A8" s="9">
        <v>6</v>
      </c>
      <c r="B8" s="17">
        <v>6</v>
      </c>
      <c r="C8" s="6">
        <v>18</v>
      </c>
      <c r="D8" s="6">
        <v>0</v>
      </c>
      <c r="E8" s="5">
        <v>100</v>
      </c>
      <c r="F8" s="5">
        <v>100</v>
      </c>
      <c r="G8" s="5">
        <v>100</v>
      </c>
      <c r="H8" s="5">
        <v>100</v>
      </c>
      <c r="I8" s="5">
        <v>100</v>
      </c>
      <c r="J8" s="5">
        <v>0</v>
      </c>
      <c r="K8" s="15" t="s">
        <v>52</v>
      </c>
      <c r="L8" s="6">
        <v>3</v>
      </c>
      <c r="M8" s="6">
        <v>3</v>
      </c>
      <c r="N8" s="6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6">
        <v>0</v>
      </c>
      <c r="V8" s="5">
        <v>10</v>
      </c>
      <c r="W8" s="5">
        <v>5</v>
      </c>
      <c r="X8" s="16">
        <v>1000</v>
      </c>
      <c r="Y8" s="16">
        <v>3000</v>
      </c>
      <c r="Z8" s="16">
        <v>6000</v>
      </c>
      <c r="AA8" s="12" t="str">
        <f t="shared" si="0"/>
        <v>0/18</v>
      </c>
      <c r="AB8" s="12" t="str">
        <f t="shared" ref="AB8:AB10" si="9">CONCATENATE(E8,",",F8,",",G8,",",H8,",",I8,",",J8)</f>
        <v>100,100,100,100,100,0</v>
      </c>
      <c r="AC8" s="12">
        <f t="shared" si="1"/>
        <v>1</v>
      </c>
      <c r="AD8" s="12" t="str">
        <f t="shared" si="2"/>
        <v>1000/3000/6000</v>
      </c>
      <c r="AE8" s="12" t="str">
        <f t="shared" si="3"/>
        <v>0/</v>
      </c>
      <c r="AF8" s="12" t="str">
        <f t="shared" si="4"/>
        <v>3/</v>
      </c>
      <c r="AG8" s="12" t="str">
        <f t="shared" si="5"/>
        <v/>
      </c>
      <c r="AH8" s="12" t="str">
        <f t="shared" si="6"/>
        <v/>
      </c>
      <c r="AI8" s="12" t="str">
        <f t="shared" si="7"/>
        <v>10/5</v>
      </c>
    </row>
    <row r="9" spans="1:35" s="8" customFormat="1" ht="21.95" customHeight="1">
      <c r="A9" s="9">
        <v>7</v>
      </c>
      <c r="B9" s="17">
        <v>7</v>
      </c>
      <c r="C9" s="6">
        <v>24</v>
      </c>
      <c r="D9" s="6">
        <v>0</v>
      </c>
      <c r="E9" s="5">
        <v>0</v>
      </c>
      <c r="F9" s="5">
        <v>100</v>
      </c>
      <c r="G9" s="5">
        <v>100</v>
      </c>
      <c r="H9" s="5">
        <v>100</v>
      </c>
      <c r="I9" s="5">
        <v>100</v>
      </c>
      <c r="J9" s="5">
        <v>100</v>
      </c>
      <c r="K9" s="15" t="s">
        <v>52</v>
      </c>
      <c r="L9" s="6">
        <v>3</v>
      </c>
      <c r="M9" s="6">
        <v>2</v>
      </c>
      <c r="N9" s="6">
        <v>1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6">
        <v>0</v>
      </c>
      <c r="V9" s="5">
        <v>10</v>
      </c>
      <c r="W9" s="5">
        <v>5</v>
      </c>
      <c r="X9" s="16">
        <v>1000</v>
      </c>
      <c r="Y9" s="16">
        <v>3000</v>
      </c>
      <c r="Z9" s="16">
        <v>6000</v>
      </c>
      <c r="AA9" s="12" t="str">
        <f t="shared" si="0"/>
        <v>0/24</v>
      </c>
      <c r="AB9" s="12" t="str">
        <f t="shared" si="9"/>
        <v>0,100,100,100,100,100</v>
      </c>
      <c r="AC9" s="12">
        <f t="shared" si="1"/>
        <v>1</v>
      </c>
      <c r="AD9" s="12" t="str">
        <f t="shared" si="2"/>
        <v>1000/3000/6000</v>
      </c>
      <c r="AE9" s="12" t="str">
        <f t="shared" si="3"/>
        <v>0/1/</v>
      </c>
      <c r="AF9" s="12" t="str">
        <f t="shared" si="4"/>
        <v>2/1/</v>
      </c>
      <c r="AG9" s="12" t="str">
        <f t="shared" si="5"/>
        <v/>
      </c>
      <c r="AH9" s="12" t="str">
        <f t="shared" si="6"/>
        <v/>
      </c>
      <c r="AI9" s="12" t="str">
        <f t="shared" si="7"/>
        <v>10/5</v>
      </c>
    </row>
    <row r="10" spans="1:35" s="8" customFormat="1" ht="21.95" customHeight="1">
      <c r="A10" s="9">
        <v>8</v>
      </c>
      <c r="B10" s="17">
        <v>8</v>
      </c>
      <c r="C10" s="6">
        <v>26</v>
      </c>
      <c r="D10" s="6">
        <v>0</v>
      </c>
      <c r="E10" s="5">
        <v>100</v>
      </c>
      <c r="F10" s="5">
        <v>0</v>
      </c>
      <c r="G10" s="5">
        <v>100</v>
      </c>
      <c r="H10" s="5">
        <v>100</v>
      </c>
      <c r="I10" s="5">
        <v>100</v>
      </c>
      <c r="J10" s="5">
        <v>100</v>
      </c>
      <c r="K10" s="15" t="s">
        <v>52</v>
      </c>
      <c r="L10" s="6">
        <v>3</v>
      </c>
      <c r="M10" s="6">
        <v>2</v>
      </c>
      <c r="N10" s="6">
        <v>2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6">
        <v>0</v>
      </c>
      <c r="V10" s="5">
        <v>10</v>
      </c>
      <c r="W10" s="5">
        <v>5</v>
      </c>
      <c r="X10" s="16">
        <v>1000</v>
      </c>
      <c r="Y10" s="16">
        <v>3000</v>
      </c>
      <c r="Z10" s="16">
        <v>6000</v>
      </c>
      <c r="AA10" s="12" t="str">
        <f t="shared" si="0"/>
        <v>0/26</v>
      </c>
      <c r="AB10" s="12" t="str">
        <f t="shared" si="9"/>
        <v>100,0,100,100,100,100</v>
      </c>
      <c r="AC10" s="12">
        <f t="shared" si="1"/>
        <v>1</v>
      </c>
      <c r="AD10" s="12" t="str">
        <f t="shared" si="2"/>
        <v>1000/3000/6000</v>
      </c>
      <c r="AE10" s="12" t="str">
        <f t="shared" si="3"/>
        <v>0/1/</v>
      </c>
      <c r="AF10" s="12" t="str">
        <f t="shared" si="4"/>
        <v>2/2/</v>
      </c>
      <c r="AG10" s="12" t="str">
        <f t="shared" si="5"/>
        <v/>
      </c>
      <c r="AH10" s="12" t="str">
        <f t="shared" si="6"/>
        <v/>
      </c>
      <c r="AI10" s="12" t="str">
        <f t="shared" si="7"/>
        <v>10/5</v>
      </c>
    </row>
    <row r="11" spans="1:35" s="8" customFormat="1" ht="21.95" customHeight="1">
      <c r="A11" s="9">
        <v>9</v>
      </c>
      <c r="B11" s="17">
        <v>9</v>
      </c>
      <c r="C11" s="6">
        <v>20</v>
      </c>
      <c r="D11" s="6">
        <v>0</v>
      </c>
      <c r="E11" s="5">
        <v>100</v>
      </c>
      <c r="F11" s="5">
        <v>100</v>
      </c>
      <c r="G11" s="5">
        <v>0</v>
      </c>
      <c r="H11" s="5">
        <v>100</v>
      </c>
      <c r="I11" s="5">
        <v>100</v>
      </c>
      <c r="J11" s="5">
        <v>100</v>
      </c>
      <c r="K11" s="17" t="s">
        <v>51</v>
      </c>
      <c r="L11" s="6">
        <v>3</v>
      </c>
      <c r="M11" s="6">
        <v>0</v>
      </c>
      <c r="N11" s="6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6">
        <v>0</v>
      </c>
      <c r="V11" s="5">
        <v>10</v>
      </c>
      <c r="W11" s="5">
        <v>5</v>
      </c>
      <c r="X11" s="16">
        <v>1000</v>
      </c>
      <c r="Y11" s="16">
        <v>3000</v>
      </c>
      <c r="Z11" s="16">
        <v>6000</v>
      </c>
      <c r="AA11" s="12" t="str">
        <f t="shared" si="0"/>
        <v>0/20</v>
      </c>
      <c r="AB11" s="12" t="str">
        <f t="shared" ref="AB11:AB74" si="10">CONCATENATE(E11,",",F11,",",G11,",",H11,",",I11,",",J11)</f>
        <v>100,100,0,100,100,100</v>
      </c>
      <c r="AC11" s="12">
        <f t="shared" si="1"/>
        <v>0</v>
      </c>
      <c r="AD11" s="12" t="str">
        <f t="shared" si="2"/>
        <v>1000/3000/6000</v>
      </c>
      <c r="AE11" s="12" t="str">
        <f t="shared" si="3"/>
        <v/>
      </c>
      <c r="AF11" s="12" t="str">
        <f t="shared" si="4"/>
        <v/>
      </c>
      <c r="AG11" s="12" t="str">
        <f t="shared" si="5"/>
        <v/>
      </c>
      <c r="AH11" s="12" t="str">
        <f t="shared" si="6"/>
        <v/>
      </c>
      <c r="AI11" s="12" t="str">
        <f t="shared" si="7"/>
        <v>10/5</v>
      </c>
    </row>
    <row r="12" spans="1:35" s="8" customFormat="1" ht="21.95" customHeight="1">
      <c r="A12" s="9">
        <v>10</v>
      </c>
      <c r="B12" s="17">
        <v>10</v>
      </c>
      <c r="C12" s="6">
        <v>18</v>
      </c>
      <c r="D12" s="6">
        <v>0</v>
      </c>
      <c r="E12" s="5">
        <v>100</v>
      </c>
      <c r="F12" s="5">
        <v>80</v>
      </c>
      <c r="G12" s="5">
        <v>100</v>
      </c>
      <c r="H12" s="5">
        <v>0</v>
      </c>
      <c r="I12" s="5">
        <v>100</v>
      </c>
      <c r="J12" s="5">
        <v>100</v>
      </c>
      <c r="K12" s="15" t="s">
        <v>51</v>
      </c>
      <c r="L12" s="6">
        <v>3</v>
      </c>
      <c r="M12" s="6">
        <v>0</v>
      </c>
      <c r="N12" s="6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6">
        <v>0</v>
      </c>
      <c r="V12" s="5">
        <v>10</v>
      </c>
      <c r="W12" s="5">
        <v>5</v>
      </c>
      <c r="X12" s="16">
        <v>1000</v>
      </c>
      <c r="Y12" s="16">
        <v>3000</v>
      </c>
      <c r="Z12" s="16">
        <v>6000</v>
      </c>
      <c r="AA12" s="12" t="str">
        <f t="shared" si="0"/>
        <v>0/18</v>
      </c>
      <c r="AB12" s="12" t="str">
        <f t="shared" si="10"/>
        <v>100,80,100,0,100,100</v>
      </c>
      <c r="AC12" s="12">
        <f t="shared" si="1"/>
        <v>0</v>
      </c>
      <c r="AD12" s="12" t="str">
        <f t="shared" si="2"/>
        <v>1000/3000/6000</v>
      </c>
      <c r="AE12" s="12" t="str">
        <f t="shared" si="3"/>
        <v/>
      </c>
      <c r="AF12" s="12" t="str">
        <f t="shared" si="4"/>
        <v/>
      </c>
      <c r="AG12" s="12" t="str">
        <f t="shared" si="5"/>
        <v/>
      </c>
      <c r="AH12" s="12" t="str">
        <f t="shared" si="6"/>
        <v/>
      </c>
      <c r="AI12" s="12" t="str">
        <f t="shared" si="7"/>
        <v>10/5</v>
      </c>
    </row>
    <row r="13" spans="1:35" s="8" customFormat="1" ht="21.95" customHeight="1">
      <c r="A13" s="9">
        <v>11</v>
      </c>
      <c r="B13" s="17">
        <v>11</v>
      </c>
      <c r="C13" s="6">
        <v>22</v>
      </c>
      <c r="D13" s="6">
        <v>0</v>
      </c>
      <c r="E13" s="5">
        <v>100</v>
      </c>
      <c r="F13" s="5">
        <v>100</v>
      </c>
      <c r="G13" s="5">
        <v>100</v>
      </c>
      <c r="H13" s="5">
        <v>100</v>
      </c>
      <c r="I13" s="5">
        <v>0</v>
      </c>
      <c r="J13" s="5">
        <v>100</v>
      </c>
      <c r="K13" s="15" t="s">
        <v>53</v>
      </c>
      <c r="L13" s="6">
        <v>3</v>
      </c>
      <c r="M13" s="6">
        <v>0</v>
      </c>
      <c r="N13" s="6">
        <v>0</v>
      </c>
      <c r="O13" s="5">
        <v>24</v>
      </c>
      <c r="P13" s="5">
        <v>0</v>
      </c>
      <c r="Q13" s="5">
        <v>0</v>
      </c>
      <c r="R13" s="5">
        <v>0</v>
      </c>
      <c r="S13" s="5">
        <v>0</v>
      </c>
      <c r="T13" s="5">
        <v>24</v>
      </c>
      <c r="U13" s="6">
        <v>0</v>
      </c>
      <c r="V13" s="5">
        <v>10</v>
      </c>
      <c r="W13" s="5">
        <v>5</v>
      </c>
      <c r="X13" s="16">
        <v>1000</v>
      </c>
      <c r="Y13" s="16">
        <v>3000</v>
      </c>
      <c r="Z13" s="16">
        <v>6000</v>
      </c>
      <c r="AA13" s="12" t="str">
        <f t="shared" si="0"/>
        <v>0/22</v>
      </c>
      <c r="AB13" s="12" t="str">
        <f t="shared" si="10"/>
        <v>100,100,100,100,0,100</v>
      </c>
      <c r="AC13" s="12">
        <f t="shared" si="1"/>
        <v>2</v>
      </c>
      <c r="AD13" s="12" t="str">
        <f t="shared" si="2"/>
        <v>1000/3000/6000</v>
      </c>
      <c r="AE13" s="12" t="str">
        <f t="shared" si="3"/>
        <v/>
      </c>
      <c r="AF13" s="12" t="str">
        <f t="shared" si="4"/>
        <v/>
      </c>
      <c r="AG13" s="12" t="str">
        <f t="shared" si="5"/>
        <v>0/5/</v>
      </c>
      <c r="AH13" s="12" t="str">
        <f t="shared" si="6"/>
        <v>24/24/</v>
      </c>
      <c r="AI13" s="12" t="str">
        <f t="shared" si="7"/>
        <v>10/5</v>
      </c>
    </row>
    <row r="14" spans="1:35" s="8" customFormat="1" ht="21.95" customHeight="1">
      <c r="A14" s="9">
        <v>12</v>
      </c>
      <c r="B14" s="17">
        <v>12</v>
      </c>
      <c r="C14" s="6">
        <v>25</v>
      </c>
      <c r="D14" s="6">
        <v>0</v>
      </c>
      <c r="E14" s="5">
        <v>90</v>
      </c>
      <c r="F14" s="5">
        <v>90</v>
      </c>
      <c r="G14" s="5">
        <v>90</v>
      </c>
      <c r="H14" s="5">
        <v>100</v>
      </c>
      <c r="I14" s="5">
        <v>100</v>
      </c>
      <c r="J14" s="5">
        <v>0</v>
      </c>
      <c r="K14" s="15" t="s">
        <v>53</v>
      </c>
      <c r="L14" s="6">
        <v>3</v>
      </c>
      <c r="M14" s="6">
        <v>0</v>
      </c>
      <c r="N14" s="6">
        <v>0</v>
      </c>
      <c r="O14" s="5">
        <v>22</v>
      </c>
      <c r="P14" s="5">
        <v>22</v>
      </c>
      <c r="Q14" s="5">
        <v>0</v>
      </c>
      <c r="R14" s="5">
        <v>0</v>
      </c>
      <c r="S14" s="5">
        <v>0</v>
      </c>
      <c r="T14" s="5">
        <v>0</v>
      </c>
      <c r="U14" s="6">
        <v>0</v>
      </c>
      <c r="V14" s="5">
        <v>10</v>
      </c>
      <c r="W14" s="5">
        <v>5</v>
      </c>
      <c r="X14" s="16">
        <v>1000</v>
      </c>
      <c r="Y14" s="16">
        <v>3000</v>
      </c>
      <c r="Z14" s="16">
        <v>6000</v>
      </c>
      <c r="AA14" s="12" t="str">
        <f t="shared" si="0"/>
        <v>0/25</v>
      </c>
      <c r="AB14" s="12" t="str">
        <f t="shared" si="10"/>
        <v>90,90,90,100,100,0</v>
      </c>
      <c r="AC14" s="12">
        <f t="shared" si="1"/>
        <v>2</v>
      </c>
      <c r="AD14" s="12" t="str">
        <f t="shared" si="2"/>
        <v>1000/3000/6000</v>
      </c>
      <c r="AE14" s="12" t="str">
        <f t="shared" si="3"/>
        <v/>
      </c>
      <c r="AF14" s="12" t="str">
        <f t="shared" si="4"/>
        <v/>
      </c>
      <c r="AG14" s="12" t="str">
        <f t="shared" si="5"/>
        <v>0/1/</v>
      </c>
      <c r="AH14" s="12" t="str">
        <f t="shared" si="6"/>
        <v>22/22/</v>
      </c>
      <c r="AI14" s="12" t="str">
        <f t="shared" si="7"/>
        <v>10/5</v>
      </c>
    </row>
    <row r="15" spans="1:35" s="8" customFormat="1" ht="21.95" customHeight="1">
      <c r="A15" s="9">
        <v>13</v>
      </c>
      <c r="B15" s="17">
        <v>13</v>
      </c>
      <c r="C15" s="6">
        <v>20</v>
      </c>
      <c r="D15" s="6">
        <v>0</v>
      </c>
      <c r="E15" s="5">
        <v>0</v>
      </c>
      <c r="F15" s="5">
        <v>90</v>
      </c>
      <c r="G15" s="5">
        <v>90</v>
      </c>
      <c r="H15" s="5">
        <v>90</v>
      </c>
      <c r="I15" s="5">
        <v>100</v>
      </c>
      <c r="J15" s="5">
        <v>100</v>
      </c>
      <c r="K15" s="15" t="s">
        <v>53</v>
      </c>
      <c r="L15" s="6">
        <v>3</v>
      </c>
      <c r="M15" s="6">
        <v>0</v>
      </c>
      <c r="N15" s="6">
        <v>0</v>
      </c>
      <c r="O15" s="5">
        <v>0</v>
      </c>
      <c r="P15" s="5">
        <v>26</v>
      </c>
      <c r="Q15" s="5">
        <v>26</v>
      </c>
      <c r="R15" s="5">
        <v>0</v>
      </c>
      <c r="S15" s="5">
        <v>0</v>
      </c>
      <c r="T15" s="5">
        <v>0</v>
      </c>
      <c r="U15" s="6">
        <v>0</v>
      </c>
      <c r="V15" s="5">
        <v>10</v>
      </c>
      <c r="W15" s="5">
        <v>5</v>
      </c>
      <c r="X15" s="16">
        <v>1000</v>
      </c>
      <c r="Y15" s="16">
        <v>3000</v>
      </c>
      <c r="Z15" s="16">
        <v>6000</v>
      </c>
      <c r="AA15" s="12" t="str">
        <f t="shared" si="0"/>
        <v>0/20</v>
      </c>
      <c r="AB15" s="12" t="str">
        <f t="shared" si="10"/>
        <v>0,90,90,90,100,100</v>
      </c>
      <c r="AC15" s="12">
        <f t="shared" si="1"/>
        <v>2</v>
      </c>
      <c r="AD15" s="12" t="str">
        <f t="shared" si="2"/>
        <v>1000/3000/6000</v>
      </c>
      <c r="AE15" s="12" t="str">
        <f t="shared" si="3"/>
        <v/>
      </c>
      <c r="AF15" s="12" t="str">
        <f t="shared" si="4"/>
        <v/>
      </c>
      <c r="AG15" s="12" t="str">
        <f t="shared" si="5"/>
        <v>1/2/</v>
      </c>
      <c r="AH15" s="12" t="str">
        <f t="shared" si="6"/>
        <v>26/26/</v>
      </c>
      <c r="AI15" s="12" t="str">
        <f t="shared" si="7"/>
        <v>10/5</v>
      </c>
    </row>
    <row r="16" spans="1:35" s="8" customFormat="1" ht="21.95" customHeight="1">
      <c r="A16" s="9">
        <v>14</v>
      </c>
      <c r="B16" s="17">
        <v>14</v>
      </c>
      <c r="C16" s="6">
        <v>24</v>
      </c>
      <c r="D16" s="6">
        <v>0</v>
      </c>
      <c r="E16" s="5">
        <v>100</v>
      </c>
      <c r="F16" s="5">
        <v>0</v>
      </c>
      <c r="G16" s="5">
        <v>90</v>
      </c>
      <c r="H16" s="5">
        <v>90</v>
      </c>
      <c r="I16" s="5">
        <v>90</v>
      </c>
      <c r="J16" s="5">
        <v>100</v>
      </c>
      <c r="K16" s="15" t="s">
        <v>52</v>
      </c>
      <c r="L16" s="6">
        <v>3</v>
      </c>
      <c r="M16" s="6">
        <v>3</v>
      </c>
      <c r="N16" s="6">
        <v>0</v>
      </c>
      <c r="O16" s="5">
        <v>0</v>
      </c>
      <c r="P16" s="5">
        <v>0</v>
      </c>
      <c r="Q16" s="5">
        <v>0</v>
      </c>
      <c r="R16" s="5">
        <v>0</v>
      </c>
      <c r="S16" s="5">
        <v>0</v>
      </c>
      <c r="T16" s="5">
        <v>0</v>
      </c>
      <c r="U16" s="6">
        <v>0</v>
      </c>
      <c r="V16" s="5">
        <v>10</v>
      </c>
      <c r="W16" s="5">
        <v>5</v>
      </c>
      <c r="X16" s="16">
        <v>1000</v>
      </c>
      <c r="Y16" s="16">
        <v>3000</v>
      </c>
      <c r="Z16" s="16">
        <v>6000</v>
      </c>
      <c r="AA16" s="12" t="str">
        <f t="shared" si="0"/>
        <v>0/24</v>
      </c>
      <c r="AB16" s="12" t="str">
        <f t="shared" si="10"/>
        <v>100,0,90,90,90,100</v>
      </c>
      <c r="AC16" s="12">
        <f t="shared" si="1"/>
        <v>1</v>
      </c>
      <c r="AD16" s="12" t="str">
        <f t="shared" si="2"/>
        <v>1000/3000/6000</v>
      </c>
      <c r="AE16" s="12" t="str">
        <f t="shared" si="3"/>
        <v>0/</v>
      </c>
      <c r="AF16" s="12" t="str">
        <f t="shared" si="4"/>
        <v>3/</v>
      </c>
      <c r="AG16" s="12" t="str">
        <f t="shared" si="5"/>
        <v/>
      </c>
      <c r="AH16" s="12" t="str">
        <f t="shared" si="6"/>
        <v/>
      </c>
      <c r="AI16" s="12" t="str">
        <f t="shared" si="7"/>
        <v>10/5</v>
      </c>
    </row>
    <row r="17" spans="1:35" s="8" customFormat="1" ht="21.95" customHeight="1">
      <c r="A17" s="9">
        <v>15</v>
      </c>
      <c r="B17" s="17">
        <v>15</v>
      </c>
      <c r="C17" s="6">
        <v>20</v>
      </c>
      <c r="D17" s="6">
        <v>0</v>
      </c>
      <c r="E17" s="5">
        <v>100</v>
      </c>
      <c r="F17" s="5">
        <v>100</v>
      </c>
      <c r="G17" s="5">
        <v>0</v>
      </c>
      <c r="H17" s="5">
        <v>80</v>
      </c>
      <c r="I17" s="5">
        <v>50</v>
      </c>
      <c r="J17" s="5">
        <v>80</v>
      </c>
      <c r="K17" s="15" t="s">
        <v>52</v>
      </c>
      <c r="L17" s="6">
        <v>3</v>
      </c>
      <c r="M17" s="6">
        <v>4</v>
      </c>
      <c r="N17" s="6">
        <v>2</v>
      </c>
      <c r="O17" s="5">
        <v>0</v>
      </c>
      <c r="P17" s="5">
        <v>0</v>
      </c>
      <c r="Q17" s="5">
        <v>0</v>
      </c>
      <c r="R17" s="5">
        <v>0</v>
      </c>
      <c r="S17" s="5">
        <v>0</v>
      </c>
      <c r="T17" s="5">
        <v>0</v>
      </c>
      <c r="U17" s="6">
        <v>0</v>
      </c>
      <c r="V17" s="5">
        <v>10</v>
      </c>
      <c r="W17" s="5">
        <v>5</v>
      </c>
      <c r="X17" s="16">
        <v>1000</v>
      </c>
      <c r="Y17" s="16">
        <v>3000</v>
      </c>
      <c r="Z17" s="16">
        <v>6000</v>
      </c>
      <c r="AA17" s="12" t="str">
        <f t="shared" si="0"/>
        <v>0/20</v>
      </c>
      <c r="AB17" s="12" t="str">
        <f t="shared" si="10"/>
        <v>100,100,0,80,50,80</v>
      </c>
      <c r="AC17" s="12">
        <f t="shared" si="1"/>
        <v>1</v>
      </c>
      <c r="AD17" s="12" t="str">
        <f t="shared" si="2"/>
        <v>1000/3000/6000</v>
      </c>
      <c r="AE17" s="12" t="str">
        <f t="shared" si="3"/>
        <v>0/1/</v>
      </c>
      <c r="AF17" s="12" t="str">
        <f t="shared" si="4"/>
        <v>4/2/</v>
      </c>
      <c r="AG17" s="12" t="str">
        <f t="shared" si="5"/>
        <v/>
      </c>
      <c r="AH17" s="12" t="str">
        <f t="shared" si="6"/>
        <v/>
      </c>
      <c r="AI17" s="12" t="str">
        <f t="shared" si="7"/>
        <v>10/5</v>
      </c>
    </row>
    <row r="18" spans="1:35" s="8" customFormat="1" ht="21.95" customHeight="1">
      <c r="A18" s="9">
        <v>16</v>
      </c>
      <c r="B18" s="17">
        <v>16</v>
      </c>
      <c r="C18" s="6">
        <v>20</v>
      </c>
      <c r="D18" s="6">
        <v>0</v>
      </c>
      <c r="E18" s="5">
        <v>100</v>
      </c>
      <c r="F18" s="5">
        <v>80</v>
      </c>
      <c r="G18" s="5">
        <v>100</v>
      </c>
      <c r="H18" s="5">
        <v>0</v>
      </c>
      <c r="I18" s="5">
        <v>100</v>
      </c>
      <c r="J18" s="5">
        <v>80</v>
      </c>
      <c r="K18" s="15" t="s">
        <v>52</v>
      </c>
      <c r="L18" s="6">
        <v>3</v>
      </c>
      <c r="M18" s="6">
        <v>2</v>
      </c>
      <c r="N18" s="6">
        <v>3</v>
      </c>
      <c r="O18" s="5">
        <v>0</v>
      </c>
      <c r="P18" s="5">
        <v>0</v>
      </c>
      <c r="Q18" s="5">
        <v>0</v>
      </c>
      <c r="R18" s="5">
        <v>0</v>
      </c>
      <c r="S18" s="5">
        <v>0</v>
      </c>
      <c r="T18" s="5">
        <v>0</v>
      </c>
      <c r="U18" s="6">
        <v>0</v>
      </c>
      <c r="V18" s="5">
        <v>10</v>
      </c>
      <c r="W18" s="5">
        <v>5</v>
      </c>
      <c r="X18" s="16">
        <v>1000</v>
      </c>
      <c r="Y18" s="16">
        <v>3000</v>
      </c>
      <c r="Z18" s="16">
        <v>6000</v>
      </c>
      <c r="AA18" s="12" t="str">
        <f t="shared" si="0"/>
        <v>0/20</v>
      </c>
      <c r="AB18" s="12" t="str">
        <f t="shared" si="10"/>
        <v>100,80,100,0,100,80</v>
      </c>
      <c r="AC18" s="12">
        <f t="shared" si="1"/>
        <v>1</v>
      </c>
      <c r="AD18" s="12" t="str">
        <f t="shared" si="2"/>
        <v>1000/3000/6000</v>
      </c>
      <c r="AE18" s="12" t="str">
        <f t="shared" si="3"/>
        <v>0/1/</v>
      </c>
      <c r="AF18" s="12" t="str">
        <f t="shared" si="4"/>
        <v>2/3/</v>
      </c>
      <c r="AG18" s="12" t="str">
        <f t="shared" si="5"/>
        <v/>
      </c>
      <c r="AH18" s="12" t="str">
        <f t="shared" si="6"/>
        <v/>
      </c>
      <c r="AI18" s="12" t="str">
        <f t="shared" si="7"/>
        <v>10/5</v>
      </c>
    </row>
    <row r="19" spans="1:35" s="8" customFormat="1" ht="21.95" customHeight="1">
      <c r="A19" s="9">
        <v>17</v>
      </c>
      <c r="B19" s="17">
        <v>17</v>
      </c>
      <c r="C19" s="6">
        <v>28</v>
      </c>
      <c r="D19" s="6">
        <v>0</v>
      </c>
      <c r="E19" s="5">
        <v>90</v>
      </c>
      <c r="F19" s="5">
        <v>100</v>
      </c>
      <c r="G19" s="5">
        <v>100</v>
      </c>
      <c r="H19" s="5">
        <v>90</v>
      </c>
      <c r="I19" s="5">
        <v>0</v>
      </c>
      <c r="J19" s="5">
        <v>90</v>
      </c>
      <c r="K19" s="15" t="s">
        <v>53</v>
      </c>
      <c r="L19" s="6">
        <v>3</v>
      </c>
      <c r="M19" s="6">
        <v>0</v>
      </c>
      <c r="N19" s="6">
        <v>0</v>
      </c>
      <c r="O19" s="5">
        <v>28</v>
      </c>
      <c r="P19" s="5">
        <v>0</v>
      </c>
      <c r="Q19" s="5">
        <v>0</v>
      </c>
      <c r="R19" s="5">
        <v>20</v>
      </c>
      <c r="S19" s="5">
        <v>0</v>
      </c>
      <c r="T19" s="5">
        <v>28</v>
      </c>
      <c r="U19" s="6">
        <v>0</v>
      </c>
      <c r="V19" s="5">
        <v>10</v>
      </c>
      <c r="W19" s="5">
        <v>5</v>
      </c>
      <c r="X19" s="16">
        <v>1000</v>
      </c>
      <c r="Y19" s="16">
        <v>3000</v>
      </c>
      <c r="Z19" s="16">
        <v>6000</v>
      </c>
      <c r="AA19" s="12" t="str">
        <f t="shared" si="0"/>
        <v>0/28</v>
      </c>
      <c r="AB19" s="12" t="str">
        <f t="shared" si="10"/>
        <v>90,100,100,90,0,90</v>
      </c>
      <c r="AC19" s="12">
        <f t="shared" si="1"/>
        <v>2</v>
      </c>
      <c r="AD19" s="12" t="str">
        <f t="shared" si="2"/>
        <v>1000/3000/6000</v>
      </c>
      <c r="AE19" s="12" t="str">
        <f t="shared" si="3"/>
        <v/>
      </c>
      <c r="AF19" s="12" t="str">
        <f t="shared" si="4"/>
        <v/>
      </c>
      <c r="AG19" s="12" t="str">
        <f t="shared" si="5"/>
        <v>0/3/5/</v>
      </c>
      <c r="AH19" s="12" t="str">
        <f t="shared" si="6"/>
        <v>28/20/28/</v>
      </c>
      <c r="AI19" s="12" t="str">
        <f t="shared" si="7"/>
        <v>10/5</v>
      </c>
    </row>
    <row r="20" spans="1:35" s="8" customFormat="1" ht="21.95" customHeight="1">
      <c r="A20" s="9">
        <v>18</v>
      </c>
      <c r="B20" s="17">
        <v>18</v>
      </c>
      <c r="C20" s="6">
        <v>23</v>
      </c>
      <c r="D20" s="6">
        <v>0</v>
      </c>
      <c r="E20" s="5">
        <v>90</v>
      </c>
      <c r="F20" s="5">
        <v>90</v>
      </c>
      <c r="G20" s="5">
        <v>90</v>
      </c>
      <c r="H20" s="5">
        <v>100</v>
      </c>
      <c r="I20" s="5">
        <v>100</v>
      </c>
      <c r="J20" s="5">
        <v>0</v>
      </c>
      <c r="K20" s="15" t="s">
        <v>53</v>
      </c>
      <c r="L20" s="6">
        <v>3</v>
      </c>
      <c r="M20" s="6">
        <v>0</v>
      </c>
      <c r="N20" s="6">
        <v>0</v>
      </c>
      <c r="O20" s="5">
        <v>30</v>
      </c>
      <c r="P20" s="5">
        <v>28</v>
      </c>
      <c r="Q20" s="5">
        <v>0</v>
      </c>
      <c r="R20" s="5">
        <v>0</v>
      </c>
      <c r="S20" s="5">
        <v>0</v>
      </c>
      <c r="T20" s="5">
        <v>0</v>
      </c>
      <c r="U20" s="6">
        <v>0</v>
      </c>
      <c r="V20" s="5">
        <v>10</v>
      </c>
      <c r="W20" s="5">
        <v>5</v>
      </c>
      <c r="X20" s="16">
        <v>1000</v>
      </c>
      <c r="Y20" s="16">
        <v>3000</v>
      </c>
      <c r="Z20" s="16">
        <v>6000</v>
      </c>
      <c r="AA20" s="12" t="str">
        <f t="shared" si="0"/>
        <v>0/23</v>
      </c>
      <c r="AB20" s="12" t="str">
        <f t="shared" si="10"/>
        <v>90,90,90,100,100,0</v>
      </c>
      <c r="AC20" s="12">
        <f t="shared" si="1"/>
        <v>2</v>
      </c>
      <c r="AD20" s="12" t="str">
        <f t="shared" si="2"/>
        <v>1000/3000/6000</v>
      </c>
      <c r="AE20" s="12" t="str">
        <f t="shared" si="3"/>
        <v/>
      </c>
      <c r="AF20" s="12" t="str">
        <f t="shared" si="4"/>
        <v/>
      </c>
      <c r="AG20" s="12" t="str">
        <f t="shared" si="5"/>
        <v>0/1/</v>
      </c>
      <c r="AH20" s="12" t="str">
        <f t="shared" si="6"/>
        <v>30/28/</v>
      </c>
      <c r="AI20" s="12" t="str">
        <f t="shared" si="7"/>
        <v>10/5</v>
      </c>
    </row>
    <row r="21" spans="1:35" s="8" customFormat="1" ht="21.95" customHeight="1">
      <c r="A21" s="9">
        <v>19</v>
      </c>
      <c r="B21" s="17">
        <v>19</v>
      </c>
      <c r="C21" s="6">
        <v>25</v>
      </c>
      <c r="D21" s="6">
        <v>0</v>
      </c>
      <c r="E21" s="5">
        <v>0</v>
      </c>
      <c r="F21" s="5">
        <v>100</v>
      </c>
      <c r="G21" s="5">
        <v>80</v>
      </c>
      <c r="H21" s="5">
        <v>100</v>
      </c>
      <c r="I21" s="5">
        <v>80</v>
      </c>
      <c r="J21" s="5">
        <v>100</v>
      </c>
      <c r="K21" s="15" t="s">
        <v>53</v>
      </c>
      <c r="L21" s="6">
        <v>3</v>
      </c>
      <c r="M21" s="6">
        <v>0</v>
      </c>
      <c r="N21" s="6">
        <v>0</v>
      </c>
      <c r="O21" s="5">
        <v>0</v>
      </c>
      <c r="P21" s="5">
        <v>0</v>
      </c>
      <c r="Q21" s="5">
        <v>24</v>
      </c>
      <c r="R21" s="5">
        <v>36</v>
      </c>
      <c r="S21" s="5">
        <v>24</v>
      </c>
      <c r="T21" s="5">
        <v>0</v>
      </c>
      <c r="U21" s="6">
        <v>0</v>
      </c>
      <c r="V21" s="5">
        <v>10</v>
      </c>
      <c r="W21" s="5">
        <v>5</v>
      </c>
      <c r="X21" s="16">
        <v>1000</v>
      </c>
      <c r="Y21" s="16">
        <v>3000</v>
      </c>
      <c r="Z21" s="16">
        <v>6000</v>
      </c>
      <c r="AA21" s="12" t="str">
        <f t="shared" si="0"/>
        <v>0/25</v>
      </c>
      <c r="AB21" s="12" t="str">
        <f t="shared" si="10"/>
        <v>0,100,80,100,80,100</v>
      </c>
      <c r="AC21" s="12">
        <f t="shared" si="1"/>
        <v>2</v>
      </c>
      <c r="AD21" s="12" t="str">
        <f t="shared" si="2"/>
        <v>1000/3000/6000</v>
      </c>
      <c r="AE21" s="12" t="str">
        <f t="shared" si="3"/>
        <v/>
      </c>
      <c r="AF21" s="12" t="str">
        <f t="shared" si="4"/>
        <v/>
      </c>
      <c r="AG21" s="12" t="str">
        <f t="shared" si="5"/>
        <v>2/3/4/</v>
      </c>
      <c r="AH21" s="12" t="str">
        <f t="shared" si="6"/>
        <v>24/36/24/</v>
      </c>
      <c r="AI21" s="12" t="str">
        <f t="shared" si="7"/>
        <v>10/5</v>
      </c>
    </row>
    <row r="22" spans="1:35" s="8" customFormat="1" ht="21.95" customHeight="1">
      <c r="A22" s="9">
        <v>20</v>
      </c>
      <c r="B22" s="17">
        <v>20</v>
      </c>
      <c r="C22" s="6">
        <v>24</v>
      </c>
      <c r="D22" s="6">
        <v>0</v>
      </c>
      <c r="E22" s="5">
        <v>100</v>
      </c>
      <c r="F22" s="5">
        <v>0</v>
      </c>
      <c r="G22" s="5">
        <v>80</v>
      </c>
      <c r="H22" s="5">
        <v>80</v>
      </c>
      <c r="I22" s="5">
        <v>100</v>
      </c>
      <c r="J22" s="5">
        <v>100</v>
      </c>
      <c r="K22" s="17" t="s">
        <v>54</v>
      </c>
      <c r="L22" s="6">
        <v>3</v>
      </c>
      <c r="M22" s="6">
        <v>0</v>
      </c>
      <c r="N22" s="6">
        <v>0</v>
      </c>
      <c r="O22" s="5">
        <v>0</v>
      </c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6">
        <v>0</v>
      </c>
      <c r="V22" s="5">
        <v>10</v>
      </c>
      <c r="W22" s="5">
        <v>5</v>
      </c>
      <c r="X22" s="16">
        <v>1000</v>
      </c>
      <c r="Y22" s="16">
        <v>3000</v>
      </c>
      <c r="Z22" s="16">
        <v>6000</v>
      </c>
      <c r="AA22" s="12" t="str">
        <f t="shared" si="0"/>
        <v>0/24</v>
      </c>
      <c r="AB22" s="12" t="str">
        <f t="shared" si="10"/>
        <v>100,0,80,80,100,100</v>
      </c>
      <c r="AC22" s="12">
        <f t="shared" si="1"/>
        <v>3</v>
      </c>
      <c r="AD22" s="12" t="str">
        <f t="shared" si="2"/>
        <v>1000/3000/6000</v>
      </c>
      <c r="AE22" s="12" t="str">
        <f t="shared" si="3"/>
        <v/>
      </c>
      <c r="AF22" s="12" t="str">
        <f t="shared" si="4"/>
        <v/>
      </c>
      <c r="AG22" s="12" t="str">
        <f t="shared" si="5"/>
        <v/>
      </c>
      <c r="AH22" s="12" t="str">
        <f t="shared" si="6"/>
        <v/>
      </c>
      <c r="AI22" s="12" t="str">
        <f t="shared" si="7"/>
        <v>10/5</v>
      </c>
    </row>
    <row r="23" spans="1:35" s="8" customFormat="1" ht="21.95" customHeight="1">
      <c r="A23" s="9">
        <v>21</v>
      </c>
      <c r="B23" s="17">
        <v>21</v>
      </c>
      <c r="C23" s="6">
        <v>25</v>
      </c>
      <c r="D23" s="6">
        <v>0</v>
      </c>
      <c r="E23" s="5">
        <v>80</v>
      </c>
      <c r="F23" s="5">
        <v>80</v>
      </c>
      <c r="G23" s="5">
        <v>0</v>
      </c>
      <c r="H23" s="5">
        <v>80</v>
      </c>
      <c r="I23" s="5">
        <v>100</v>
      </c>
      <c r="J23" s="5">
        <v>100</v>
      </c>
      <c r="K23" s="15" t="s">
        <v>54</v>
      </c>
      <c r="L23" s="6">
        <v>3</v>
      </c>
      <c r="M23" s="6">
        <v>0</v>
      </c>
      <c r="N23" s="6">
        <v>0</v>
      </c>
      <c r="O23" s="5">
        <v>0</v>
      </c>
      <c r="P23" s="5">
        <v>0</v>
      </c>
      <c r="Q23" s="5">
        <v>0</v>
      </c>
      <c r="R23" s="5">
        <v>0</v>
      </c>
      <c r="S23" s="5">
        <v>0</v>
      </c>
      <c r="T23" s="5">
        <v>0</v>
      </c>
      <c r="U23" s="6">
        <v>0</v>
      </c>
      <c r="V23" s="5">
        <v>10</v>
      </c>
      <c r="W23" s="5">
        <v>5</v>
      </c>
      <c r="X23" s="16">
        <v>1000</v>
      </c>
      <c r="Y23" s="16">
        <v>3000</v>
      </c>
      <c r="Z23" s="16">
        <v>6000</v>
      </c>
      <c r="AA23" s="12" t="str">
        <f t="shared" si="0"/>
        <v>0/25</v>
      </c>
      <c r="AB23" s="12" t="str">
        <f t="shared" si="10"/>
        <v>80,80,0,80,100,100</v>
      </c>
      <c r="AC23" s="12">
        <f t="shared" si="1"/>
        <v>3</v>
      </c>
      <c r="AD23" s="12" t="str">
        <f t="shared" si="2"/>
        <v>1000/3000/6000</v>
      </c>
      <c r="AE23" s="12" t="str">
        <f t="shared" si="3"/>
        <v/>
      </c>
      <c r="AF23" s="12" t="str">
        <f t="shared" si="4"/>
        <v/>
      </c>
      <c r="AG23" s="12" t="str">
        <f t="shared" si="5"/>
        <v/>
      </c>
      <c r="AH23" s="12" t="str">
        <f t="shared" si="6"/>
        <v/>
      </c>
      <c r="AI23" s="12" t="str">
        <f t="shared" si="7"/>
        <v>10/5</v>
      </c>
    </row>
    <row r="24" spans="1:35" s="8" customFormat="1" ht="21.95" customHeight="1">
      <c r="A24" s="9">
        <v>22</v>
      </c>
      <c r="B24" s="24">
        <v>22</v>
      </c>
      <c r="C24" s="6">
        <v>22</v>
      </c>
      <c r="D24" s="6">
        <v>0</v>
      </c>
      <c r="E24" s="5">
        <v>80</v>
      </c>
      <c r="F24" s="5">
        <v>80</v>
      </c>
      <c r="G24" s="5">
        <v>100</v>
      </c>
      <c r="H24" s="5">
        <v>0</v>
      </c>
      <c r="I24" s="5">
        <v>80</v>
      </c>
      <c r="J24" s="5">
        <v>100</v>
      </c>
      <c r="K24" s="15" t="s">
        <v>54</v>
      </c>
      <c r="L24" s="6">
        <v>3</v>
      </c>
      <c r="M24" s="6">
        <v>0</v>
      </c>
      <c r="N24" s="6">
        <v>0</v>
      </c>
      <c r="O24" s="5">
        <v>0</v>
      </c>
      <c r="P24" s="5">
        <v>0</v>
      </c>
      <c r="Q24" s="5">
        <v>0</v>
      </c>
      <c r="R24" s="5">
        <v>0</v>
      </c>
      <c r="S24" s="5">
        <v>0</v>
      </c>
      <c r="T24" s="5">
        <v>0</v>
      </c>
      <c r="U24" s="6">
        <v>0</v>
      </c>
      <c r="V24" s="5">
        <v>10</v>
      </c>
      <c r="W24" s="5">
        <v>5</v>
      </c>
      <c r="X24" s="16">
        <v>1000</v>
      </c>
      <c r="Y24" s="16">
        <v>3000</v>
      </c>
      <c r="Z24" s="16">
        <v>6000</v>
      </c>
      <c r="AA24" s="12" t="str">
        <f t="shared" si="0"/>
        <v>0/22</v>
      </c>
      <c r="AB24" s="12" t="str">
        <f t="shared" si="10"/>
        <v>80,80,100,0,80,100</v>
      </c>
      <c r="AC24" s="12">
        <f t="shared" si="1"/>
        <v>3</v>
      </c>
      <c r="AD24" s="12" t="str">
        <f t="shared" si="2"/>
        <v>1000/3000/6000</v>
      </c>
      <c r="AE24" s="12" t="str">
        <f t="shared" si="3"/>
        <v/>
      </c>
      <c r="AF24" s="12" t="str">
        <f t="shared" si="4"/>
        <v/>
      </c>
      <c r="AG24" s="12" t="str">
        <f t="shared" si="5"/>
        <v/>
      </c>
      <c r="AH24" s="12" t="str">
        <f t="shared" si="6"/>
        <v/>
      </c>
      <c r="AI24" s="12" t="str">
        <f t="shared" si="7"/>
        <v>10/5</v>
      </c>
    </row>
    <row r="25" spans="1:35" s="8" customFormat="1" ht="21.95" customHeight="1">
      <c r="A25" s="9">
        <v>23</v>
      </c>
      <c r="B25" s="17">
        <v>23</v>
      </c>
      <c r="C25" s="6">
        <v>30</v>
      </c>
      <c r="D25" s="6">
        <v>0</v>
      </c>
      <c r="E25" s="5">
        <v>60</v>
      </c>
      <c r="F25" s="5">
        <v>100</v>
      </c>
      <c r="G25" s="5">
        <v>60</v>
      </c>
      <c r="H25" s="5">
        <v>100</v>
      </c>
      <c r="I25" s="5">
        <v>0</v>
      </c>
      <c r="J25" s="5">
        <v>80</v>
      </c>
      <c r="K25" s="15" t="s">
        <v>52</v>
      </c>
      <c r="L25" s="6">
        <v>3</v>
      </c>
      <c r="M25" s="6">
        <v>8</v>
      </c>
      <c r="N25" s="6">
        <v>0</v>
      </c>
      <c r="O25" s="5">
        <v>0</v>
      </c>
      <c r="P25" s="5">
        <v>0</v>
      </c>
      <c r="Q25" s="5">
        <v>0</v>
      </c>
      <c r="R25" s="5">
        <v>0</v>
      </c>
      <c r="S25" s="5">
        <v>0</v>
      </c>
      <c r="T25" s="5">
        <v>0</v>
      </c>
      <c r="U25" s="6">
        <v>0</v>
      </c>
      <c r="V25" s="5">
        <v>10</v>
      </c>
      <c r="W25" s="5">
        <v>5</v>
      </c>
      <c r="X25" s="16">
        <v>1000</v>
      </c>
      <c r="Y25" s="16">
        <v>3000</v>
      </c>
      <c r="Z25" s="16">
        <v>6000</v>
      </c>
      <c r="AA25" s="12" t="str">
        <f t="shared" si="0"/>
        <v>0/30</v>
      </c>
      <c r="AB25" s="12" t="str">
        <f t="shared" si="10"/>
        <v>60,100,60,100,0,80</v>
      </c>
      <c r="AC25" s="12">
        <f t="shared" si="1"/>
        <v>1</v>
      </c>
      <c r="AD25" s="12" t="str">
        <f t="shared" si="2"/>
        <v>1000/3000/6000</v>
      </c>
      <c r="AE25" s="12" t="str">
        <f t="shared" si="3"/>
        <v>0/</v>
      </c>
      <c r="AF25" s="12" t="str">
        <f t="shared" si="4"/>
        <v>8/</v>
      </c>
      <c r="AG25" s="12" t="str">
        <f t="shared" si="5"/>
        <v/>
      </c>
      <c r="AH25" s="12" t="str">
        <f t="shared" si="6"/>
        <v/>
      </c>
      <c r="AI25" s="12" t="str">
        <f t="shared" si="7"/>
        <v>10/5</v>
      </c>
    </row>
    <row r="26" spans="1:35" s="8" customFormat="1" ht="21.95" customHeight="1">
      <c r="A26" s="9">
        <v>24</v>
      </c>
      <c r="B26" s="17">
        <v>24</v>
      </c>
      <c r="C26" s="6">
        <v>28</v>
      </c>
      <c r="D26" s="6">
        <v>0</v>
      </c>
      <c r="E26" s="5">
        <v>100</v>
      </c>
      <c r="F26" s="5">
        <v>100</v>
      </c>
      <c r="G26" s="5">
        <v>0</v>
      </c>
      <c r="H26" s="5">
        <v>80</v>
      </c>
      <c r="I26" s="5">
        <v>100</v>
      </c>
      <c r="J26" s="5">
        <v>80</v>
      </c>
      <c r="K26" s="15" t="s">
        <v>52</v>
      </c>
      <c r="L26" s="6">
        <v>3</v>
      </c>
      <c r="M26" s="6">
        <v>5</v>
      </c>
      <c r="N26" s="6">
        <v>3</v>
      </c>
      <c r="O26" s="5">
        <v>0</v>
      </c>
      <c r="P26" s="5">
        <v>0</v>
      </c>
      <c r="Q26" s="5">
        <v>0</v>
      </c>
      <c r="R26" s="5">
        <v>0</v>
      </c>
      <c r="S26" s="5">
        <v>0</v>
      </c>
      <c r="T26" s="5">
        <v>0</v>
      </c>
      <c r="U26" s="6">
        <v>0</v>
      </c>
      <c r="V26" s="5">
        <v>10</v>
      </c>
      <c r="W26" s="5">
        <v>5</v>
      </c>
      <c r="X26" s="16">
        <v>1000</v>
      </c>
      <c r="Y26" s="16">
        <v>3000</v>
      </c>
      <c r="Z26" s="16">
        <v>6000</v>
      </c>
      <c r="AA26" s="12" t="str">
        <f t="shared" si="0"/>
        <v>0/28</v>
      </c>
      <c r="AB26" s="12" t="str">
        <f t="shared" si="10"/>
        <v>100,100,0,80,100,80</v>
      </c>
      <c r="AC26" s="12">
        <f t="shared" si="1"/>
        <v>1</v>
      </c>
      <c r="AD26" s="12" t="str">
        <f t="shared" si="2"/>
        <v>1000/3000/6000</v>
      </c>
      <c r="AE26" s="12" t="str">
        <f t="shared" si="3"/>
        <v>0/1/</v>
      </c>
      <c r="AF26" s="12" t="str">
        <f t="shared" si="4"/>
        <v>5/3/</v>
      </c>
      <c r="AG26" s="12" t="str">
        <f t="shared" si="5"/>
        <v/>
      </c>
      <c r="AH26" s="12" t="str">
        <f t="shared" si="6"/>
        <v/>
      </c>
      <c r="AI26" s="12" t="str">
        <f t="shared" si="7"/>
        <v>10/5</v>
      </c>
    </row>
    <row r="27" spans="1:35" s="8" customFormat="1" ht="21.95" customHeight="1">
      <c r="A27" s="9">
        <v>25</v>
      </c>
      <c r="B27" s="17">
        <v>25</v>
      </c>
      <c r="C27" s="6">
        <v>32</v>
      </c>
      <c r="D27" s="6">
        <v>0</v>
      </c>
      <c r="E27" s="5">
        <v>0</v>
      </c>
      <c r="F27" s="5">
        <v>100</v>
      </c>
      <c r="G27" s="5">
        <v>100</v>
      </c>
      <c r="H27" s="5">
        <v>100</v>
      </c>
      <c r="I27" s="5">
        <v>80</v>
      </c>
      <c r="J27" s="5">
        <v>100</v>
      </c>
      <c r="K27" s="15" t="s">
        <v>52</v>
      </c>
      <c r="L27" s="6">
        <v>3</v>
      </c>
      <c r="M27" s="6">
        <v>2</v>
      </c>
      <c r="N27" s="6">
        <v>4</v>
      </c>
      <c r="O27" s="5">
        <v>0</v>
      </c>
      <c r="P27" s="5">
        <v>0</v>
      </c>
      <c r="Q27" s="5">
        <v>0</v>
      </c>
      <c r="R27" s="5">
        <v>0</v>
      </c>
      <c r="S27" s="5">
        <v>0</v>
      </c>
      <c r="T27" s="5">
        <v>0</v>
      </c>
      <c r="U27" s="6">
        <v>0</v>
      </c>
      <c r="V27" s="5">
        <v>10</v>
      </c>
      <c r="W27" s="5">
        <v>5</v>
      </c>
      <c r="X27" s="16">
        <v>1000</v>
      </c>
      <c r="Y27" s="16">
        <v>3000</v>
      </c>
      <c r="Z27" s="16">
        <v>6000</v>
      </c>
      <c r="AA27" s="12" t="str">
        <f t="shared" si="0"/>
        <v>0/32</v>
      </c>
      <c r="AB27" s="12" t="str">
        <f t="shared" si="10"/>
        <v>0,100,100,100,80,100</v>
      </c>
      <c r="AC27" s="12">
        <f t="shared" si="1"/>
        <v>1</v>
      </c>
      <c r="AD27" s="12" t="str">
        <f t="shared" si="2"/>
        <v>1000/3000/6000</v>
      </c>
      <c r="AE27" s="12" t="str">
        <f t="shared" si="3"/>
        <v>0/1/</v>
      </c>
      <c r="AF27" s="12" t="str">
        <f t="shared" si="4"/>
        <v>2/4/</v>
      </c>
      <c r="AG27" s="12" t="str">
        <f t="shared" si="5"/>
        <v/>
      </c>
      <c r="AH27" s="12" t="str">
        <f t="shared" si="6"/>
        <v/>
      </c>
      <c r="AI27" s="12" t="str">
        <f t="shared" si="7"/>
        <v>10/5</v>
      </c>
    </row>
    <row r="28" spans="1:35" s="8" customFormat="1" ht="21.95" customHeight="1">
      <c r="A28" s="9">
        <v>26</v>
      </c>
      <c r="B28" s="17">
        <v>26</v>
      </c>
      <c r="C28" s="6">
        <v>28</v>
      </c>
      <c r="D28" s="6">
        <v>0</v>
      </c>
      <c r="E28" s="5">
        <v>100</v>
      </c>
      <c r="F28" s="5">
        <v>0</v>
      </c>
      <c r="G28" s="5">
        <v>80</v>
      </c>
      <c r="H28" s="5">
        <v>80</v>
      </c>
      <c r="I28" s="5">
        <v>100</v>
      </c>
      <c r="J28" s="5">
        <v>100</v>
      </c>
      <c r="K28" s="15" t="s">
        <v>53</v>
      </c>
      <c r="L28" s="6">
        <v>3</v>
      </c>
      <c r="M28" s="6">
        <v>0</v>
      </c>
      <c r="N28" s="6">
        <v>0</v>
      </c>
      <c r="O28" s="5">
        <v>0</v>
      </c>
      <c r="P28" s="5">
        <v>0</v>
      </c>
      <c r="Q28" s="5">
        <v>28</v>
      </c>
      <c r="R28" s="5">
        <v>30</v>
      </c>
      <c r="S28" s="5">
        <v>0</v>
      </c>
      <c r="T28" s="5">
        <v>0</v>
      </c>
      <c r="U28" s="6">
        <v>0</v>
      </c>
      <c r="V28" s="5">
        <v>10</v>
      </c>
      <c r="W28" s="5">
        <v>5</v>
      </c>
      <c r="X28" s="16">
        <v>1500</v>
      </c>
      <c r="Y28" s="16">
        <v>4500</v>
      </c>
      <c r="Z28" s="16">
        <v>9000</v>
      </c>
      <c r="AA28" s="12" t="str">
        <f t="shared" si="0"/>
        <v>0/28</v>
      </c>
      <c r="AB28" s="12" t="str">
        <f t="shared" si="10"/>
        <v>100,0,80,80,100,100</v>
      </c>
      <c r="AC28" s="12">
        <f t="shared" si="1"/>
        <v>2</v>
      </c>
      <c r="AD28" s="12" t="str">
        <f t="shared" si="2"/>
        <v>1500/4500/9000</v>
      </c>
      <c r="AE28" s="12" t="str">
        <f t="shared" si="3"/>
        <v/>
      </c>
      <c r="AF28" s="12" t="str">
        <f t="shared" si="4"/>
        <v/>
      </c>
      <c r="AG28" s="12" t="str">
        <f t="shared" si="5"/>
        <v>2/3/</v>
      </c>
      <c r="AH28" s="12" t="str">
        <f t="shared" si="6"/>
        <v>28/30/</v>
      </c>
      <c r="AI28" s="12" t="str">
        <f t="shared" si="7"/>
        <v>10/5</v>
      </c>
    </row>
    <row r="29" spans="1:35" s="8" customFormat="1" ht="21.95" customHeight="1">
      <c r="A29" s="9">
        <v>27</v>
      </c>
      <c r="B29" s="17">
        <v>27</v>
      </c>
      <c r="C29" s="6">
        <v>33</v>
      </c>
      <c r="D29" s="6">
        <v>0</v>
      </c>
      <c r="E29" s="5">
        <v>100</v>
      </c>
      <c r="F29" s="5">
        <v>100</v>
      </c>
      <c r="G29" s="5">
        <v>0</v>
      </c>
      <c r="H29" s="5">
        <v>80</v>
      </c>
      <c r="I29" s="5">
        <v>80</v>
      </c>
      <c r="J29" s="5">
        <v>100</v>
      </c>
      <c r="K29" s="15" t="s">
        <v>53</v>
      </c>
      <c r="L29" s="6">
        <v>3</v>
      </c>
      <c r="M29" s="6">
        <v>0</v>
      </c>
      <c r="N29" s="6">
        <v>0</v>
      </c>
      <c r="O29" s="5">
        <v>0</v>
      </c>
      <c r="P29" s="5">
        <v>0</v>
      </c>
      <c r="Q29" s="5">
        <v>0</v>
      </c>
      <c r="R29" s="5">
        <v>32</v>
      </c>
      <c r="S29" s="5">
        <v>34</v>
      </c>
      <c r="T29" s="5">
        <v>0</v>
      </c>
      <c r="U29" s="6">
        <v>0</v>
      </c>
      <c r="V29" s="5">
        <v>10</v>
      </c>
      <c r="W29" s="5">
        <v>5</v>
      </c>
      <c r="X29" s="16">
        <v>1500</v>
      </c>
      <c r="Y29" s="16">
        <v>4500</v>
      </c>
      <c r="Z29" s="16">
        <v>9000</v>
      </c>
      <c r="AA29" s="12" t="str">
        <f t="shared" si="0"/>
        <v>0/33</v>
      </c>
      <c r="AB29" s="12" t="str">
        <f t="shared" si="10"/>
        <v>100,100,0,80,80,100</v>
      </c>
      <c r="AC29" s="12">
        <f t="shared" si="1"/>
        <v>2</v>
      </c>
      <c r="AD29" s="12" t="str">
        <f t="shared" si="2"/>
        <v>1500/4500/9000</v>
      </c>
      <c r="AE29" s="12" t="str">
        <f t="shared" si="3"/>
        <v/>
      </c>
      <c r="AF29" s="12" t="str">
        <f t="shared" si="4"/>
        <v/>
      </c>
      <c r="AG29" s="12" t="str">
        <f t="shared" si="5"/>
        <v>3/4/</v>
      </c>
      <c r="AH29" s="12" t="str">
        <f t="shared" si="6"/>
        <v>32/34/</v>
      </c>
      <c r="AI29" s="12" t="str">
        <f t="shared" si="7"/>
        <v>10/5</v>
      </c>
    </row>
    <row r="30" spans="1:35" s="8" customFormat="1" ht="21.95" customHeight="1">
      <c r="A30" s="9">
        <v>28</v>
      </c>
      <c r="B30" s="17">
        <v>28</v>
      </c>
      <c r="C30" s="6">
        <v>30</v>
      </c>
      <c r="D30" s="6">
        <v>0</v>
      </c>
      <c r="E30" s="5">
        <v>100</v>
      </c>
      <c r="F30" s="5">
        <v>80</v>
      </c>
      <c r="G30" s="5">
        <v>100</v>
      </c>
      <c r="H30" s="5">
        <v>0</v>
      </c>
      <c r="I30" s="5">
        <v>80</v>
      </c>
      <c r="J30" s="5">
        <v>100</v>
      </c>
      <c r="K30" s="15" t="s">
        <v>54</v>
      </c>
      <c r="L30" s="6">
        <v>3</v>
      </c>
      <c r="M30" s="6">
        <v>0</v>
      </c>
      <c r="N30" s="6">
        <v>0</v>
      </c>
      <c r="O30" s="5">
        <v>0</v>
      </c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6">
        <v>0</v>
      </c>
      <c r="V30" s="5">
        <v>10</v>
      </c>
      <c r="W30" s="5">
        <v>5</v>
      </c>
      <c r="X30" s="16">
        <v>1500</v>
      </c>
      <c r="Y30" s="16">
        <v>4500</v>
      </c>
      <c r="Z30" s="16">
        <v>9000</v>
      </c>
      <c r="AA30" s="12" t="str">
        <f t="shared" si="0"/>
        <v>0/30</v>
      </c>
      <c r="AB30" s="12" t="str">
        <f t="shared" si="10"/>
        <v>100,80,100,0,80,100</v>
      </c>
      <c r="AC30" s="12">
        <f t="shared" si="1"/>
        <v>3</v>
      </c>
      <c r="AD30" s="12" t="str">
        <f t="shared" si="2"/>
        <v>1500/4500/9000</v>
      </c>
      <c r="AE30" s="12" t="str">
        <f t="shared" si="3"/>
        <v/>
      </c>
      <c r="AF30" s="12" t="str">
        <f t="shared" si="4"/>
        <v/>
      </c>
      <c r="AG30" s="12" t="str">
        <f t="shared" si="5"/>
        <v/>
      </c>
      <c r="AH30" s="12" t="str">
        <f t="shared" si="6"/>
        <v/>
      </c>
      <c r="AI30" s="12" t="str">
        <f t="shared" si="7"/>
        <v>10/5</v>
      </c>
    </row>
    <row r="31" spans="1:35" s="8" customFormat="1" ht="21.95" customHeight="1">
      <c r="A31" s="9">
        <v>29</v>
      </c>
      <c r="B31" s="17">
        <v>29</v>
      </c>
      <c r="C31" s="6">
        <v>28</v>
      </c>
      <c r="D31" s="6">
        <v>0</v>
      </c>
      <c r="E31" s="5">
        <v>80</v>
      </c>
      <c r="F31" s="5">
        <v>100</v>
      </c>
      <c r="G31" s="5">
        <v>80</v>
      </c>
      <c r="H31" s="5">
        <v>100</v>
      </c>
      <c r="I31" s="5">
        <v>0</v>
      </c>
      <c r="J31" s="5">
        <v>100</v>
      </c>
      <c r="K31" s="15" t="s">
        <v>54</v>
      </c>
      <c r="L31" s="6">
        <v>3</v>
      </c>
      <c r="M31" s="6">
        <v>0</v>
      </c>
      <c r="N31" s="6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6">
        <v>0</v>
      </c>
      <c r="V31" s="5">
        <v>10</v>
      </c>
      <c r="W31" s="5">
        <v>5</v>
      </c>
      <c r="X31" s="16">
        <v>1500</v>
      </c>
      <c r="Y31" s="16">
        <v>4500</v>
      </c>
      <c r="Z31" s="16">
        <v>9000</v>
      </c>
      <c r="AA31" s="12" t="str">
        <f t="shared" si="0"/>
        <v>0/28</v>
      </c>
      <c r="AB31" s="12" t="str">
        <f t="shared" si="10"/>
        <v>80,100,80,100,0,100</v>
      </c>
      <c r="AC31" s="12">
        <f t="shared" si="1"/>
        <v>3</v>
      </c>
      <c r="AD31" s="12" t="str">
        <f t="shared" si="2"/>
        <v>1500/4500/9000</v>
      </c>
      <c r="AE31" s="12" t="str">
        <f t="shared" si="3"/>
        <v/>
      </c>
      <c r="AF31" s="12" t="str">
        <f t="shared" si="4"/>
        <v/>
      </c>
      <c r="AG31" s="12" t="str">
        <f t="shared" si="5"/>
        <v/>
      </c>
      <c r="AH31" s="12" t="str">
        <f t="shared" si="6"/>
        <v/>
      </c>
      <c r="AI31" s="12" t="str">
        <f t="shared" si="7"/>
        <v>10/5</v>
      </c>
    </row>
    <row r="32" spans="1:35" s="8" customFormat="1" ht="21.95" customHeight="1">
      <c r="A32" s="9">
        <v>30</v>
      </c>
      <c r="B32" s="24">
        <v>30</v>
      </c>
      <c r="C32" s="6">
        <v>28</v>
      </c>
      <c r="D32" s="6">
        <v>0</v>
      </c>
      <c r="E32" s="5">
        <v>100</v>
      </c>
      <c r="F32" s="5">
        <v>100</v>
      </c>
      <c r="G32" s="5">
        <v>80</v>
      </c>
      <c r="H32" s="5">
        <v>80</v>
      </c>
      <c r="I32" s="5">
        <v>100</v>
      </c>
      <c r="J32" s="5">
        <v>0</v>
      </c>
      <c r="K32" s="17" t="s">
        <v>54</v>
      </c>
      <c r="L32" s="6">
        <v>3</v>
      </c>
      <c r="M32" s="6">
        <v>0</v>
      </c>
      <c r="N32" s="6">
        <v>0</v>
      </c>
      <c r="O32" s="5">
        <v>0</v>
      </c>
      <c r="P32" s="5">
        <v>0</v>
      </c>
      <c r="Q32" s="5">
        <v>0</v>
      </c>
      <c r="R32" s="5">
        <v>0</v>
      </c>
      <c r="S32" s="5">
        <v>0</v>
      </c>
      <c r="T32" s="5">
        <v>0</v>
      </c>
      <c r="U32" s="6">
        <v>0</v>
      </c>
      <c r="V32" s="5">
        <v>10</v>
      </c>
      <c r="W32" s="5">
        <v>5</v>
      </c>
      <c r="X32" s="16">
        <v>1500</v>
      </c>
      <c r="Y32" s="16">
        <v>4500</v>
      </c>
      <c r="Z32" s="16">
        <v>9000</v>
      </c>
      <c r="AA32" s="12" t="str">
        <f t="shared" si="0"/>
        <v>0/28</v>
      </c>
      <c r="AB32" s="12" t="str">
        <f t="shared" si="10"/>
        <v>100,100,80,80,100,0</v>
      </c>
      <c r="AC32" s="12">
        <f t="shared" si="1"/>
        <v>3</v>
      </c>
      <c r="AD32" s="12" t="str">
        <f t="shared" si="2"/>
        <v>1500/4500/9000</v>
      </c>
      <c r="AE32" s="12" t="str">
        <f t="shared" si="3"/>
        <v/>
      </c>
      <c r="AF32" s="12" t="str">
        <f t="shared" si="4"/>
        <v/>
      </c>
      <c r="AG32" s="12" t="str">
        <f t="shared" si="5"/>
        <v/>
      </c>
      <c r="AH32" s="12" t="str">
        <f t="shared" si="6"/>
        <v/>
      </c>
      <c r="AI32" s="12" t="str">
        <f t="shared" si="7"/>
        <v>10/5</v>
      </c>
    </row>
    <row r="33" spans="1:35" s="8" customFormat="1" ht="21.95" customHeight="1">
      <c r="A33" s="9">
        <v>31</v>
      </c>
      <c r="B33" s="24">
        <v>31</v>
      </c>
      <c r="C33" s="6">
        <v>30</v>
      </c>
      <c r="D33" s="6">
        <v>0</v>
      </c>
      <c r="E33" s="5">
        <v>0</v>
      </c>
      <c r="F33" s="5">
        <v>80</v>
      </c>
      <c r="G33" s="5">
        <v>100</v>
      </c>
      <c r="H33" s="5">
        <v>100</v>
      </c>
      <c r="I33" s="5">
        <v>100</v>
      </c>
      <c r="J33" s="5">
        <v>80</v>
      </c>
      <c r="K33" s="15" t="s">
        <v>52</v>
      </c>
      <c r="L33" s="6">
        <v>3</v>
      </c>
      <c r="M33" s="6">
        <v>0</v>
      </c>
      <c r="N33" s="6">
        <v>8</v>
      </c>
      <c r="O33" s="5">
        <v>0</v>
      </c>
      <c r="P33" s="5">
        <v>0</v>
      </c>
      <c r="Q33" s="5">
        <v>0</v>
      </c>
      <c r="R33" s="5">
        <v>0</v>
      </c>
      <c r="S33" s="5">
        <v>0</v>
      </c>
      <c r="T33" s="5">
        <v>0</v>
      </c>
      <c r="U33" s="6">
        <v>0</v>
      </c>
      <c r="V33" s="5">
        <v>10</v>
      </c>
      <c r="W33" s="5">
        <v>5</v>
      </c>
      <c r="X33" s="16">
        <v>1500</v>
      </c>
      <c r="Y33" s="16">
        <v>5000</v>
      </c>
      <c r="Z33" s="16">
        <v>10000</v>
      </c>
      <c r="AA33" s="12" t="str">
        <f t="shared" si="0"/>
        <v>0/30</v>
      </c>
      <c r="AB33" s="12" t="str">
        <f t="shared" si="10"/>
        <v>0,80,100,100,100,80</v>
      </c>
      <c r="AC33" s="12">
        <f t="shared" si="1"/>
        <v>1</v>
      </c>
      <c r="AD33" s="12" t="str">
        <f t="shared" si="2"/>
        <v>1500/5000/10000</v>
      </c>
      <c r="AE33" s="12" t="str">
        <f t="shared" si="3"/>
        <v>1/</v>
      </c>
      <c r="AF33" s="12" t="str">
        <f t="shared" si="4"/>
        <v>8/</v>
      </c>
      <c r="AG33" s="12" t="str">
        <f t="shared" si="5"/>
        <v/>
      </c>
      <c r="AH33" s="12" t="str">
        <f t="shared" si="6"/>
        <v/>
      </c>
      <c r="AI33" s="12" t="str">
        <f t="shared" si="7"/>
        <v>10/5</v>
      </c>
    </row>
    <row r="34" spans="1:35" s="8" customFormat="1" ht="21.95" customHeight="1">
      <c r="A34" s="9">
        <v>32</v>
      </c>
      <c r="B34" s="17">
        <v>32</v>
      </c>
      <c r="C34" s="6">
        <v>30</v>
      </c>
      <c r="D34" s="6">
        <v>0</v>
      </c>
      <c r="E34" s="5">
        <v>100</v>
      </c>
      <c r="F34" s="5">
        <v>80</v>
      </c>
      <c r="G34" s="5">
        <v>80</v>
      </c>
      <c r="H34" s="5">
        <v>100</v>
      </c>
      <c r="I34" s="5">
        <v>80</v>
      </c>
      <c r="J34" s="5">
        <v>0</v>
      </c>
      <c r="K34" s="15" t="s">
        <v>52</v>
      </c>
      <c r="L34" s="6">
        <v>3</v>
      </c>
      <c r="M34" s="6">
        <v>2</v>
      </c>
      <c r="N34" s="6">
        <v>4</v>
      </c>
      <c r="O34" s="5">
        <v>0</v>
      </c>
      <c r="P34" s="5">
        <v>0</v>
      </c>
      <c r="Q34" s="5">
        <v>0</v>
      </c>
      <c r="R34" s="5">
        <v>0</v>
      </c>
      <c r="S34" s="5">
        <v>0</v>
      </c>
      <c r="T34" s="5">
        <v>0</v>
      </c>
      <c r="U34" s="6">
        <v>0</v>
      </c>
      <c r="V34" s="5">
        <v>10</v>
      </c>
      <c r="W34" s="5">
        <v>5</v>
      </c>
      <c r="X34" s="16">
        <v>1500</v>
      </c>
      <c r="Y34" s="16">
        <v>5000</v>
      </c>
      <c r="Z34" s="16">
        <v>10000</v>
      </c>
      <c r="AA34" s="12" t="str">
        <f t="shared" si="0"/>
        <v>0/30</v>
      </c>
      <c r="AB34" s="12" t="str">
        <f t="shared" si="10"/>
        <v>100,80,80,100,80,0</v>
      </c>
      <c r="AC34" s="12">
        <f t="shared" si="1"/>
        <v>1</v>
      </c>
      <c r="AD34" s="12" t="str">
        <f t="shared" si="2"/>
        <v>1500/5000/10000</v>
      </c>
      <c r="AE34" s="12" t="str">
        <f t="shared" si="3"/>
        <v>0/1/</v>
      </c>
      <c r="AF34" s="12" t="str">
        <f t="shared" si="4"/>
        <v>2/4/</v>
      </c>
      <c r="AG34" s="12" t="str">
        <f t="shared" si="5"/>
        <v/>
      </c>
      <c r="AH34" s="12" t="str">
        <f t="shared" si="6"/>
        <v/>
      </c>
      <c r="AI34" s="12" t="str">
        <f t="shared" si="7"/>
        <v>10/5</v>
      </c>
    </row>
    <row r="35" spans="1:35" s="8" customFormat="1" ht="21.95" customHeight="1">
      <c r="A35" s="9">
        <v>33</v>
      </c>
      <c r="B35" s="17">
        <v>33</v>
      </c>
      <c r="C35" s="6">
        <v>30</v>
      </c>
      <c r="D35" s="6">
        <v>0</v>
      </c>
      <c r="E35" s="5">
        <v>100</v>
      </c>
      <c r="F35" s="5">
        <v>100</v>
      </c>
      <c r="G35" s="5">
        <v>0</v>
      </c>
      <c r="H35" s="5">
        <v>100</v>
      </c>
      <c r="I35" s="5">
        <v>100</v>
      </c>
      <c r="J35" s="5">
        <v>100</v>
      </c>
      <c r="K35" s="15" t="s">
        <v>52</v>
      </c>
      <c r="L35" s="6">
        <v>3</v>
      </c>
      <c r="M35" s="6">
        <v>4</v>
      </c>
      <c r="N35" s="6">
        <v>4</v>
      </c>
      <c r="O35" s="5">
        <v>0</v>
      </c>
      <c r="P35" s="5">
        <v>0</v>
      </c>
      <c r="Q35" s="5">
        <v>0</v>
      </c>
      <c r="R35" s="5">
        <v>0</v>
      </c>
      <c r="S35" s="5">
        <v>0</v>
      </c>
      <c r="T35" s="5">
        <v>0</v>
      </c>
      <c r="U35" s="6">
        <v>0</v>
      </c>
      <c r="V35" s="5">
        <v>10</v>
      </c>
      <c r="W35" s="5">
        <v>5</v>
      </c>
      <c r="X35" s="16">
        <v>1500</v>
      </c>
      <c r="Y35" s="16">
        <v>5000</v>
      </c>
      <c r="Z35" s="16">
        <v>10000</v>
      </c>
      <c r="AA35" s="12" t="str">
        <f t="shared" ref="AA35:AA66" si="11">IF(C35=0,CONCATENATE("1/",D35),CONCATENATE("0/",C35))</f>
        <v>0/30</v>
      </c>
      <c r="AB35" s="12" t="str">
        <f t="shared" si="10"/>
        <v>100,100,0,100,100,100</v>
      </c>
      <c r="AC35" s="12">
        <f t="shared" ref="AC35:AC66" si="12">VLOOKUP(K35,$I$1005:$J$1012,2,FALSE)</f>
        <v>1</v>
      </c>
      <c r="AD35" s="12" t="str">
        <f t="shared" ref="AD35:AD66" si="13">CONCATENATE(X35,"/",Y35,"/",Z35)</f>
        <v>1500/5000/10000</v>
      </c>
      <c r="AE35" s="12" t="str">
        <f t="shared" ref="AE35:AE66" si="14">CONCATENATE(IF(M35=0,"","0/"),IF(N35=0,"","1/"))</f>
        <v>0/1/</v>
      </c>
      <c r="AF35" s="12" t="str">
        <f t="shared" ref="AF35:AF66" si="15">CONCATENATE(IF(M35=0,"",CONCATENATE(M35,"/")),IF(N35=0,"",CONCATENATE(N35,"/")))</f>
        <v>4/4/</v>
      </c>
      <c r="AG35" s="12" t="str">
        <f t="shared" ref="AG35:AG66" si="16">CONCATENATE(IF(O35=0,"","0/"),IF(P35=0,"","1/"),IF(Q35=0,"","2/"),IF(R35=0,"","3/"),IF(S35=0,"","4/"),IF(T35=0,"","5/"))</f>
        <v/>
      </c>
      <c r="AH35" s="12" t="str">
        <f t="shared" ref="AH35:AH66" si="17">CONCATENATE(IF(O35=0,"",CONCATENATE(O35,"/")),IF(P35=0,"",CONCATENATE(P35,"/")),IF(Q35=0,"",CONCATENATE(Q35,"/")),IF(R35=0,"",CONCATENATE(R35,"/")),IF(S35=0,"",CONCATENATE(S35,"/")),IF(T35=0,"",CONCATENATE(T35,"/")))</f>
        <v/>
      </c>
      <c r="AI35" s="12" t="str">
        <f t="shared" ref="AI35:AI66" si="18">CONCATENATE(V35,"/",W35)</f>
        <v>10/5</v>
      </c>
    </row>
    <row r="36" spans="1:35" s="8" customFormat="1" ht="21.95" customHeight="1">
      <c r="A36" s="9">
        <v>34</v>
      </c>
      <c r="B36" s="17">
        <v>34</v>
      </c>
      <c r="C36" s="6">
        <v>26</v>
      </c>
      <c r="D36" s="6">
        <v>0</v>
      </c>
      <c r="E36" s="5">
        <v>100</v>
      </c>
      <c r="F36" s="5">
        <v>80</v>
      </c>
      <c r="G36" s="5">
        <v>100</v>
      </c>
      <c r="H36" s="5">
        <v>0</v>
      </c>
      <c r="I36" s="5">
        <v>80</v>
      </c>
      <c r="J36" s="5">
        <v>80</v>
      </c>
      <c r="K36" s="15" t="s">
        <v>53</v>
      </c>
      <c r="L36" s="6">
        <v>3</v>
      </c>
      <c r="M36" s="6">
        <v>0</v>
      </c>
      <c r="N36" s="6">
        <v>0</v>
      </c>
      <c r="O36" s="5">
        <v>0</v>
      </c>
      <c r="P36" s="5">
        <v>0</v>
      </c>
      <c r="Q36" s="5">
        <v>0</v>
      </c>
      <c r="R36" s="5">
        <v>0</v>
      </c>
      <c r="S36" s="5">
        <v>32</v>
      </c>
      <c r="T36" s="5">
        <v>28</v>
      </c>
      <c r="U36" s="6">
        <v>0</v>
      </c>
      <c r="V36" s="5">
        <v>10</v>
      </c>
      <c r="W36" s="5">
        <v>5</v>
      </c>
      <c r="X36" s="16">
        <v>1500</v>
      </c>
      <c r="Y36" s="16">
        <v>5000</v>
      </c>
      <c r="Z36" s="16">
        <v>10000</v>
      </c>
      <c r="AA36" s="12" t="str">
        <f t="shared" si="11"/>
        <v>0/26</v>
      </c>
      <c r="AB36" s="12" t="str">
        <f t="shared" si="10"/>
        <v>100,80,100,0,80,80</v>
      </c>
      <c r="AC36" s="12">
        <f t="shared" si="12"/>
        <v>2</v>
      </c>
      <c r="AD36" s="12" t="str">
        <f t="shared" si="13"/>
        <v>1500/5000/10000</v>
      </c>
      <c r="AE36" s="12" t="str">
        <f t="shared" si="14"/>
        <v/>
      </c>
      <c r="AF36" s="12" t="str">
        <f t="shared" si="15"/>
        <v/>
      </c>
      <c r="AG36" s="12" t="str">
        <f t="shared" si="16"/>
        <v>4/5/</v>
      </c>
      <c r="AH36" s="12" t="str">
        <f t="shared" si="17"/>
        <v>32/28/</v>
      </c>
      <c r="AI36" s="12" t="str">
        <f t="shared" si="18"/>
        <v>10/5</v>
      </c>
    </row>
    <row r="37" spans="1:35" s="8" customFormat="1" ht="21.95" customHeight="1">
      <c r="A37" s="9">
        <v>35</v>
      </c>
      <c r="B37" s="17">
        <v>35</v>
      </c>
      <c r="C37" s="6">
        <v>28</v>
      </c>
      <c r="D37" s="6">
        <v>0</v>
      </c>
      <c r="E37" s="5">
        <v>80</v>
      </c>
      <c r="F37" s="5">
        <v>100</v>
      </c>
      <c r="G37" s="5">
        <v>100</v>
      </c>
      <c r="H37" s="5">
        <v>80</v>
      </c>
      <c r="I37" s="5">
        <v>0</v>
      </c>
      <c r="J37" s="5">
        <v>80</v>
      </c>
      <c r="K37" s="15" t="s">
        <v>53</v>
      </c>
      <c r="L37" s="6">
        <v>3</v>
      </c>
      <c r="M37" s="6">
        <v>0</v>
      </c>
      <c r="N37" s="6">
        <v>0</v>
      </c>
      <c r="O37" s="5">
        <v>30</v>
      </c>
      <c r="P37" s="5">
        <v>0</v>
      </c>
      <c r="Q37" s="5">
        <v>0</v>
      </c>
      <c r="R37" s="5">
        <v>0</v>
      </c>
      <c r="S37" s="5">
        <v>0</v>
      </c>
      <c r="T37" s="5">
        <v>30</v>
      </c>
      <c r="U37" s="6">
        <v>0</v>
      </c>
      <c r="V37" s="5">
        <v>10</v>
      </c>
      <c r="W37" s="5">
        <v>5</v>
      </c>
      <c r="X37" s="16">
        <v>1500</v>
      </c>
      <c r="Y37" s="16">
        <v>5000</v>
      </c>
      <c r="Z37" s="16">
        <v>10000</v>
      </c>
      <c r="AA37" s="12" t="str">
        <f t="shared" si="11"/>
        <v>0/28</v>
      </c>
      <c r="AB37" s="12" t="str">
        <f t="shared" si="10"/>
        <v>80,100,100,80,0,80</v>
      </c>
      <c r="AC37" s="12">
        <f t="shared" si="12"/>
        <v>2</v>
      </c>
      <c r="AD37" s="12" t="str">
        <f t="shared" si="13"/>
        <v>1500/5000/10000</v>
      </c>
      <c r="AE37" s="12" t="str">
        <f t="shared" si="14"/>
        <v/>
      </c>
      <c r="AF37" s="12" t="str">
        <f t="shared" si="15"/>
        <v/>
      </c>
      <c r="AG37" s="12" t="str">
        <f t="shared" si="16"/>
        <v>0/5/</v>
      </c>
      <c r="AH37" s="12" t="str">
        <f t="shared" si="17"/>
        <v>30/30/</v>
      </c>
      <c r="AI37" s="12" t="str">
        <f t="shared" si="18"/>
        <v>10/5</v>
      </c>
    </row>
    <row r="38" spans="1:35" s="8" customFormat="1" ht="21.95" customHeight="1">
      <c r="A38" s="9">
        <v>36</v>
      </c>
      <c r="B38" s="17">
        <v>36</v>
      </c>
      <c r="C38" s="6">
        <v>25</v>
      </c>
      <c r="D38" s="6">
        <v>0</v>
      </c>
      <c r="E38" s="5">
        <v>100</v>
      </c>
      <c r="F38" s="5">
        <v>80</v>
      </c>
      <c r="G38" s="5">
        <v>80</v>
      </c>
      <c r="H38" s="5">
        <v>100</v>
      </c>
      <c r="I38" s="5">
        <v>100</v>
      </c>
      <c r="J38" s="5">
        <v>0</v>
      </c>
      <c r="K38" s="15" t="s">
        <v>54</v>
      </c>
      <c r="L38" s="6">
        <v>3</v>
      </c>
      <c r="M38" s="6">
        <v>0</v>
      </c>
      <c r="N38" s="6">
        <v>0</v>
      </c>
      <c r="O38" s="5">
        <v>0</v>
      </c>
      <c r="P38" s="5">
        <v>0</v>
      </c>
      <c r="Q38" s="5">
        <v>0</v>
      </c>
      <c r="R38" s="5">
        <v>0</v>
      </c>
      <c r="S38" s="5">
        <v>0</v>
      </c>
      <c r="T38" s="5">
        <v>0</v>
      </c>
      <c r="U38" s="6">
        <v>0</v>
      </c>
      <c r="V38" s="5">
        <v>10</v>
      </c>
      <c r="W38" s="5">
        <v>5</v>
      </c>
      <c r="X38" s="16">
        <v>1500</v>
      </c>
      <c r="Y38" s="16">
        <v>6500</v>
      </c>
      <c r="Z38" s="16">
        <v>12000</v>
      </c>
      <c r="AA38" s="12" t="str">
        <f t="shared" si="11"/>
        <v>0/25</v>
      </c>
      <c r="AB38" s="12" t="str">
        <f t="shared" si="10"/>
        <v>100,80,80,100,100,0</v>
      </c>
      <c r="AC38" s="12">
        <f t="shared" si="12"/>
        <v>3</v>
      </c>
      <c r="AD38" s="12" t="str">
        <f t="shared" si="13"/>
        <v>1500/6500/12000</v>
      </c>
      <c r="AE38" s="12" t="str">
        <f t="shared" si="14"/>
        <v/>
      </c>
      <c r="AF38" s="12" t="str">
        <f t="shared" si="15"/>
        <v/>
      </c>
      <c r="AG38" s="12" t="str">
        <f t="shared" si="16"/>
        <v/>
      </c>
      <c r="AH38" s="12" t="str">
        <f t="shared" si="17"/>
        <v/>
      </c>
      <c r="AI38" s="12" t="str">
        <f t="shared" si="18"/>
        <v>10/5</v>
      </c>
    </row>
    <row r="39" spans="1:35" s="8" customFormat="1" ht="21.95" customHeight="1">
      <c r="A39" s="9">
        <v>37</v>
      </c>
      <c r="B39" s="17">
        <v>37</v>
      </c>
      <c r="C39" s="6">
        <v>26</v>
      </c>
      <c r="D39" s="6">
        <v>0</v>
      </c>
      <c r="E39" s="5">
        <v>0</v>
      </c>
      <c r="F39" s="5">
        <v>100</v>
      </c>
      <c r="G39" s="5">
        <v>100</v>
      </c>
      <c r="H39" s="5">
        <v>80</v>
      </c>
      <c r="I39" s="5">
        <v>80</v>
      </c>
      <c r="J39" s="5">
        <v>100</v>
      </c>
      <c r="K39" s="15" t="s">
        <v>54</v>
      </c>
      <c r="L39" s="6">
        <v>3</v>
      </c>
      <c r="M39" s="6">
        <v>0</v>
      </c>
      <c r="N39" s="6">
        <v>0</v>
      </c>
      <c r="O39" s="5">
        <v>0</v>
      </c>
      <c r="P39" s="5">
        <v>0</v>
      </c>
      <c r="Q39" s="5">
        <v>0</v>
      </c>
      <c r="R39" s="5">
        <v>0</v>
      </c>
      <c r="S39" s="5">
        <v>0</v>
      </c>
      <c r="T39" s="5">
        <v>0</v>
      </c>
      <c r="U39" s="6">
        <v>0</v>
      </c>
      <c r="V39" s="5">
        <v>10</v>
      </c>
      <c r="W39" s="5">
        <v>5</v>
      </c>
      <c r="X39" s="16">
        <v>1500</v>
      </c>
      <c r="Y39" s="16">
        <v>6500</v>
      </c>
      <c r="Z39" s="16">
        <v>12000</v>
      </c>
      <c r="AA39" s="12" t="str">
        <f t="shared" si="11"/>
        <v>0/26</v>
      </c>
      <c r="AB39" s="12" t="str">
        <f t="shared" si="10"/>
        <v>0,100,100,80,80,100</v>
      </c>
      <c r="AC39" s="12">
        <f t="shared" si="12"/>
        <v>3</v>
      </c>
      <c r="AD39" s="12" t="str">
        <f t="shared" si="13"/>
        <v>1500/6500/12000</v>
      </c>
      <c r="AE39" s="12" t="str">
        <f t="shared" si="14"/>
        <v/>
      </c>
      <c r="AF39" s="12" t="str">
        <f t="shared" si="15"/>
        <v/>
      </c>
      <c r="AG39" s="12" t="str">
        <f t="shared" si="16"/>
        <v/>
      </c>
      <c r="AH39" s="12" t="str">
        <f t="shared" si="17"/>
        <v/>
      </c>
      <c r="AI39" s="12" t="str">
        <f t="shared" si="18"/>
        <v>10/5</v>
      </c>
    </row>
    <row r="40" spans="1:35" s="8" customFormat="1" ht="21.95" customHeight="1">
      <c r="A40" s="9">
        <v>38</v>
      </c>
      <c r="B40" s="17">
        <v>38</v>
      </c>
      <c r="C40" s="6">
        <v>30</v>
      </c>
      <c r="D40" s="6">
        <v>0</v>
      </c>
      <c r="E40" s="5">
        <v>80</v>
      </c>
      <c r="F40" s="5">
        <v>50</v>
      </c>
      <c r="G40" s="5">
        <v>50</v>
      </c>
      <c r="H40" s="5">
        <v>50</v>
      </c>
      <c r="I40" s="5">
        <v>100</v>
      </c>
      <c r="J40" s="5">
        <v>100</v>
      </c>
      <c r="K40" s="15" t="s">
        <v>51</v>
      </c>
      <c r="L40" s="6">
        <v>3</v>
      </c>
      <c r="M40" s="6">
        <v>0</v>
      </c>
      <c r="N40" s="6">
        <v>0</v>
      </c>
      <c r="O40" s="5">
        <v>0</v>
      </c>
      <c r="P40" s="5">
        <v>0</v>
      </c>
      <c r="Q40" s="5">
        <v>0</v>
      </c>
      <c r="R40" s="5">
        <v>0</v>
      </c>
      <c r="S40" s="5">
        <v>0</v>
      </c>
      <c r="T40" s="5">
        <v>0</v>
      </c>
      <c r="U40" s="6">
        <v>0</v>
      </c>
      <c r="V40" s="5">
        <v>10</v>
      </c>
      <c r="W40" s="5">
        <v>5</v>
      </c>
      <c r="X40" s="16">
        <v>1500</v>
      </c>
      <c r="Y40" s="16">
        <v>6500</v>
      </c>
      <c r="Z40" s="16">
        <v>12000</v>
      </c>
      <c r="AA40" s="12" t="str">
        <f t="shared" si="11"/>
        <v>0/30</v>
      </c>
      <c r="AB40" s="12" t="str">
        <f t="shared" si="10"/>
        <v>80,50,50,50,100,100</v>
      </c>
      <c r="AC40" s="12">
        <f t="shared" si="12"/>
        <v>0</v>
      </c>
      <c r="AD40" s="12" t="str">
        <f t="shared" si="13"/>
        <v>1500/6500/12000</v>
      </c>
      <c r="AE40" s="12" t="str">
        <f t="shared" si="14"/>
        <v/>
      </c>
      <c r="AF40" s="12" t="str">
        <f t="shared" si="15"/>
        <v/>
      </c>
      <c r="AG40" s="12" t="str">
        <f t="shared" si="16"/>
        <v/>
      </c>
      <c r="AH40" s="12" t="str">
        <f t="shared" si="17"/>
        <v/>
      </c>
      <c r="AI40" s="12" t="str">
        <f t="shared" si="18"/>
        <v>10/5</v>
      </c>
    </row>
    <row r="41" spans="1:35" s="8" customFormat="1" ht="21.95" customHeight="1">
      <c r="A41" s="9">
        <v>39</v>
      </c>
      <c r="B41" s="17">
        <v>39</v>
      </c>
      <c r="C41" s="6">
        <v>30</v>
      </c>
      <c r="D41" s="6">
        <v>0</v>
      </c>
      <c r="E41" s="5">
        <v>100</v>
      </c>
      <c r="F41" s="5">
        <v>100</v>
      </c>
      <c r="G41" s="5">
        <v>0</v>
      </c>
      <c r="H41" s="5">
        <v>100</v>
      </c>
      <c r="I41" s="5">
        <v>80</v>
      </c>
      <c r="J41" s="5">
        <v>80</v>
      </c>
      <c r="K41" s="15" t="s">
        <v>51</v>
      </c>
      <c r="L41" s="6">
        <v>3</v>
      </c>
      <c r="M41" s="6">
        <v>0</v>
      </c>
      <c r="N41" s="6">
        <v>0</v>
      </c>
      <c r="O41" s="5">
        <v>0</v>
      </c>
      <c r="P41" s="5">
        <v>0</v>
      </c>
      <c r="Q41" s="5">
        <v>0</v>
      </c>
      <c r="R41" s="5">
        <v>0</v>
      </c>
      <c r="S41" s="5">
        <v>0</v>
      </c>
      <c r="T41" s="5">
        <v>0</v>
      </c>
      <c r="U41" s="6">
        <v>0</v>
      </c>
      <c r="V41" s="5">
        <v>10</v>
      </c>
      <c r="W41" s="5">
        <v>5</v>
      </c>
      <c r="X41" s="16">
        <v>1500</v>
      </c>
      <c r="Y41" s="16">
        <v>6500</v>
      </c>
      <c r="Z41" s="16">
        <v>12000</v>
      </c>
      <c r="AA41" s="12" t="str">
        <f t="shared" si="11"/>
        <v>0/30</v>
      </c>
      <c r="AB41" s="12" t="str">
        <f t="shared" si="10"/>
        <v>100,100,0,100,80,80</v>
      </c>
      <c r="AC41" s="12">
        <f t="shared" si="12"/>
        <v>0</v>
      </c>
      <c r="AD41" s="12" t="str">
        <f t="shared" si="13"/>
        <v>1500/6500/12000</v>
      </c>
      <c r="AE41" s="12" t="str">
        <f t="shared" si="14"/>
        <v/>
      </c>
      <c r="AF41" s="12" t="str">
        <f t="shared" si="15"/>
        <v/>
      </c>
      <c r="AG41" s="12" t="str">
        <f t="shared" si="16"/>
        <v/>
      </c>
      <c r="AH41" s="12" t="str">
        <f t="shared" si="17"/>
        <v/>
      </c>
      <c r="AI41" s="12" t="str">
        <f t="shared" si="18"/>
        <v>10/5</v>
      </c>
    </row>
    <row r="42" spans="1:35" s="8" customFormat="1" ht="21.95" customHeight="1">
      <c r="A42" s="9">
        <v>40</v>
      </c>
      <c r="B42" s="17">
        <v>40</v>
      </c>
      <c r="C42" s="6">
        <v>30</v>
      </c>
      <c r="D42" s="6">
        <v>0</v>
      </c>
      <c r="E42" s="5">
        <v>100</v>
      </c>
      <c r="F42" s="5">
        <v>80</v>
      </c>
      <c r="G42" s="5">
        <v>100</v>
      </c>
      <c r="H42" s="5">
        <v>0</v>
      </c>
      <c r="I42" s="5">
        <v>80</v>
      </c>
      <c r="J42" s="5">
        <v>100</v>
      </c>
      <c r="K42" s="15" t="s">
        <v>52</v>
      </c>
      <c r="L42" s="6">
        <v>3</v>
      </c>
      <c r="M42" s="6">
        <v>4</v>
      </c>
      <c r="N42" s="6">
        <v>0</v>
      </c>
      <c r="O42" s="5">
        <v>0</v>
      </c>
      <c r="P42" s="5">
        <v>0</v>
      </c>
      <c r="Q42" s="5">
        <v>0</v>
      </c>
      <c r="R42" s="5">
        <v>0</v>
      </c>
      <c r="S42" s="5">
        <v>0</v>
      </c>
      <c r="T42" s="5">
        <v>0</v>
      </c>
      <c r="U42" s="6">
        <v>0</v>
      </c>
      <c r="V42" s="5">
        <v>10</v>
      </c>
      <c r="W42" s="5">
        <v>5</v>
      </c>
      <c r="X42" s="16">
        <v>1500</v>
      </c>
      <c r="Y42" s="16">
        <v>6500</v>
      </c>
      <c r="Z42" s="16">
        <v>12000</v>
      </c>
      <c r="AA42" s="12" t="str">
        <f>IF(C42=0,CONCATENATE("1/",D42),CONCATENATE("0/",C42))</f>
        <v>0/30</v>
      </c>
      <c r="AB42" s="12" t="str">
        <f>CONCATENATE(E42,",",F42,",",G42,",",H42,",",I42,",",J42)</f>
        <v>100,80,100,0,80,100</v>
      </c>
      <c r="AC42" s="12">
        <f t="shared" si="12"/>
        <v>1</v>
      </c>
      <c r="AD42" s="12" t="str">
        <f>CONCATENATE(X42,"/",Y42,"/",Z42)</f>
        <v>1500/6500/12000</v>
      </c>
      <c r="AE42" s="12" t="str">
        <f>CONCATENATE(IF(M42=0,"","0/"),IF(N42=0,"","1/"))</f>
        <v>0/</v>
      </c>
      <c r="AF42" s="12" t="str">
        <f>CONCATENATE(IF(M42=0,"",CONCATENATE(M42,"/")),IF(N42=0,"",CONCATENATE(N42,"/")))</f>
        <v>4/</v>
      </c>
      <c r="AG42" s="12" t="str">
        <f>CONCATENATE(IF(O42=0,"","0/"),IF(P42=0,"","1/"),IF(Q42=0,"","2/"),IF(R42=0,"","3/"),IF(S42=0,"","4/"),IF(T42=0,"","5/"))</f>
        <v/>
      </c>
      <c r="AH42" s="12" t="str">
        <f>CONCATENATE(IF(O42=0,"",CONCATENATE(O42,"/")),IF(P42=0,"",CONCATENATE(P42,"/")),IF(Q42=0,"",CONCATENATE(Q42,"/")),IF(R42=0,"",CONCATENATE(R42,"/")),IF(S42=0,"",CONCATENATE(S42,"/")),IF(T42=0,"",CONCATENATE(T42,"/")))</f>
        <v/>
      </c>
      <c r="AI42" s="12" t="str">
        <f>CONCATENATE(V42,"/",W42)</f>
        <v>10/5</v>
      </c>
    </row>
    <row r="43" spans="1:35" s="8" customFormat="1" ht="21.95" customHeight="1">
      <c r="A43" s="9">
        <v>41</v>
      </c>
      <c r="B43" s="17">
        <v>41</v>
      </c>
      <c r="C43" s="6">
        <v>28</v>
      </c>
      <c r="D43" s="6">
        <v>0</v>
      </c>
      <c r="E43" s="5">
        <v>100</v>
      </c>
      <c r="F43" s="5">
        <v>100</v>
      </c>
      <c r="G43" s="5">
        <v>80</v>
      </c>
      <c r="H43" s="5">
        <v>100</v>
      </c>
      <c r="I43" s="5">
        <v>0</v>
      </c>
      <c r="J43" s="5">
        <v>100</v>
      </c>
      <c r="K43" s="15" t="s">
        <v>52</v>
      </c>
      <c r="L43" s="6">
        <v>3</v>
      </c>
      <c r="M43" s="6">
        <v>0</v>
      </c>
      <c r="N43" s="6">
        <v>6</v>
      </c>
      <c r="O43" s="5">
        <v>0</v>
      </c>
      <c r="P43" s="5">
        <v>0</v>
      </c>
      <c r="Q43" s="5">
        <v>0</v>
      </c>
      <c r="R43" s="5">
        <v>0</v>
      </c>
      <c r="S43" s="5">
        <v>0</v>
      </c>
      <c r="T43" s="5">
        <v>0</v>
      </c>
      <c r="U43" s="6">
        <v>0</v>
      </c>
      <c r="V43" s="5">
        <v>10</v>
      </c>
      <c r="W43" s="5">
        <v>5</v>
      </c>
      <c r="X43" s="16">
        <v>2000</v>
      </c>
      <c r="Y43" s="16">
        <v>7000</v>
      </c>
      <c r="Z43" s="16">
        <v>14000</v>
      </c>
      <c r="AA43" s="12" t="str">
        <f>IF(C43=0,CONCATENATE("1/",D43),CONCATENATE("0/",C43))</f>
        <v>0/28</v>
      </c>
      <c r="AB43" s="12" t="str">
        <f>CONCATENATE(E43,",",F43,",",G43,",",H43,",",I43,",",J43)</f>
        <v>100,100,80,100,0,100</v>
      </c>
      <c r="AC43" s="12">
        <f t="shared" si="12"/>
        <v>1</v>
      </c>
      <c r="AD43" s="12" t="str">
        <f>CONCATENATE(X43,"/",Y43,"/",Z43)</f>
        <v>2000/7000/14000</v>
      </c>
      <c r="AE43" s="12" t="str">
        <f>CONCATENATE(IF(M43=0,"","0/"),IF(N43=0,"","1/"))</f>
        <v>1/</v>
      </c>
      <c r="AF43" s="12" t="str">
        <f>CONCATENATE(IF(M43=0,"",CONCATENATE(M43,"/")),IF(N43=0,"",CONCATENATE(N43,"/")))</f>
        <v>6/</v>
      </c>
      <c r="AG43" s="12" t="str">
        <f>CONCATENATE(IF(O43=0,"","0/"),IF(P43=0,"","1/"),IF(Q43=0,"","2/"),IF(R43=0,"","3/"),IF(S43=0,"","4/"),IF(T43=0,"","5/"))</f>
        <v/>
      </c>
      <c r="AH43" s="12" t="str">
        <f>CONCATENATE(IF(O43=0,"",CONCATENATE(O43,"/")),IF(P43=0,"",CONCATENATE(P43,"/")),IF(Q43=0,"",CONCATENATE(Q43,"/")),IF(R43=0,"",CONCATENATE(R43,"/")),IF(S43=0,"",CONCATENATE(S43,"/")),IF(T43=0,"",CONCATENATE(T43,"/")))</f>
        <v/>
      </c>
      <c r="AI43" s="12" t="str">
        <f>CONCATENATE(V43,"/",W43)</f>
        <v>10/5</v>
      </c>
    </row>
    <row r="44" spans="1:35" s="8" customFormat="1" ht="21.95" customHeight="1">
      <c r="A44" s="9">
        <v>42</v>
      </c>
      <c r="B44" s="17">
        <v>42</v>
      </c>
      <c r="C44" s="6">
        <v>30</v>
      </c>
      <c r="D44" s="6">
        <v>0</v>
      </c>
      <c r="E44" s="5">
        <v>80</v>
      </c>
      <c r="F44" s="5">
        <v>80</v>
      </c>
      <c r="G44" s="5">
        <v>100</v>
      </c>
      <c r="H44" s="5">
        <v>80</v>
      </c>
      <c r="I44" s="5">
        <v>100</v>
      </c>
      <c r="J44" s="5">
        <v>0</v>
      </c>
      <c r="K44" s="15" t="s">
        <v>53</v>
      </c>
      <c r="L44" s="6">
        <v>3</v>
      </c>
      <c r="M44" s="6">
        <v>0</v>
      </c>
      <c r="N44" s="6">
        <v>0</v>
      </c>
      <c r="O44" s="5">
        <v>34</v>
      </c>
      <c r="P44" s="5">
        <v>34</v>
      </c>
      <c r="Q44" s="5">
        <v>0</v>
      </c>
      <c r="R44" s="5">
        <v>0</v>
      </c>
      <c r="S44" s="5">
        <v>0</v>
      </c>
      <c r="T44" s="5">
        <v>0</v>
      </c>
      <c r="U44" s="6">
        <v>0</v>
      </c>
      <c r="V44" s="5">
        <v>10</v>
      </c>
      <c r="W44" s="5">
        <v>5</v>
      </c>
      <c r="X44" s="16">
        <v>2000</v>
      </c>
      <c r="Y44" s="16">
        <v>7000</v>
      </c>
      <c r="Z44" s="16">
        <v>14000</v>
      </c>
      <c r="AA44" s="12" t="str">
        <f t="shared" si="11"/>
        <v>0/30</v>
      </c>
      <c r="AB44" s="12" t="str">
        <f t="shared" si="10"/>
        <v>80,80,100,80,100,0</v>
      </c>
      <c r="AC44" s="12">
        <f t="shared" si="12"/>
        <v>2</v>
      </c>
      <c r="AD44" s="12" t="str">
        <f t="shared" si="13"/>
        <v>2000/7000/14000</v>
      </c>
      <c r="AE44" s="12" t="str">
        <f t="shared" si="14"/>
        <v/>
      </c>
      <c r="AF44" s="12" t="str">
        <f t="shared" si="15"/>
        <v/>
      </c>
      <c r="AG44" s="12" t="str">
        <f t="shared" si="16"/>
        <v>0/1/</v>
      </c>
      <c r="AH44" s="12" t="str">
        <f t="shared" si="17"/>
        <v>34/34/</v>
      </c>
      <c r="AI44" s="12" t="str">
        <f t="shared" si="18"/>
        <v>10/5</v>
      </c>
    </row>
    <row r="45" spans="1:35" s="8" customFormat="1" ht="21.95" customHeight="1">
      <c r="A45" s="9">
        <v>43</v>
      </c>
      <c r="B45" s="17">
        <v>43</v>
      </c>
      <c r="C45" s="6">
        <v>30</v>
      </c>
      <c r="D45" s="6">
        <v>0</v>
      </c>
      <c r="E45" s="5">
        <v>0</v>
      </c>
      <c r="F45" s="5">
        <v>80</v>
      </c>
      <c r="G45" s="5">
        <v>80</v>
      </c>
      <c r="H45" s="5">
        <v>80</v>
      </c>
      <c r="I45" s="5">
        <v>100</v>
      </c>
      <c r="J45" s="5">
        <v>100</v>
      </c>
      <c r="K45" s="15" t="s">
        <v>53</v>
      </c>
      <c r="L45" s="6">
        <v>3</v>
      </c>
      <c r="M45" s="6">
        <v>0</v>
      </c>
      <c r="N45" s="6">
        <v>0</v>
      </c>
      <c r="O45" s="5">
        <v>0</v>
      </c>
      <c r="P45" s="5">
        <v>31</v>
      </c>
      <c r="Q45" s="5">
        <v>29</v>
      </c>
      <c r="R45" s="5">
        <v>0</v>
      </c>
      <c r="S45" s="5">
        <v>0</v>
      </c>
      <c r="T45" s="5">
        <v>0</v>
      </c>
      <c r="U45" s="6">
        <v>0</v>
      </c>
      <c r="V45" s="5">
        <v>10</v>
      </c>
      <c r="W45" s="5">
        <v>5</v>
      </c>
      <c r="X45" s="16">
        <v>2000</v>
      </c>
      <c r="Y45" s="16">
        <v>7000</v>
      </c>
      <c r="Z45" s="16">
        <v>14000</v>
      </c>
      <c r="AA45" s="12" t="str">
        <f t="shared" si="11"/>
        <v>0/30</v>
      </c>
      <c r="AB45" s="12" t="str">
        <f t="shared" si="10"/>
        <v>0,80,80,80,100,100</v>
      </c>
      <c r="AC45" s="12">
        <f t="shared" si="12"/>
        <v>2</v>
      </c>
      <c r="AD45" s="12" t="str">
        <f t="shared" si="13"/>
        <v>2000/7000/14000</v>
      </c>
      <c r="AE45" s="12" t="str">
        <f t="shared" si="14"/>
        <v/>
      </c>
      <c r="AF45" s="12" t="str">
        <f t="shared" si="15"/>
        <v/>
      </c>
      <c r="AG45" s="12" t="str">
        <f t="shared" si="16"/>
        <v>1/2/</v>
      </c>
      <c r="AH45" s="12" t="str">
        <f t="shared" si="17"/>
        <v>31/29/</v>
      </c>
      <c r="AI45" s="12" t="str">
        <f t="shared" si="18"/>
        <v>10/5</v>
      </c>
    </row>
    <row r="46" spans="1:35" s="8" customFormat="1" ht="21.95" customHeight="1">
      <c r="A46" s="9">
        <v>44</v>
      </c>
      <c r="B46" s="17">
        <v>44</v>
      </c>
      <c r="C46" s="6">
        <v>30</v>
      </c>
      <c r="D46" s="6">
        <v>0</v>
      </c>
      <c r="E46" s="5">
        <v>100</v>
      </c>
      <c r="F46" s="5">
        <v>0</v>
      </c>
      <c r="G46" s="5">
        <v>80</v>
      </c>
      <c r="H46" s="5">
        <v>100</v>
      </c>
      <c r="I46" s="5">
        <v>80</v>
      </c>
      <c r="J46" s="5">
        <v>100</v>
      </c>
      <c r="K46" s="17" t="s">
        <v>55</v>
      </c>
      <c r="L46" s="6">
        <v>3</v>
      </c>
      <c r="M46" s="6">
        <v>0</v>
      </c>
      <c r="N46" s="6">
        <v>0</v>
      </c>
      <c r="O46" s="5">
        <v>0</v>
      </c>
      <c r="P46" s="5">
        <v>0</v>
      </c>
      <c r="Q46" s="5">
        <v>0</v>
      </c>
      <c r="R46" s="5">
        <v>0</v>
      </c>
      <c r="S46" s="5">
        <v>0</v>
      </c>
      <c r="T46" s="5">
        <v>0</v>
      </c>
      <c r="U46" s="6">
        <v>5</v>
      </c>
      <c r="V46" s="5">
        <v>10</v>
      </c>
      <c r="W46" s="5">
        <v>5</v>
      </c>
      <c r="X46" s="16">
        <v>2000</v>
      </c>
      <c r="Y46" s="16">
        <v>7000</v>
      </c>
      <c r="Z46" s="16">
        <v>14000</v>
      </c>
      <c r="AA46" s="12" t="str">
        <f>IF(C46=0,CONCATENATE("1/",D46),CONCATENATE("0/",C46))</f>
        <v>0/30</v>
      </c>
      <c r="AB46" s="12" t="str">
        <f>CONCATENATE(E46,",",F46,",",G46,",",H46,",",I46,",",J46)</f>
        <v>100,0,80,100,80,100</v>
      </c>
      <c r="AC46" s="12">
        <f t="shared" si="12"/>
        <v>4</v>
      </c>
      <c r="AD46" s="12" t="str">
        <f>CONCATENATE(X46,"/",Y46,"/",Z46)</f>
        <v>2000/7000/14000</v>
      </c>
      <c r="AE46" s="12" t="str">
        <f>CONCATENATE(IF(M46=0,"","0/"),IF(N46=0,"","1/"))</f>
        <v/>
      </c>
      <c r="AF46" s="12" t="str">
        <f>CONCATENATE(IF(M46=0,"",CONCATENATE(M46,"/")),IF(N46=0,"",CONCATENATE(N46,"/")))</f>
        <v/>
      </c>
      <c r="AG46" s="12" t="str">
        <f>CONCATENATE(IF(O46=0,"","0/"),IF(P46=0,"","1/"),IF(Q46=0,"","2/"),IF(R46=0,"","3/"),IF(S46=0,"","4/"),IF(T46=0,"","5/"))</f>
        <v/>
      </c>
      <c r="AH46" s="12" t="str">
        <f>CONCATENATE(IF(O46=0,"",CONCATENATE(O46,"/")),IF(P46=0,"",CONCATENATE(P46,"/")),IF(Q46=0,"",CONCATENATE(Q46,"/")),IF(R46=0,"",CONCATENATE(R46,"/")),IF(S46=0,"",CONCATENATE(S46,"/")),IF(T46=0,"",CONCATENATE(T46,"/")))</f>
        <v/>
      </c>
      <c r="AI46" s="12" t="str">
        <f>CONCATENATE(V46,"/",W46)</f>
        <v>10/5</v>
      </c>
    </row>
    <row r="47" spans="1:35" s="8" customFormat="1" ht="21.95" customHeight="1">
      <c r="A47" s="9">
        <v>45</v>
      </c>
      <c r="B47" s="17">
        <v>45</v>
      </c>
      <c r="C47" s="6">
        <v>30</v>
      </c>
      <c r="D47" s="6">
        <v>0</v>
      </c>
      <c r="E47" s="5">
        <v>80</v>
      </c>
      <c r="F47" s="5">
        <v>100</v>
      </c>
      <c r="G47" s="5">
        <v>0</v>
      </c>
      <c r="H47" s="5">
        <v>100</v>
      </c>
      <c r="I47" s="5">
        <v>80</v>
      </c>
      <c r="J47" s="5">
        <v>100</v>
      </c>
      <c r="K47" s="15" t="s">
        <v>55</v>
      </c>
      <c r="L47" s="6">
        <v>3</v>
      </c>
      <c r="M47" s="6">
        <v>0</v>
      </c>
      <c r="N47" s="6">
        <v>0</v>
      </c>
      <c r="O47" s="5">
        <v>0</v>
      </c>
      <c r="P47" s="5">
        <v>0</v>
      </c>
      <c r="Q47" s="5">
        <v>0</v>
      </c>
      <c r="R47" s="5">
        <v>0</v>
      </c>
      <c r="S47" s="5">
        <v>0</v>
      </c>
      <c r="T47" s="5">
        <v>0</v>
      </c>
      <c r="U47" s="6">
        <v>5</v>
      </c>
      <c r="V47" s="5">
        <v>10</v>
      </c>
      <c r="W47" s="5">
        <v>5</v>
      </c>
      <c r="X47" s="16">
        <v>2000</v>
      </c>
      <c r="Y47" s="16">
        <v>7000</v>
      </c>
      <c r="Z47" s="16">
        <v>14000</v>
      </c>
      <c r="AA47" s="12" t="str">
        <f>IF(C47=0,CONCATENATE("1/",D47),CONCATENATE("0/",C47))</f>
        <v>0/30</v>
      </c>
      <c r="AB47" s="12" t="str">
        <f>CONCATENATE(E47,",",F47,",",G47,",",H47,",",I47,",",J47)</f>
        <v>80,100,0,100,80,100</v>
      </c>
      <c r="AC47" s="12">
        <f t="shared" si="12"/>
        <v>4</v>
      </c>
      <c r="AD47" s="12" t="str">
        <f>CONCATENATE(X47,"/",Y47,"/",Z47)</f>
        <v>2000/7000/14000</v>
      </c>
      <c r="AE47" s="12" t="str">
        <f>CONCATENATE(IF(M47=0,"","0/"),IF(N47=0,"","1/"))</f>
        <v/>
      </c>
      <c r="AF47" s="12" t="str">
        <f>CONCATENATE(IF(M47=0,"",CONCATENATE(M47,"/")),IF(N47=0,"",CONCATENATE(N47,"/")))</f>
        <v/>
      </c>
      <c r="AG47" s="12" t="str">
        <f>CONCATENATE(IF(O47=0,"","0/"),IF(P47=0,"","1/"),IF(Q47=0,"","2/"),IF(R47=0,"","3/"),IF(S47=0,"","4/"),IF(T47=0,"","5/"))</f>
        <v/>
      </c>
      <c r="AH47" s="12" t="str">
        <f>CONCATENATE(IF(O47=0,"",CONCATENATE(O47,"/")),IF(P47=0,"",CONCATENATE(P47,"/")),IF(Q47=0,"",CONCATENATE(Q47,"/")),IF(R47=0,"",CONCATENATE(R47,"/")),IF(S47=0,"",CONCATENATE(S47,"/")),IF(T47=0,"",CONCATENATE(T47,"/")))</f>
        <v/>
      </c>
      <c r="AI47" s="12" t="str">
        <f>CONCATENATE(V47,"/",W47)</f>
        <v>10/5</v>
      </c>
    </row>
    <row r="48" spans="1:35" s="8" customFormat="1" ht="21.95" customHeight="1">
      <c r="A48" s="9">
        <v>46</v>
      </c>
      <c r="B48" s="17">
        <v>46</v>
      </c>
      <c r="C48" s="6">
        <v>30</v>
      </c>
      <c r="D48" s="6">
        <v>0</v>
      </c>
      <c r="E48" s="5">
        <v>100</v>
      </c>
      <c r="F48" s="5">
        <v>100</v>
      </c>
      <c r="G48" s="5">
        <v>80</v>
      </c>
      <c r="H48" s="5">
        <v>0</v>
      </c>
      <c r="I48" s="5">
        <v>100</v>
      </c>
      <c r="J48" s="5">
        <v>80</v>
      </c>
      <c r="K48" s="15" t="s">
        <v>54</v>
      </c>
      <c r="L48" s="6">
        <v>3</v>
      </c>
      <c r="M48" s="6">
        <v>0</v>
      </c>
      <c r="N48" s="6">
        <v>0</v>
      </c>
      <c r="O48" s="5">
        <v>0</v>
      </c>
      <c r="P48" s="5">
        <v>0</v>
      </c>
      <c r="Q48" s="5">
        <v>0</v>
      </c>
      <c r="R48" s="5">
        <v>0</v>
      </c>
      <c r="S48" s="5">
        <v>0</v>
      </c>
      <c r="T48" s="5">
        <v>0</v>
      </c>
      <c r="U48" s="6">
        <v>0</v>
      </c>
      <c r="V48" s="5">
        <v>10</v>
      </c>
      <c r="W48" s="5">
        <v>5</v>
      </c>
      <c r="X48" s="16">
        <v>2000</v>
      </c>
      <c r="Y48" s="16">
        <v>7000</v>
      </c>
      <c r="Z48" s="16">
        <v>14000</v>
      </c>
      <c r="AA48" s="12" t="str">
        <f t="shared" si="11"/>
        <v>0/30</v>
      </c>
      <c r="AB48" s="12" t="str">
        <f t="shared" si="10"/>
        <v>100,100,80,0,100,80</v>
      </c>
      <c r="AC48" s="12">
        <f t="shared" si="12"/>
        <v>3</v>
      </c>
      <c r="AD48" s="12" t="str">
        <f t="shared" si="13"/>
        <v>2000/7000/14000</v>
      </c>
      <c r="AE48" s="12" t="str">
        <f t="shared" si="14"/>
        <v/>
      </c>
      <c r="AF48" s="12" t="str">
        <f t="shared" si="15"/>
        <v/>
      </c>
      <c r="AG48" s="12" t="str">
        <f t="shared" si="16"/>
        <v/>
      </c>
      <c r="AH48" s="12" t="str">
        <f t="shared" si="17"/>
        <v/>
      </c>
      <c r="AI48" s="12" t="str">
        <f t="shared" si="18"/>
        <v>10/5</v>
      </c>
    </row>
    <row r="49" spans="1:35" s="8" customFormat="1" ht="21.95" customHeight="1">
      <c r="A49" s="9">
        <v>47</v>
      </c>
      <c r="B49" s="17">
        <v>47</v>
      </c>
      <c r="C49" s="6">
        <v>30</v>
      </c>
      <c r="D49" s="6">
        <v>0</v>
      </c>
      <c r="E49" s="5">
        <v>100</v>
      </c>
      <c r="F49" s="5">
        <v>100</v>
      </c>
      <c r="G49" s="5">
        <v>70</v>
      </c>
      <c r="H49" s="5">
        <v>80</v>
      </c>
      <c r="I49" s="5">
        <v>0</v>
      </c>
      <c r="J49" s="5">
        <v>90</v>
      </c>
      <c r="K49" s="15" t="s">
        <v>54</v>
      </c>
      <c r="L49" s="6">
        <v>3</v>
      </c>
      <c r="M49" s="6">
        <v>0</v>
      </c>
      <c r="N49" s="6">
        <v>0</v>
      </c>
      <c r="O49" s="5">
        <v>0</v>
      </c>
      <c r="P49" s="5">
        <v>0</v>
      </c>
      <c r="Q49" s="5">
        <v>0</v>
      </c>
      <c r="R49" s="5">
        <v>0</v>
      </c>
      <c r="S49" s="5">
        <v>0</v>
      </c>
      <c r="T49" s="5">
        <v>0</v>
      </c>
      <c r="U49" s="6">
        <v>0</v>
      </c>
      <c r="V49" s="5">
        <v>10</v>
      </c>
      <c r="W49" s="5">
        <v>5</v>
      </c>
      <c r="X49" s="16">
        <v>2000</v>
      </c>
      <c r="Y49" s="16">
        <v>7000</v>
      </c>
      <c r="Z49" s="16">
        <v>14000</v>
      </c>
      <c r="AA49" s="12" t="str">
        <f t="shared" si="11"/>
        <v>0/30</v>
      </c>
      <c r="AB49" s="12" t="str">
        <f t="shared" si="10"/>
        <v>100,100,70,80,0,90</v>
      </c>
      <c r="AC49" s="12">
        <f t="shared" si="12"/>
        <v>3</v>
      </c>
      <c r="AD49" s="12" t="str">
        <f t="shared" si="13"/>
        <v>2000/7000/14000</v>
      </c>
      <c r="AE49" s="12" t="str">
        <f t="shared" si="14"/>
        <v/>
      </c>
      <c r="AF49" s="12" t="str">
        <f t="shared" si="15"/>
        <v/>
      </c>
      <c r="AG49" s="12" t="str">
        <f t="shared" si="16"/>
        <v/>
      </c>
      <c r="AH49" s="12" t="str">
        <f t="shared" si="17"/>
        <v/>
      </c>
      <c r="AI49" s="12" t="str">
        <f t="shared" si="18"/>
        <v>10/5</v>
      </c>
    </row>
    <row r="50" spans="1:35" s="8" customFormat="1" ht="21.95" customHeight="1">
      <c r="A50" s="9">
        <v>48</v>
      </c>
      <c r="B50" s="24">
        <v>48</v>
      </c>
      <c r="C50" s="6">
        <v>30</v>
      </c>
      <c r="D50" s="6">
        <v>0</v>
      </c>
      <c r="E50" s="5">
        <v>100</v>
      </c>
      <c r="F50" s="5">
        <v>100</v>
      </c>
      <c r="G50" s="5">
        <v>50</v>
      </c>
      <c r="H50" s="5">
        <v>100</v>
      </c>
      <c r="I50" s="5">
        <v>50</v>
      </c>
      <c r="J50" s="5">
        <v>50</v>
      </c>
      <c r="K50" s="15" t="s">
        <v>53</v>
      </c>
      <c r="L50" s="6">
        <v>3</v>
      </c>
      <c r="M50" s="6">
        <v>0</v>
      </c>
      <c r="N50" s="6">
        <v>0</v>
      </c>
      <c r="O50" s="5">
        <v>0</v>
      </c>
      <c r="P50" s="5">
        <v>0</v>
      </c>
      <c r="Q50" s="5">
        <v>20</v>
      </c>
      <c r="R50" s="5">
        <v>0</v>
      </c>
      <c r="S50" s="5">
        <v>20</v>
      </c>
      <c r="T50" s="5">
        <v>20</v>
      </c>
      <c r="U50" s="6">
        <v>0</v>
      </c>
      <c r="V50" s="5">
        <v>10</v>
      </c>
      <c r="W50" s="5">
        <v>5</v>
      </c>
      <c r="X50" s="16">
        <v>2000</v>
      </c>
      <c r="Y50" s="16">
        <v>7000</v>
      </c>
      <c r="Z50" s="16">
        <v>14000</v>
      </c>
      <c r="AA50" s="12" t="str">
        <f t="shared" si="11"/>
        <v>0/30</v>
      </c>
      <c r="AB50" s="12" t="str">
        <f t="shared" si="10"/>
        <v>100,100,50,100,50,50</v>
      </c>
      <c r="AC50" s="12">
        <f t="shared" si="12"/>
        <v>2</v>
      </c>
      <c r="AD50" s="12" t="str">
        <f t="shared" si="13"/>
        <v>2000/7000/14000</v>
      </c>
      <c r="AE50" s="12" t="str">
        <f t="shared" si="14"/>
        <v/>
      </c>
      <c r="AF50" s="12" t="str">
        <f t="shared" si="15"/>
        <v/>
      </c>
      <c r="AG50" s="12" t="str">
        <f t="shared" si="16"/>
        <v>2/4/5/</v>
      </c>
      <c r="AH50" s="12" t="str">
        <f t="shared" si="17"/>
        <v>20/20/20/</v>
      </c>
      <c r="AI50" s="12" t="str">
        <f t="shared" si="18"/>
        <v>10/5</v>
      </c>
    </row>
    <row r="51" spans="1:35" s="8" customFormat="1" ht="21.95" customHeight="1">
      <c r="A51" s="9">
        <v>49</v>
      </c>
      <c r="B51" s="24">
        <v>49</v>
      </c>
      <c r="C51" s="6">
        <v>28</v>
      </c>
      <c r="D51" s="6">
        <v>0</v>
      </c>
      <c r="E51" s="5">
        <v>0</v>
      </c>
      <c r="F51" s="5">
        <v>100</v>
      </c>
      <c r="G51" s="5">
        <v>100</v>
      </c>
      <c r="H51" s="5">
        <v>100</v>
      </c>
      <c r="I51" s="5">
        <v>100</v>
      </c>
      <c r="J51" s="5">
        <v>100</v>
      </c>
      <c r="K51" s="15" t="s">
        <v>52</v>
      </c>
      <c r="L51" s="6">
        <v>3</v>
      </c>
      <c r="M51" s="6">
        <v>8</v>
      </c>
      <c r="N51" s="6">
        <v>1</v>
      </c>
      <c r="O51" s="5">
        <v>0</v>
      </c>
      <c r="P51" s="5">
        <v>0</v>
      </c>
      <c r="Q51" s="5">
        <v>0</v>
      </c>
      <c r="R51" s="5">
        <v>0</v>
      </c>
      <c r="S51" s="5">
        <v>0</v>
      </c>
      <c r="T51" s="5">
        <v>0</v>
      </c>
      <c r="U51" s="6">
        <v>0</v>
      </c>
      <c r="V51" s="5">
        <v>10</v>
      </c>
      <c r="W51" s="5">
        <v>5</v>
      </c>
      <c r="X51" s="16">
        <v>2000</v>
      </c>
      <c r="Y51" s="16">
        <v>7000</v>
      </c>
      <c r="Z51" s="16">
        <v>14000</v>
      </c>
      <c r="AA51" s="12" t="str">
        <f t="shared" si="11"/>
        <v>0/28</v>
      </c>
      <c r="AB51" s="12" t="str">
        <f t="shared" si="10"/>
        <v>0,100,100,100,100,100</v>
      </c>
      <c r="AC51" s="12">
        <f t="shared" si="12"/>
        <v>1</v>
      </c>
      <c r="AD51" s="12" t="str">
        <f t="shared" si="13"/>
        <v>2000/7000/14000</v>
      </c>
      <c r="AE51" s="12" t="str">
        <f t="shared" si="14"/>
        <v>0/1/</v>
      </c>
      <c r="AF51" s="12" t="str">
        <f t="shared" si="15"/>
        <v>8/1/</v>
      </c>
      <c r="AG51" s="12" t="str">
        <f t="shared" si="16"/>
        <v/>
      </c>
      <c r="AH51" s="12" t="str">
        <f t="shared" si="17"/>
        <v/>
      </c>
      <c r="AI51" s="12" t="str">
        <f t="shared" si="18"/>
        <v>10/5</v>
      </c>
    </row>
    <row r="52" spans="1:35" s="8" customFormat="1" ht="21.95" customHeight="1">
      <c r="A52" s="9">
        <v>50</v>
      </c>
      <c r="B52" s="17">
        <v>50</v>
      </c>
      <c r="C52" s="6">
        <v>32</v>
      </c>
      <c r="D52" s="6">
        <v>0</v>
      </c>
      <c r="E52" s="5">
        <v>100</v>
      </c>
      <c r="F52" s="5">
        <v>0</v>
      </c>
      <c r="G52" s="5">
        <v>100</v>
      </c>
      <c r="H52" s="5">
        <v>100</v>
      </c>
      <c r="I52" s="5">
        <v>100</v>
      </c>
      <c r="J52" s="5">
        <v>100</v>
      </c>
      <c r="K52" s="17" t="s">
        <v>52</v>
      </c>
      <c r="L52" s="6">
        <v>3</v>
      </c>
      <c r="M52" s="6">
        <v>6</v>
      </c>
      <c r="N52" s="6">
        <v>0</v>
      </c>
      <c r="O52" s="5">
        <v>0</v>
      </c>
      <c r="P52" s="5">
        <v>0</v>
      </c>
      <c r="Q52" s="5">
        <v>0</v>
      </c>
      <c r="R52" s="5">
        <v>0</v>
      </c>
      <c r="S52" s="5">
        <v>0</v>
      </c>
      <c r="T52" s="5">
        <v>0</v>
      </c>
      <c r="U52" s="6">
        <v>0</v>
      </c>
      <c r="V52" s="5">
        <v>10</v>
      </c>
      <c r="W52" s="5">
        <v>5</v>
      </c>
      <c r="X52" s="16">
        <v>2000</v>
      </c>
      <c r="Y52" s="16">
        <v>7000</v>
      </c>
      <c r="Z52" s="16">
        <v>14000</v>
      </c>
      <c r="AA52" s="12" t="str">
        <f t="shared" si="11"/>
        <v>0/32</v>
      </c>
      <c r="AB52" s="12" t="str">
        <f t="shared" si="10"/>
        <v>100,0,100,100,100,100</v>
      </c>
      <c r="AC52" s="12">
        <f t="shared" si="12"/>
        <v>1</v>
      </c>
      <c r="AD52" s="12" t="str">
        <f t="shared" si="13"/>
        <v>2000/7000/14000</v>
      </c>
      <c r="AE52" s="12" t="str">
        <f t="shared" si="14"/>
        <v>0/</v>
      </c>
      <c r="AF52" s="12" t="str">
        <f t="shared" si="15"/>
        <v>6/</v>
      </c>
      <c r="AG52" s="12" t="str">
        <f t="shared" si="16"/>
        <v/>
      </c>
      <c r="AH52" s="12" t="str">
        <f t="shared" si="17"/>
        <v/>
      </c>
      <c r="AI52" s="12" t="str">
        <f t="shared" si="18"/>
        <v>10/5</v>
      </c>
    </row>
    <row r="53" spans="1:35" s="8" customFormat="1" ht="21.95" customHeight="1">
      <c r="A53" s="9">
        <v>51</v>
      </c>
      <c r="B53" s="17">
        <v>51</v>
      </c>
      <c r="C53" s="6">
        <v>30</v>
      </c>
      <c r="D53" s="6">
        <v>0</v>
      </c>
      <c r="E53" s="5">
        <v>80</v>
      </c>
      <c r="F53" s="5">
        <v>100</v>
      </c>
      <c r="G53" s="5">
        <v>0</v>
      </c>
      <c r="H53" s="5">
        <v>100</v>
      </c>
      <c r="I53" s="5">
        <v>80</v>
      </c>
      <c r="J53" s="5">
        <v>100</v>
      </c>
      <c r="K53" s="15" t="s">
        <v>52</v>
      </c>
      <c r="L53" s="6">
        <v>3</v>
      </c>
      <c r="M53" s="6">
        <v>2</v>
      </c>
      <c r="N53" s="6">
        <v>6</v>
      </c>
      <c r="O53" s="5">
        <v>0</v>
      </c>
      <c r="P53" s="5">
        <v>0</v>
      </c>
      <c r="Q53" s="5">
        <v>0</v>
      </c>
      <c r="R53" s="5">
        <v>0</v>
      </c>
      <c r="S53" s="5">
        <v>0</v>
      </c>
      <c r="T53" s="5">
        <v>0</v>
      </c>
      <c r="U53" s="6">
        <v>0</v>
      </c>
      <c r="V53" s="5">
        <v>10</v>
      </c>
      <c r="W53" s="5">
        <v>5</v>
      </c>
      <c r="X53" s="16">
        <v>2000</v>
      </c>
      <c r="Y53" s="16">
        <v>7000</v>
      </c>
      <c r="Z53" s="16">
        <v>14000</v>
      </c>
      <c r="AA53" s="12" t="str">
        <f t="shared" si="11"/>
        <v>0/30</v>
      </c>
      <c r="AB53" s="12" t="str">
        <f t="shared" si="10"/>
        <v>80,100,0,100,80,100</v>
      </c>
      <c r="AC53" s="12">
        <f t="shared" si="12"/>
        <v>1</v>
      </c>
      <c r="AD53" s="12" t="str">
        <f t="shared" si="13"/>
        <v>2000/7000/14000</v>
      </c>
      <c r="AE53" s="12" t="str">
        <f t="shared" si="14"/>
        <v>0/1/</v>
      </c>
      <c r="AF53" s="12" t="str">
        <f t="shared" si="15"/>
        <v>2/6/</v>
      </c>
      <c r="AG53" s="12" t="str">
        <f t="shared" si="16"/>
        <v/>
      </c>
      <c r="AH53" s="12" t="str">
        <f t="shared" si="17"/>
        <v/>
      </c>
      <c r="AI53" s="12" t="str">
        <f t="shared" si="18"/>
        <v>10/5</v>
      </c>
    </row>
    <row r="54" spans="1:35" s="8" customFormat="1" ht="21.95" customHeight="1">
      <c r="A54" s="9">
        <v>52</v>
      </c>
      <c r="B54" s="17">
        <v>52</v>
      </c>
      <c r="C54" s="6">
        <v>30</v>
      </c>
      <c r="D54" s="6">
        <v>0</v>
      </c>
      <c r="E54" s="5">
        <v>100</v>
      </c>
      <c r="F54" s="5">
        <v>100</v>
      </c>
      <c r="G54" s="5">
        <v>80</v>
      </c>
      <c r="H54" s="5">
        <v>0</v>
      </c>
      <c r="I54" s="5">
        <v>80</v>
      </c>
      <c r="J54" s="5">
        <v>80</v>
      </c>
      <c r="K54" s="15" t="s">
        <v>53</v>
      </c>
      <c r="L54" s="6">
        <v>3</v>
      </c>
      <c r="M54" s="6">
        <v>0</v>
      </c>
      <c r="N54" s="6">
        <v>0</v>
      </c>
      <c r="O54" s="5">
        <v>0</v>
      </c>
      <c r="P54" s="5">
        <v>0</v>
      </c>
      <c r="Q54" s="5">
        <v>30</v>
      </c>
      <c r="R54" s="5">
        <v>0</v>
      </c>
      <c r="S54" s="5">
        <v>0</v>
      </c>
      <c r="T54" s="5">
        <v>34</v>
      </c>
      <c r="U54" s="6">
        <v>0</v>
      </c>
      <c r="V54" s="5">
        <v>10</v>
      </c>
      <c r="W54" s="5">
        <v>5</v>
      </c>
      <c r="X54" s="16">
        <v>2000</v>
      </c>
      <c r="Y54" s="16">
        <v>7000</v>
      </c>
      <c r="Z54" s="16">
        <v>14000</v>
      </c>
      <c r="AA54" s="12" t="str">
        <f t="shared" si="11"/>
        <v>0/30</v>
      </c>
      <c r="AB54" s="12" t="str">
        <f t="shared" si="10"/>
        <v>100,100,80,0,80,80</v>
      </c>
      <c r="AC54" s="12">
        <f t="shared" si="12"/>
        <v>2</v>
      </c>
      <c r="AD54" s="12" t="str">
        <f t="shared" si="13"/>
        <v>2000/7000/14000</v>
      </c>
      <c r="AE54" s="12" t="str">
        <f t="shared" si="14"/>
        <v/>
      </c>
      <c r="AF54" s="12" t="str">
        <f t="shared" si="15"/>
        <v/>
      </c>
      <c r="AG54" s="12" t="str">
        <f t="shared" si="16"/>
        <v>2/5/</v>
      </c>
      <c r="AH54" s="12" t="str">
        <f t="shared" si="17"/>
        <v>30/34/</v>
      </c>
      <c r="AI54" s="12" t="str">
        <f t="shared" si="18"/>
        <v>10/5</v>
      </c>
    </row>
    <row r="55" spans="1:35" s="8" customFormat="1" ht="21.95" customHeight="1">
      <c r="A55" s="9">
        <v>53</v>
      </c>
      <c r="B55" s="17">
        <v>53</v>
      </c>
      <c r="C55" s="6">
        <v>30</v>
      </c>
      <c r="D55" s="6">
        <v>0</v>
      </c>
      <c r="E55" s="5">
        <v>80</v>
      </c>
      <c r="F55" s="5">
        <v>100</v>
      </c>
      <c r="G55" s="5">
        <v>100</v>
      </c>
      <c r="H55" s="5">
        <v>80</v>
      </c>
      <c r="I55" s="5">
        <v>0</v>
      </c>
      <c r="J55" s="5">
        <v>80</v>
      </c>
      <c r="K55" s="15" t="s">
        <v>53</v>
      </c>
      <c r="L55" s="6">
        <v>3</v>
      </c>
      <c r="M55" s="6">
        <v>0</v>
      </c>
      <c r="N55" s="6">
        <v>0</v>
      </c>
      <c r="O55" s="5">
        <v>0</v>
      </c>
      <c r="P55" s="5">
        <v>0</v>
      </c>
      <c r="Q55" s="5">
        <v>0</v>
      </c>
      <c r="R55" s="5">
        <v>28</v>
      </c>
      <c r="S55" s="5">
        <v>0</v>
      </c>
      <c r="T55" s="5">
        <v>26</v>
      </c>
      <c r="U55" s="6">
        <v>0</v>
      </c>
      <c r="V55" s="5">
        <v>10</v>
      </c>
      <c r="W55" s="5">
        <v>5</v>
      </c>
      <c r="X55" s="16">
        <v>2000</v>
      </c>
      <c r="Y55" s="16">
        <v>7000</v>
      </c>
      <c r="Z55" s="16">
        <v>14000</v>
      </c>
      <c r="AA55" s="12" t="str">
        <f t="shared" si="11"/>
        <v>0/30</v>
      </c>
      <c r="AB55" s="12" t="str">
        <f t="shared" si="10"/>
        <v>80,100,100,80,0,80</v>
      </c>
      <c r="AC55" s="12">
        <f t="shared" si="12"/>
        <v>2</v>
      </c>
      <c r="AD55" s="12" t="str">
        <f t="shared" si="13"/>
        <v>2000/7000/14000</v>
      </c>
      <c r="AE55" s="12" t="str">
        <f t="shared" si="14"/>
        <v/>
      </c>
      <c r="AF55" s="12" t="str">
        <f t="shared" si="15"/>
        <v/>
      </c>
      <c r="AG55" s="12" t="str">
        <f t="shared" si="16"/>
        <v>3/5/</v>
      </c>
      <c r="AH55" s="12" t="str">
        <f t="shared" si="17"/>
        <v>28/26/</v>
      </c>
      <c r="AI55" s="12" t="str">
        <f t="shared" si="18"/>
        <v>10/5</v>
      </c>
    </row>
    <row r="56" spans="1:35" s="8" customFormat="1" ht="21.95" customHeight="1">
      <c r="A56" s="9">
        <v>54</v>
      </c>
      <c r="B56" s="17">
        <v>54</v>
      </c>
      <c r="C56" s="6">
        <v>30</v>
      </c>
      <c r="D56" s="6">
        <v>0</v>
      </c>
      <c r="E56" s="5">
        <v>100</v>
      </c>
      <c r="F56" s="5">
        <v>80</v>
      </c>
      <c r="G56" s="5">
        <v>100</v>
      </c>
      <c r="H56" s="5">
        <v>80</v>
      </c>
      <c r="I56" s="5">
        <v>100</v>
      </c>
      <c r="J56" s="5">
        <v>0</v>
      </c>
      <c r="K56" s="15" t="s">
        <v>55</v>
      </c>
      <c r="L56" s="6">
        <v>3</v>
      </c>
      <c r="M56" s="6">
        <v>0</v>
      </c>
      <c r="N56" s="6">
        <v>0</v>
      </c>
      <c r="O56" s="5">
        <v>0</v>
      </c>
      <c r="P56" s="5">
        <v>0</v>
      </c>
      <c r="Q56" s="5">
        <v>0</v>
      </c>
      <c r="R56" s="5">
        <v>0</v>
      </c>
      <c r="S56" s="5">
        <v>0</v>
      </c>
      <c r="T56" s="5">
        <v>0</v>
      </c>
      <c r="U56" s="6">
        <v>5</v>
      </c>
      <c r="V56" s="5">
        <v>10</v>
      </c>
      <c r="W56" s="5">
        <v>5</v>
      </c>
      <c r="X56" s="16">
        <v>2000</v>
      </c>
      <c r="Y56" s="16">
        <v>7000</v>
      </c>
      <c r="Z56" s="16">
        <v>14000</v>
      </c>
      <c r="AA56" s="12" t="str">
        <f t="shared" si="11"/>
        <v>0/30</v>
      </c>
      <c r="AB56" s="12" t="str">
        <f t="shared" si="10"/>
        <v>100,80,100,80,100,0</v>
      </c>
      <c r="AC56" s="12">
        <f t="shared" si="12"/>
        <v>4</v>
      </c>
      <c r="AD56" s="12" t="str">
        <f t="shared" si="13"/>
        <v>2000/7000/14000</v>
      </c>
      <c r="AE56" s="12" t="str">
        <f t="shared" si="14"/>
        <v/>
      </c>
      <c r="AF56" s="12" t="str">
        <f t="shared" si="15"/>
        <v/>
      </c>
      <c r="AG56" s="12" t="str">
        <f t="shared" si="16"/>
        <v/>
      </c>
      <c r="AH56" s="12" t="str">
        <f t="shared" si="17"/>
        <v/>
      </c>
      <c r="AI56" s="12" t="str">
        <f t="shared" si="18"/>
        <v>10/5</v>
      </c>
    </row>
    <row r="57" spans="1:35" s="8" customFormat="1" ht="21.95" customHeight="1">
      <c r="A57" s="9">
        <v>55</v>
      </c>
      <c r="B57" s="17">
        <v>55</v>
      </c>
      <c r="C57" s="6">
        <v>30</v>
      </c>
      <c r="D57" s="6">
        <v>0</v>
      </c>
      <c r="E57" s="5">
        <v>0</v>
      </c>
      <c r="F57" s="5">
        <v>100</v>
      </c>
      <c r="G57" s="5">
        <v>80</v>
      </c>
      <c r="H57" s="5">
        <v>100</v>
      </c>
      <c r="I57" s="5">
        <v>100</v>
      </c>
      <c r="J57" s="5">
        <v>80</v>
      </c>
      <c r="K57" s="15" t="s">
        <v>55</v>
      </c>
      <c r="L57" s="6">
        <v>3</v>
      </c>
      <c r="M57" s="6">
        <v>0</v>
      </c>
      <c r="N57" s="6">
        <v>0</v>
      </c>
      <c r="O57" s="5">
        <v>0</v>
      </c>
      <c r="P57" s="5">
        <v>0</v>
      </c>
      <c r="Q57" s="5">
        <v>0</v>
      </c>
      <c r="R57" s="5">
        <v>0</v>
      </c>
      <c r="S57" s="5">
        <v>0</v>
      </c>
      <c r="T57" s="5">
        <v>0</v>
      </c>
      <c r="U57" s="6">
        <v>5</v>
      </c>
      <c r="V57" s="5">
        <v>10</v>
      </c>
      <c r="W57" s="5">
        <v>5</v>
      </c>
      <c r="X57" s="16">
        <v>2000</v>
      </c>
      <c r="Y57" s="16">
        <v>7000</v>
      </c>
      <c r="Z57" s="16">
        <v>14000</v>
      </c>
      <c r="AA57" s="12" t="str">
        <f t="shared" si="11"/>
        <v>0/30</v>
      </c>
      <c r="AB57" s="12" t="str">
        <f t="shared" si="10"/>
        <v>0,100,80,100,100,80</v>
      </c>
      <c r="AC57" s="12">
        <f t="shared" si="12"/>
        <v>4</v>
      </c>
      <c r="AD57" s="12" t="str">
        <f t="shared" si="13"/>
        <v>2000/7000/14000</v>
      </c>
      <c r="AE57" s="12" t="str">
        <f t="shared" si="14"/>
        <v/>
      </c>
      <c r="AF57" s="12" t="str">
        <f t="shared" si="15"/>
        <v/>
      </c>
      <c r="AG57" s="12" t="str">
        <f t="shared" si="16"/>
        <v/>
      </c>
      <c r="AH57" s="12" t="str">
        <f t="shared" si="17"/>
        <v/>
      </c>
      <c r="AI57" s="12" t="str">
        <f t="shared" si="18"/>
        <v>10/5</v>
      </c>
    </row>
    <row r="58" spans="1:35" s="8" customFormat="1" ht="21.95" customHeight="1">
      <c r="A58" s="9">
        <v>56</v>
      </c>
      <c r="B58" s="17">
        <v>56</v>
      </c>
      <c r="C58" s="6">
        <v>30</v>
      </c>
      <c r="D58" s="6">
        <v>0</v>
      </c>
      <c r="E58" s="5">
        <v>100</v>
      </c>
      <c r="F58" s="5">
        <v>0</v>
      </c>
      <c r="G58" s="5">
        <v>80</v>
      </c>
      <c r="H58" s="5">
        <v>80</v>
      </c>
      <c r="I58" s="5">
        <v>100</v>
      </c>
      <c r="J58" s="5">
        <v>100</v>
      </c>
      <c r="K58" s="15" t="s">
        <v>53</v>
      </c>
      <c r="L58" s="6">
        <v>3</v>
      </c>
      <c r="M58" s="6">
        <v>0</v>
      </c>
      <c r="N58" s="6">
        <v>0</v>
      </c>
      <c r="O58" s="5">
        <v>0</v>
      </c>
      <c r="P58" s="5">
        <v>0</v>
      </c>
      <c r="Q58" s="5">
        <v>28</v>
      </c>
      <c r="R58" s="5">
        <v>36</v>
      </c>
      <c r="S58" s="5">
        <v>0</v>
      </c>
      <c r="T58" s="5">
        <v>0</v>
      </c>
      <c r="U58" s="6">
        <v>0</v>
      </c>
      <c r="V58" s="5">
        <v>10</v>
      </c>
      <c r="W58" s="5">
        <v>5</v>
      </c>
      <c r="X58" s="16">
        <v>2000</v>
      </c>
      <c r="Y58" s="16">
        <v>7000</v>
      </c>
      <c r="Z58" s="16">
        <v>14000</v>
      </c>
      <c r="AA58" s="12" t="str">
        <f t="shared" si="11"/>
        <v>0/30</v>
      </c>
      <c r="AB58" s="12" t="str">
        <f t="shared" si="10"/>
        <v>100,0,80,80,100,100</v>
      </c>
      <c r="AC58" s="12">
        <f t="shared" si="12"/>
        <v>2</v>
      </c>
      <c r="AD58" s="12" t="str">
        <f t="shared" si="13"/>
        <v>2000/7000/14000</v>
      </c>
      <c r="AE58" s="12" t="str">
        <f t="shared" si="14"/>
        <v/>
      </c>
      <c r="AF58" s="12" t="str">
        <f t="shared" si="15"/>
        <v/>
      </c>
      <c r="AG58" s="12" t="str">
        <f t="shared" si="16"/>
        <v>2/3/</v>
      </c>
      <c r="AH58" s="12" t="str">
        <f t="shared" si="17"/>
        <v>28/36/</v>
      </c>
      <c r="AI58" s="12" t="str">
        <f t="shared" si="18"/>
        <v>10/5</v>
      </c>
    </row>
    <row r="59" spans="1:35" s="8" customFormat="1" ht="21.95" customHeight="1">
      <c r="A59" s="9">
        <v>57</v>
      </c>
      <c r="B59" s="17">
        <v>57</v>
      </c>
      <c r="C59" s="6">
        <v>30</v>
      </c>
      <c r="D59" s="6">
        <v>0</v>
      </c>
      <c r="E59" s="5">
        <v>100</v>
      </c>
      <c r="F59" s="5">
        <v>100</v>
      </c>
      <c r="G59" s="5">
        <v>0</v>
      </c>
      <c r="H59" s="5">
        <v>80</v>
      </c>
      <c r="I59" s="5">
        <v>80</v>
      </c>
      <c r="J59" s="5">
        <v>100</v>
      </c>
      <c r="K59" s="15" t="s">
        <v>53</v>
      </c>
      <c r="L59" s="6">
        <v>3</v>
      </c>
      <c r="M59" s="6">
        <v>0</v>
      </c>
      <c r="N59" s="6">
        <v>0</v>
      </c>
      <c r="O59" s="5">
        <v>0</v>
      </c>
      <c r="P59" s="5">
        <v>0</v>
      </c>
      <c r="Q59" s="5">
        <v>0</v>
      </c>
      <c r="R59" s="5">
        <v>30</v>
      </c>
      <c r="S59" s="5">
        <v>24</v>
      </c>
      <c r="T59" s="5">
        <v>0</v>
      </c>
      <c r="U59" s="6">
        <v>0</v>
      </c>
      <c r="V59" s="5">
        <v>10</v>
      </c>
      <c r="W59" s="5">
        <v>5</v>
      </c>
      <c r="X59" s="16">
        <v>2000</v>
      </c>
      <c r="Y59" s="16">
        <v>7000</v>
      </c>
      <c r="Z59" s="16">
        <v>14000</v>
      </c>
      <c r="AA59" s="12" t="str">
        <f t="shared" si="11"/>
        <v>0/30</v>
      </c>
      <c r="AB59" s="12" t="str">
        <f t="shared" si="10"/>
        <v>100,100,0,80,80,100</v>
      </c>
      <c r="AC59" s="12">
        <f t="shared" si="12"/>
        <v>2</v>
      </c>
      <c r="AD59" s="12" t="str">
        <f t="shared" si="13"/>
        <v>2000/7000/14000</v>
      </c>
      <c r="AE59" s="12" t="str">
        <f t="shared" si="14"/>
        <v/>
      </c>
      <c r="AF59" s="12" t="str">
        <f t="shared" si="15"/>
        <v/>
      </c>
      <c r="AG59" s="12" t="str">
        <f t="shared" si="16"/>
        <v>3/4/</v>
      </c>
      <c r="AH59" s="12" t="str">
        <f t="shared" si="17"/>
        <v>30/24/</v>
      </c>
      <c r="AI59" s="12" t="str">
        <f t="shared" si="18"/>
        <v>10/5</v>
      </c>
    </row>
    <row r="60" spans="1:35" s="8" customFormat="1" ht="21.95" customHeight="1">
      <c r="A60" s="9">
        <v>58</v>
      </c>
      <c r="B60" s="17">
        <v>58</v>
      </c>
      <c r="C60" s="6">
        <v>28</v>
      </c>
      <c r="D60" s="6">
        <v>0</v>
      </c>
      <c r="E60" s="5">
        <v>100</v>
      </c>
      <c r="F60" s="5">
        <v>50</v>
      </c>
      <c r="G60" s="5">
        <v>50</v>
      </c>
      <c r="H60" s="5">
        <v>50</v>
      </c>
      <c r="I60" s="5">
        <v>100</v>
      </c>
      <c r="J60" s="5">
        <v>100</v>
      </c>
      <c r="K60" s="15" t="s">
        <v>51</v>
      </c>
      <c r="L60" s="6">
        <v>3</v>
      </c>
      <c r="M60" s="6">
        <v>0</v>
      </c>
      <c r="N60" s="6">
        <v>0</v>
      </c>
      <c r="O60" s="5">
        <v>0</v>
      </c>
      <c r="P60" s="5">
        <v>0</v>
      </c>
      <c r="Q60" s="5">
        <v>0</v>
      </c>
      <c r="R60" s="5">
        <v>0</v>
      </c>
      <c r="S60" s="5">
        <v>0</v>
      </c>
      <c r="T60" s="5">
        <v>0</v>
      </c>
      <c r="U60" s="6">
        <v>0</v>
      </c>
      <c r="V60" s="5">
        <v>10</v>
      </c>
      <c r="W60" s="5">
        <v>5</v>
      </c>
      <c r="X60" s="16">
        <v>2000</v>
      </c>
      <c r="Y60" s="16">
        <v>7000</v>
      </c>
      <c r="Z60" s="16">
        <v>14000</v>
      </c>
      <c r="AA60" s="12" t="str">
        <f t="shared" si="11"/>
        <v>0/28</v>
      </c>
      <c r="AB60" s="12" t="str">
        <f t="shared" si="10"/>
        <v>100,50,50,50,100,100</v>
      </c>
      <c r="AC60" s="12">
        <f t="shared" si="12"/>
        <v>0</v>
      </c>
      <c r="AD60" s="12" t="str">
        <f t="shared" si="13"/>
        <v>2000/7000/14000</v>
      </c>
      <c r="AE60" s="12" t="str">
        <f t="shared" si="14"/>
        <v/>
      </c>
      <c r="AF60" s="12" t="str">
        <f t="shared" si="15"/>
        <v/>
      </c>
      <c r="AG60" s="12" t="str">
        <f t="shared" si="16"/>
        <v/>
      </c>
      <c r="AH60" s="12" t="str">
        <f t="shared" si="17"/>
        <v/>
      </c>
      <c r="AI60" s="12" t="str">
        <f t="shared" si="18"/>
        <v>10/5</v>
      </c>
    </row>
    <row r="61" spans="1:35" s="8" customFormat="1" ht="21.95" customHeight="1">
      <c r="A61" s="9">
        <v>59</v>
      </c>
      <c r="B61" s="17">
        <v>59</v>
      </c>
      <c r="C61" s="6">
        <v>30</v>
      </c>
      <c r="D61" s="6">
        <v>0</v>
      </c>
      <c r="E61" s="5">
        <v>100</v>
      </c>
      <c r="F61" s="5">
        <v>100</v>
      </c>
      <c r="G61" s="5">
        <v>80</v>
      </c>
      <c r="H61" s="5">
        <v>100</v>
      </c>
      <c r="I61" s="5">
        <v>0</v>
      </c>
      <c r="J61" s="5">
        <v>80</v>
      </c>
      <c r="K61" s="15" t="s">
        <v>51</v>
      </c>
      <c r="L61" s="6">
        <v>3</v>
      </c>
      <c r="M61" s="6">
        <v>0</v>
      </c>
      <c r="N61" s="6">
        <v>0</v>
      </c>
      <c r="O61" s="5">
        <v>0</v>
      </c>
      <c r="P61" s="5">
        <v>0</v>
      </c>
      <c r="Q61" s="5">
        <v>0</v>
      </c>
      <c r="R61" s="5">
        <v>0</v>
      </c>
      <c r="S61" s="5">
        <v>0</v>
      </c>
      <c r="T61" s="5">
        <v>0</v>
      </c>
      <c r="U61" s="6">
        <v>0</v>
      </c>
      <c r="V61" s="5">
        <v>10</v>
      </c>
      <c r="W61" s="5">
        <v>5</v>
      </c>
      <c r="X61" s="16">
        <v>2000</v>
      </c>
      <c r="Y61" s="16">
        <v>7000</v>
      </c>
      <c r="Z61" s="16">
        <v>14000</v>
      </c>
      <c r="AA61" s="12" t="str">
        <f t="shared" si="11"/>
        <v>0/30</v>
      </c>
      <c r="AB61" s="12" t="str">
        <f t="shared" si="10"/>
        <v>100,100,80,100,0,80</v>
      </c>
      <c r="AC61" s="12">
        <f t="shared" si="12"/>
        <v>0</v>
      </c>
      <c r="AD61" s="12" t="str">
        <f t="shared" si="13"/>
        <v>2000/7000/14000</v>
      </c>
      <c r="AE61" s="12" t="str">
        <f t="shared" si="14"/>
        <v/>
      </c>
      <c r="AF61" s="12" t="str">
        <f t="shared" si="15"/>
        <v/>
      </c>
      <c r="AG61" s="12" t="str">
        <f t="shared" si="16"/>
        <v/>
      </c>
      <c r="AH61" s="12" t="str">
        <f t="shared" si="17"/>
        <v/>
      </c>
      <c r="AI61" s="12" t="str">
        <f t="shared" si="18"/>
        <v>10/5</v>
      </c>
    </row>
    <row r="62" spans="1:35" s="8" customFormat="1" ht="21.95" customHeight="1">
      <c r="A62" s="9">
        <v>60</v>
      </c>
      <c r="B62" s="17">
        <v>60</v>
      </c>
      <c r="C62" s="6">
        <v>0</v>
      </c>
      <c r="D62" s="6">
        <v>120</v>
      </c>
      <c r="E62" s="5">
        <v>100</v>
      </c>
      <c r="F62" s="5">
        <v>100</v>
      </c>
      <c r="G62" s="5">
        <v>100</v>
      </c>
      <c r="H62" s="5">
        <v>100</v>
      </c>
      <c r="I62" s="5">
        <v>100</v>
      </c>
      <c r="J62" s="5">
        <v>0</v>
      </c>
      <c r="K62" s="17" t="s">
        <v>53</v>
      </c>
      <c r="L62" s="6">
        <v>3</v>
      </c>
      <c r="M62" s="6">
        <v>0</v>
      </c>
      <c r="N62" s="6">
        <v>0</v>
      </c>
      <c r="O62" s="5">
        <v>30</v>
      </c>
      <c r="P62" s="5">
        <v>30</v>
      </c>
      <c r="Q62" s="5">
        <v>0</v>
      </c>
      <c r="R62" s="5">
        <v>0</v>
      </c>
      <c r="S62" s="5">
        <v>0</v>
      </c>
      <c r="T62" s="5">
        <v>0</v>
      </c>
      <c r="U62" s="6">
        <v>0</v>
      </c>
      <c r="V62" s="5">
        <v>10</v>
      </c>
      <c r="W62" s="5">
        <v>5</v>
      </c>
      <c r="X62" s="16">
        <v>2000</v>
      </c>
      <c r="Y62" s="16">
        <v>7000</v>
      </c>
      <c r="Z62" s="16">
        <v>14000</v>
      </c>
      <c r="AA62" s="12" t="str">
        <f t="shared" si="11"/>
        <v>1/120</v>
      </c>
      <c r="AB62" s="12" t="str">
        <f t="shared" si="10"/>
        <v>100,100,100,100,100,0</v>
      </c>
      <c r="AC62" s="12">
        <f t="shared" si="12"/>
        <v>2</v>
      </c>
      <c r="AD62" s="12" t="str">
        <f t="shared" si="13"/>
        <v>2000/7000/14000</v>
      </c>
      <c r="AE62" s="12" t="str">
        <f t="shared" si="14"/>
        <v/>
      </c>
      <c r="AF62" s="12" t="str">
        <f t="shared" si="15"/>
        <v/>
      </c>
      <c r="AG62" s="12" t="str">
        <f t="shared" si="16"/>
        <v>0/1/</v>
      </c>
      <c r="AH62" s="12" t="str">
        <f t="shared" si="17"/>
        <v>30/30/</v>
      </c>
      <c r="AI62" s="12" t="str">
        <f t="shared" si="18"/>
        <v>10/5</v>
      </c>
    </row>
    <row r="63" spans="1:35" s="8" customFormat="1" ht="21.95" customHeight="1">
      <c r="A63" s="9">
        <v>61</v>
      </c>
      <c r="B63" s="17">
        <v>61</v>
      </c>
      <c r="C63" s="6">
        <v>0</v>
      </c>
      <c r="D63" s="6">
        <v>120</v>
      </c>
      <c r="E63" s="5">
        <v>0</v>
      </c>
      <c r="F63" s="5">
        <v>100</v>
      </c>
      <c r="G63" s="5">
        <v>100</v>
      </c>
      <c r="H63" s="5">
        <v>100</v>
      </c>
      <c r="I63" s="5">
        <v>100</v>
      </c>
      <c r="J63" s="5">
        <v>100</v>
      </c>
      <c r="K63" s="15" t="s">
        <v>53</v>
      </c>
      <c r="L63" s="6">
        <v>3</v>
      </c>
      <c r="M63" s="6">
        <v>0</v>
      </c>
      <c r="N63" s="6">
        <v>0</v>
      </c>
      <c r="O63" s="5">
        <v>0</v>
      </c>
      <c r="P63" s="5">
        <v>0</v>
      </c>
      <c r="Q63" s="5">
        <v>32</v>
      </c>
      <c r="R63" s="5">
        <v>28</v>
      </c>
      <c r="S63" s="5">
        <v>0</v>
      </c>
      <c r="T63" s="5">
        <v>0</v>
      </c>
      <c r="U63" s="6">
        <v>0</v>
      </c>
      <c r="V63" s="5">
        <v>10</v>
      </c>
      <c r="W63" s="5">
        <v>5</v>
      </c>
      <c r="X63" s="16">
        <v>2000</v>
      </c>
      <c r="Y63" s="16">
        <v>7000</v>
      </c>
      <c r="Z63" s="16">
        <v>14000</v>
      </c>
      <c r="AA63" s="12" t="str">
        <f t="shared" si="11"/>
        <v>1/120</v>
      </c>
      <c r="AB63" s="12" t="str">
        <f t="shared" si="10"/>
        <v>0,100,100,100,100,100</v>
      </c>
      <c r="AC63" s="12">
        <f t="shared" si="12"/>
        <v>2</v>
      </c>
      <c r="AD63" s="12" t="str">
        <f t="shared" si="13"/>
        <v>2000/7000/14000</v>
      </c>
      <c r="AE63" s="12" t="str">
        <f t="shared" si="14"/>
        <v/>
      </c>
      <c r="AF63" s="12" t="str">
        <f t="shared" si="15"/>
        <v/>
      </c>
      <c r="AG63" s="12" t="str">
        <f t="shared" si="16"/>
        <v>2/3/</v>
      </c>
      <c r="AH63" s="12" t="str">
        <f t="shared" si="17"/>
        <v>32/28/</v>
      </c>
      <c r="AI63" s="12" t="str">
        <f t="shared" si="18"/>
        <v>10/5</v>
      </c>
    </row>
    <row r="64" spans="1:35" s="8" customFormat="1" ht="21.95" customHeight="1">
      <c r="A64" s="9">
        <v>62</v>
      </c>
      <c r="B64" s="17">
        <v>62</v>
      </c>
      <c r="C64" s="6">
        <v>26</v>
      </c>
      <c r="D64" s="6">
        <v>0</v>
      </c>
      <c r="E64" s="5">
        <v>100</v>
      </c>
      <c r="F64" s="5">
        <v>0</v>
      </c>
      <c r="G64" s="5">
        <v>80</v>
      </c>
      <c r="H64" s="5">
        <v>80</v>
      </c>
      <c r="I64" s="5">
        <v>80</v>
      </c>
      <c r="J64" s="5">
        <v>100</v>
      </c>
      <c r="K64" s="15" t="s">
        <v>53</v>
      </c>
      <c r="L64" s="6">
        <v>3</v>
      </c>
      <c r="M64" s="6">
        <v>0</v>
      </c>
      <c r="N64" s="6">
        <v>0</v>
      </c>
      <c r="O64" s="5">
        <v>0</v>
      </c>
      <c r="P64" s="5">
        <v>0</v>
      </c>
      <c r="Q64" s="5">
        <v>26</v>
      </c>
      <c r="R64" s="5">
        <v>34</v>
      </c>
      <c r="S64" s="5">
        <v>0</v>
      </c>
      <c r="T64" s="5">
        <v>0</v>
      </c>
      <c r="U64" s="6">
        <v>0</v>
      </c>
      <c r="V64" s="5">
        <v>10</v>
      </c>
      <c r="W64" s="5">
        <v>5</v>
      </c>
      <c r="X64" s="16">
        <v>2000</v>
      </c>
      <c r="Y64" s="16">
        <v>7000</v>
      </c>
      <c r="Z64" s="16">
        <v>14000</v>
      </c>
      <c r="AA64" s="12" t="str">
        <f t="shared" si="11"/>
        <v>0/26</v>
      </c>
      <c r="AB64" s="12" t="str">
        <f t="shared" si="10"/>
        <v>100,0,80,80,80,100</v>
      </c>
      <c r="AC64" s="12">
        <f t="shared" si="12"/>
        <v>2</v>
      </c>
      <c r="AD64" s="12" t="str">
        <f t="shared" si="13"/>
        <v>2000/7000/14000</v>
      </c>
      <c r="AE64" s="12" t="str">
        <f t="shared" si="14"/>
        <v/>
      </c>
      <c r="AF64" s="12" t="str">
        <f t="shared" si="15"/>
        <v/>
      </c>
      <c r="AG64" s="12" t="str">
        <f t="shared" si="16"/>
        <v>2/3/</v>
      </c>
      <c r="AH64" s="12" t="str">
        <f t="shared" si="17"/>
        <v>26/34/</v>
      </c>
      <c r="AI64" s="12" t="str">
        <f t="shared" si="18"/>
        <v>10/5</v>
      </c>
    </row>
    <row r="65" spans="1:35" s="8" customFormat="1" ht="21.95" customHeight="1">
      <c r="A65" s="9">
        <v>63</v>
      </c>
      <c r="B65" s="24">
        <v>63</v>
      </c>
      <c r="C65" s="6">
        <v>25</v>
      </c>
      <c r="D65" s="6">
        <v>0</v>
      </c>
      <c r="E65" s="5">
        <v>100</v>
      </c>
      <c r="F65" s="5">
        <v>100</v>
      </c>
      <c r="G65" s="5">
        <v>0</v>
      </c>
      <c r="H65" s="5">
        <v>80</v>
      </c>
      <c r="I65" s="5">
        <v>80</v>
      </c>
      <c r="J65" s="5">
        <v>100</v>
      </c>
      <c r="K65" s="15" t="s">
        <v>52</v>
      </c>
      <c r="L65" s="6">
        <v>3</v>
      </c>
      <c r="M65" s="6">
        <v>10</v>
      </c>
      <c r="N65" s="6">
        <v>0</v>
      </c>
      <c r="O65" s="5">
        <v>0</v>
      </c>
      <c r="P65" s="5">
        <v>0</v>
      </c>
      <c r="Q65" s="5">
        <v>0</v>
      </c>
      <c r="R65" s="5">
        <v>32</v>
      </c>
      <c r="S65" s="5">
        <v>32</v>
      </c>
      <c r="T65" s="5">
        <v>0</v>
      </c>
      <c r="U65" s="6">
        <v>0</v>
      </c>
      <c r="V65" s="5">
        <v>10</v>
      </c>
      <c r="W65" s="5">
        <v>5</v>
      </c>
      <c r="X65" s="16">
        <v>2000</v>
      </c>
      <c r="Y65" s="16">
        <v>7000</v>
      </c>
      <c r="Z65" s="16">
        <v>14000</v>
      </c>
      <c r="AA65" s="12" t="str">
        <f t="shared" si="11"/>
        <v>0/25</v>
      </c>
      <c r="AB65" s="12" t="str">
        <f t="shared" si="10"/>
        <v>100,100,0,80,80,100</v>
      </c>
      <c r="AC65" s="12">
        <f t="shared" si="12"/>
        <v>1</v>
      </c>
      <c r="AD65" s="12" t="str">
        <f t="shared" si="13"/>
        <v>2000/7000/14000</v>
      </c>
      <c r="AE65" s="12" t="str">
        <f t="shared" si="14"/>
        <v>0/</v>
      </c>
      <c r="AF65" s="12" t="str">
        <f t="shared" si="15"/>
        <v>10/</v>
      </c>
      <c r="AG65" s="12" t="str">
        <f t="shared" si="16"/>
        <v>3/4/</v>
      </c>
      <c r="AH65" s="12" t="str">
        <f t="shared" si="17"/>
        <v>32/32/</v>
      </c>
      <c r="AI65" s="12" t="str">
        <f t="shared" si="18"/>
        <v>10/5</v>
      </c>
    </row>
    <row r="66" spans="1:35" s="8" customFormat="1" ht="21.95" customHeight="1">
      <c r="A66" s="9">
        <v>64</v>
      </c>
      <c r="B66" s="17">
        <v>64</v>
      </c>
      <c r="C66" s="6">
        <v>34</v>
      </c>
      <c r="D66" s="6">
        <v>0</v>
      </c>
      <c r="E66" s="5">
        <v>100</v>
      </c>
      <c r="F66" s="5">
        <v>100</v>
      </c>
      <c r="G66" s="5">
        <v>0</v>
      </c>
      <c r="H66" s="5">
        <v>100</v>
      </c>
      <c r="I66" s="5">
        <v>100</v>
      </c>
      <c r="J66" s="5">
        <v>100</v>
      </c>
      <c r="K66" s="15" t="s">
        <v>52</v>
      </c>
      <c r="L66" s="6">
        <v>3</v>
      </c>
      <c r="M66" s="6">
        <v>4</v>
      </c>
      <c r="N66" s="6">
        <v>4</v>
      </c>
      <c r="O66" s="5">
        <v>0</v>
      </c>
      <c r="P66" s="5">
        <v>0</v>
      </c>
      <c r="Q66" s="5">
        <v>0</v>
      </c>
      <c r="R66" s="5">
        <v>0</v>
      </c>
      <c r="S66" s="5">
        <v>0</v>
      </c>
      <c r="T66" s="5">
        <v>0</v>
      </c>
      <c r="U66" s="6">
        <v>0</v>
      </c>
      <c r="V66" s="5">
        <v>10</v>
      </c>
      <c r="W66" s="5">
        <v>5</v>
      </c>
      <c r="X66" s="16">
        <v>2000</v>
      </c>
      <c r="Y66" s="16">
        <v>7000</v>
      </c>
      <c r="Z66" s="16">
        <v>14000</v>
      </c>
      <c r="AA66" s="12" t="str">
        <f t="shared" si="11"/>
        <v>0/34</v>
      </c>
      <c r="AB66" s="12" t="str">
        <f t="shared" si="10"/>
        <v>100,100,0,100,100,100</v>
      </c>
      <c r="AC66" s="12">
        <f t="shared" si="12"/>
        <v>1</v>
      </c>
      <c r="AD66" s="12" t="str">
        <f t="shared" si="13"/>
        <v>2000/7000/14000</v>
      </c>
      <c r="AE66" s="12" t="str">
        <f t="shared" si="14"/>
        <v>0/1/</v>
      </c>
      <c r="AF66" s="12" t="str">
        <f t="shared" si="15"/>
        <v>4/4/</v>
      </c>
      <c r="AG66" s="12" t="str">
        <f t="shared" si="16"/>
        <v/>
      </c>
      <c r="AH66" s="12" t="str">
        <f t="shared" si="17"/>
        <v/>
      </c>
      <c r="AI66" s="12" t="str">
        <f t="shared" si="18"/>
        <v>10/5</v>
      </c>
    </row>
    <row r="67" spans="1:35" s="8" customFormat="1" ht="21.95" customHeight="1">
      <c r="A67" s="9">
        <v>65</v>
      </c>
      <c r="B67" s="17">
        <v>65</v>
      </c>
      <c r="C67" s="6">
        <v>28</v>
      </c>
      <c r="D67" s="6">
        <v>0</v>
      </c>
      <c r="E67" s="5">
        <v>100</v>
      </c>
      <c r="F67" s="5">
        <v>100</v>
      </c>
      <c r="G67" s="5">
        <v>100</v>
      </c>
      <c r="H67" s="5">
        <v>100</v>
      </c>
      <c r="I67" s="5">
        <v>0</v>
      </c>
      <c r="J67" s="5">
        <v>100</v>
      </c>
      <c r="K67" s="15" t="s">
        <v>52</v>
      </c>
      <c r="L67" s="6">
        <v>3</v>
      </c>
      <c r="M67" s="6">
        <v>4</v>
      </c>
      <c r="N67" s="6">
        <v>2</v>
      </c>
      <c r="O67" s="5">
        <v>0</v>
      </c>
      <c r="P67" s="5">
        <v>0</v>
      </c>
      <c r="Q67" s="5">
        <v>0</v>
      </c>
      <c r="R67" s="5">
        <v>0</v>
      </c>
      <c r="S67" s="5">
        <v>0</v>
      </c>
      <c r="T67" s="5">
        <v>0</v>
      </c>
      <c r="U67" s="6">
        <v>0</v>
      </c>
      <c r="V67" s="5">
        <v>10</v>
      </c>
      <c r="W67" s="5">
        <v>5</v>
      </c>
      <c r="X67" s="16">
        <v>2000</v>
      </c>
      <c r="Y67" s="16">
        <v>7000</v>
      </c>
      <c r="Z67" s="16">
        <v>14000</v>
      </c>
      <c r="AA67" s="12" t="str">
        <f t="shared" ref="AA67:AA102" si="19">IF(C67=0,CONCATENATE("1/",D67),CONCATENATE("0/",C67))</f>
        <v>0/28</v>
      </c>
      <c r="AB67" s="12" t="str">
        <f t="shared" si="10"/>
        <v>100,100,100,100,0,100</v>
      </c>
      <c r="AC67" s="12">
        <f t="shared" ref="AC67:AC102" si="20">VLOOKUP(K67,$I$1005:$J$1012,2,FALSE)</f>
        <v>1</v>
      </c>
      <c r="AD67" s="12" t="str">
        <f t="shared" ref="AD67:AD102" si="21">CONCATENATE(X67,"/",Y67,"/",Z67)</f>
        <v>2000/7000/14000</v>
      </c>
      <c r="AE67" s="12" t="str">
        <f t="shared" ref="AE67:AE102" si="22">CONCATENATE(IF(M67=0,"","0/"),IF(N67=0,"","1/"))</f>
        <v>0/1/</v>
      </c>
      <c r="AF67" s="12" t="str">
        <f t="shared" ref="AF67:AF102" si="23">CONCATENATE(IF(M67=0,"",CONCATENATE(M67,"/")),IF(N67=0,"",CONCATENATE(N67,"/")))</f>
        <v>4/2/</v>
      </c>
      <c r="AG67" s="12" t="str">
        <f t="shared" ref="AG67:AG102" si="24">CONCATENATE(IF(O67=0,"","0/"),IF(P67=0,"","1/"),IF(Q67=0,"","2/"),IF(R67=0,"","3/"),IF(S67=0,"","4/"),IF(T67=0,"","5/"))</f>
        <v/>
      </c>
      <c r="AH67" s="12" t="str">
        <f t="shared" ref="AH67:AH102" si="25">CONCATENATE(IF(O67=0,"",CONCATENATE(O67,"/")),IF(P67=0,"",CONCATENATE(P67,"/")),IF(Q67=0,"",CONCATENATE(Q67,"/")),IF(R67=0,"",CONCATENATE(R67,"/")),IF(S67=0,"",CONCATENATE(S67,"/")),IF(T67=0,"",CONCATENATE(T67,"/")))</f>
        <v/>
      </c>
      <c r="AI67" s="12" t="str">
        <f t="shared" ref="AI67:AI102" si="26">CONCATENATE(V67,"/",W67)</f>
        <v>10/5</v>
      </c>
    </row>
    <row r="68" spans="1:35" s="8" customFormat="1" ht="21.95" customHeight="1">
      <c r="A68" s="9">
        <v>66</v>
      </c>
      <c r="B68" s="17">
        <v>66</v>
      </c>
      <c r="C68" s="6">
        <v>28</v>
      </c>
      <c r="D68" s="6">
        <v>0</v>
      </c>
      <c r="E68" s="5">
        <v>100</v>
      </c>
      <c r="F68" s="5">
        <v>100</v>
      </c>
      <c r="G68" s="5">
        <v>100</v>
      </c>
      <c r="H68" s="5">
        <v>100</v>
      </c>
      <c r="I68" s="5">
        <v>100</v>
      </c>
      <c r="J68" s="5">
        <v>0</v>
      </c>
      <c r="K68" s="15" t="s">
        <v>54</v>
      </c>
      <c r="L68" s="6">
        <v>3</v>
      </c>
      <c r="M68" s="6">
        <v>0</v>
      </c>
      <c r="N68" s="6">
        <v>0</v>
      </c>
      <c r="O68" s="5">
        <v>0</v>
      </c>
      <c r="P68" s="5">
        <v>0</v>
      </c>
      <c r="Q68" s="5">
        <v>0</v>
      </c>
      <c r="R68" s="5">
        <v>0</v>
      </c>
      <c r="S68" s="5">
        <v>0</v>
      </c>
      <c r="T68" s="5">
        <v>0</v>
      </c>
      <c r="U68" s="6">
        <v>0</v>
      </c>
      <c r="V68" s="5">
        <v>10</v>
      </c>
      <c r="W68" s="5">
        <v>5</v>
      </c>
      <c r="X68" s="16">
        <v>2000</v>
      </c>
      <c r="Y68" s="16">
        <v>7000</v>
      </c>
      <c r="Z68" s="16">
        <v>14000</v>
      </c>
      <c r="AA68" s="12" t="str">
        <f t="shared" si="19"/>
        <v>0/28</v>
      </c>
      <c r="AB68" s="12" t="str">
        <f t="shared" si="10"/>
        <v>100,100,100,100,100,0</v>
      </c>
      <c r="AC68" s="12">
        <f t="shared" si="20"/>
        <v>3</v>
      </c>
      <c r="AD68" s="12" t="str">
        <f t="shared" si="21"/>
        <v>2000/7000/14000</v>
      </c>
      <c r="AE68" s="12" t="str">
        <f t="shared" si="22"/>
        <v/>
      </c>
      <c r="AF68" s="12" t="str">
        <f t="shared" si="23"/>
        <v/>
      </c>
      <c r="AG68" s="12" t="str">
        <f t="shared" si="24"/>
        <v/>
      </c>
      <c r="AH68" s="12" t="str">
        <f t="shared" si="25"/>
        <v/>
      </c>
      <c r="AI68" s="12" t="str">
        <f t="shared" si="26"/>
        <v>10/5</v>
      </c>
    </row>
    <row r="69" spans="1:35" s="8" customFormat="1" ht="21.95" customHeight="1">
      <c r="A69" s="9">
        <v>67</v>
      </c>
      <c r="B69" s="17">
        <v>67</v>
      </c>
      <c r="C69" s="6">
        <v>35</v>
      </c>
      <c r="D69" s="6">
        <v>0</v>
      </c>
      <c r="E69" s="5">
        <v>0</v>
      </c>
      <c r="F69" s="5">
        <v>100</v>
      </c>
      <c r="G69" s="5">
        <v>100</v>
      </c>
      <c r="H69" s="5">
        <v>100</v>
      </c>
      <c r="I69" s="5">
        <v>100</v>
      </c>
      <c r="J69" s="5">
        <v>100</v>
      </c>
      <c r="K69" s="15" t="s">
        <v>54</v>
      </c>
      <c r="L69" s="6">
        <v>3</v>
      </c>
      <c r="M69" s="6">
        <v>0</v>
      </c>
      <c r="N69" s="6">
        <v>0</v>
      </c>
      <c r="O69" s="5">
        <v>0</v>
      </c>
      <c r="P69" s="5">
        <v>0</v>
      </c>
      <c r="Q69" s="5">
        <v>0</v>
      </c>
      <c r="R69" s="5">
        <v>0</v>
      </c>
      <c r="S69" s="5">
        <v>0</v>
      </c>
      <c r="T69" s="5">
        <v>0</v>
      </c>
      <c r="U69" s="6">
        <v>0</v>
      </c>
      <c r="V69" s="5">
        <v>10</v>
      </c>
      <c r="W69" s="5">
        <v>5</v>
      </c>
      <c r="X69" s="16">
        <v>2000</v>
      </c>
      <c r="Y69" s="16">
        <v>7000</v>
      </c>
      <c r="Z69" s="16">
        <v>14000</v>
      </c>
      <c r="AA69" s="12" t="str">
        <f t="shared" si="19"/>
        <v>0/35</v>
      </c>
      <c r="AB69" s="12" t="str">
        <f t="shared" si="10"/>
        <v>0,100,100,100,100,100</v>
      </c>
      <c r="AC69" s="12">
        <f t="shared" si="20"/>
        <v>3</v>
      </c>
      <c r="AD69" s="12" t="str">
        <f t="shared" si="21"/>
        <v>2000/7000/14000</v>
      </c>
      <c r="AE69" s="12" t="str">
        <f t="shared" si="22"/>
        <v/>
      </c>
      <c r="AF69" s="12" t="str">
        <f t="shared" si="23"/>
        <v/>
      </c>
      <c r="AG69" s="12" t="str">
        <f t="shared" si="24"/>
        <v/>
      </c>
      <c r="AH69" s="12" t="str">
        <f t="shared" si="25"/>
        <v/>
      </c>
      <c r="AI69" s="12" t="str">
        <f t="shared" si="26"/>
        <v>10/5</v>
      </c>
    </row>
    <row r="70" spans="1:35" s="8" customFormat="1" ht="21.95" customHeight="1">
      <c r="A70" s="9">
        <v>68</v>
      </c>
      <c r="B70" s="17">
        <v>68</v>
      </c>
      <c r="C70" s="6">
        <v>28</v>
      </c>
      <c r="D70" s="6">
        <v>0</v>
      </c>
      <c r="E70" s="5">
        <v>100</v>
      </c>
      <c r="F70" s="5">
        <v>0</v>
      </c>
      <c r="G70" s="5">
        <v>100</v>
      </c>
      <c r="H70" s="5">
        <v>100</v>
      </c>
      <c r="I70" s="5">
        <v>100</v>
      </c>
      <c r="J70" s="5">
        <v>100</v>
      </c>
      <c r="K70" s="15" t="s">
        <v>55</v>
      </c>
      <c r="L70" s="6">
        <v>3</v>
      </c>
      <c r="M70" s="6">
        <v>0</v>
      </c>
      <c r="N70" s="6">
        <v>0</v>
      </c>
      <c r="O70" s="5">
        <v>0</v>
      </c>
      <c r="P70" s="5">
        <v>0</v>
      </c>
      <c r="Q70" s="5">
        <v>0</v>
      </c>
      <c r="R70" s="5">
        <v>0</v>
      </c>
      <c r="S70" s="5">
        <v>0</v>
      </c>
      <c r="T70" s="5">
        <v>0</v>
      </c>
      <c r="U70" s="6">
        <v>5</v>
      </c>
      <c r="V70" s="5">
        <v>10</v>
      </c>
      <c r="W70" s="5">
        <v>5</v>
      </c>
      <c r="X70" s="16">
        <v>2000</v>
      </c>
      <c r="Y70" s="16">
        <v>7000</v>
      </c>
      <c r="Z70" s="16">
        <v>14000</v>
      </c>
      <c r="AA70" s="12" t="str">
        <f t="shared" si="19"/>
        <v>0/28</v>
      </c>
      <c r="AB70" s="12" t="str">
        <f t="shared" si="10"/>
        <v>100,0,100,100,100,100</v>
      </c>
      <c r="AC70" s="12">
        <f t="shared" si="20"/>
        <v>4</v>
      </c>
      <c r="AD70" s="12" t="str">
        <f t="shared" si="21"/>
        <v>2000/7000/14000</v>
      </c>
      <c r="AE70" s="12" t="str">
        <f t="shared" si="22"/>
        <v/>
      </c>
      <c r="AF70" s="12" t="str">
        <f t="shared" si="23"/>
        <v/>
      </c>
      <c r="AG70" s="12" t="str">
        <f t="shared" si="24"/>
        <v/>
      </c>
      <c r="AH70" s="12" t="str">
        <f t="shared" si="25"/>
        <v/>
      </c>
      <c r="AI70" s="12" t="str">
        <f t="shared" si="26"/>
        <v>10/5</v>
      </c>
    </row>
    <row r="71" spans="1:35" s="8" customFormat="1" ht="21.95" customHeight="1">
      <c r="A71" s="9">
        <v>69</v>
      </c>
      <c r="B71" s="17">
        <v>69</v>
      </c>
      <c r="C71" s="6">
        <v>26</v>
      </c>
      <c r="D71" s="6">
        <v>0</v>
      </c>
      <c r="E71" s="5">
        <v>100</v>
      </c>
      <c r="F71" s="5">
        <v>100</v>
      </c>
      <c r="G71" s="5">
        <v>0</v>
      </c>
      <c r="H71" s="5">
        <v>100</v>
      </c>
      <c r="I71" s="5">
        <v>100</v>
      </c>
      <c r="J71" s="5">
        <v>100</v>
      </c>
      <c r="K71" s="15" t="s">
        <v>55</v>
      </c>
      <c r="L71" s="6">
        <v>3</v>
      </c>
      <c r="M71" s="6">
        <v>0</v>
      </c>
      <c r="N71" s="6">
        <v>0</v>
      </c>
      <c r="O71" s="5">
        <v>0</v>
      </c>
      <c r="P71" s="5">
        <v>0</v>
      </c>
      <c r="Q71" s="5">
        <v>0</v>
      </c>
      <c r="R71" s="5">
        <v>0</v>
      </c>
      <c r="S71" s="5">
        <v>0</v>
      </c>
      <c r="T71" s="5">
        <v>0</v>
      </c>
      <c r="U71" s="6">
        <v>5</v>
      </c>
      <c r="V71" s="5">
        <v>10</v>
      </c>
      <c r="W71" s="5">
        <v>5</v>
      </c>
      <c r="X71" s="16">
        <v>2000</v>
      </c>
      <c r="Y71" s="16">
        <v>7000</v>
      </c>
      <c r="Z71" s="16">
        <v>14000</v>
      </c>
      <c r="AA71" s="12" t="str">
        <f t="shared" si="19"/>
        <v>0/26</v>
      </c>
      <c r="AB71" s="12" t="str">
        <f t="shared" si="10"/>
        <v>100,100,0,100,100,100</v>
      </c>
      <c r="AC71" s="12">
        <f t="shared" si="20"/>
        <v>4</v>
      </c>
      <c r="AD71" s="12" t="str">
        <f t="shared" si="21"/>
        <v>2000/7000/14000</v>
      </c>
      <c r="AE71" s="12" t="str">
        <f t="shared" si="22"/>
        <v/>
      </c>
      <c r="AF71" s="12" t="str">
        <f t="shared" si="23"/>
        <v/>
      </c>
      <c r="AG71" s="12" t="str">
        <f t="shared" si="24"/>
        <v/>
      </c>
      <c r="AH71" s="12" t="str">
        <f t="shared" si="25"/>
        <v/>
      </c>
      <c r="AI71" s="12" t="str">
        <f t="shared" si="26"/>
        <v>10/5</v>
      </c>
    </row>
    <row r="72" spans="1:35" s="8" customFormat="1" ht="21.95" customHeight="1">
      <c r="A72" s="9">
        <v>70</v>
      </c>
      <c r="B72" s="17">
        <v>70</v>
      </c>
      <c r="C72" s="6">
        <v>30</v>
      </c>
      <c r="D72" s="6">
        <v>0</v>
      </c>
      <c r="E72" s="5">
        <v>100</v>
      </c>
      <c r="F72" s="5">
        <v>80</v>
      </c>
      <c r="G72" s="5">
        <v>100</v>
      </c>
      <c r="H72" s="5">
        <v>0</v>
      </c>
      <c r="I72" s="5">
        <v>80</v>
      </c>
      <c r="J72" s="5">
        <v>100</v>
      </c>
      <c r="K72" s="15" t="s">
        <v>53</v>
      </c>
      <c r="L72" s="6">
        <v>3</v>
      </c>
      <c r="M72" s="6">
        <v>0</v>
      </c>
      <c r="N72" s="6">
        <v>0</v>
      </c>
      <c r="O72" s="5">
        <v>0</v>
      </c>
      <c r="P72" s="5">
        <v>35</v>
      </c>
      <c r="Q72" s="5">
        <v>0</v>
      </c>
      <c r="R72" s="5">
        <v>0</v>
      </c>
      <c r="S72" s="5">
        <v>30</v>
      </c>
      <c r="T72" s="5">
        <v>0</v>
      </c>
      <c r="U72" s="6">
        <v>0</v>
      </c>
      <c r="V72" s="5">
        <v>10</v>
      </c>
      <c r="W72" s="5">
        <v>5</v>
      </c>
      <c r="X72" s="16">
        <v>2000</v>
      </c>
      <c r="Y72" s="16">
        <v>7000</v>
      </c>
      <c r="Z72" s="16">
        <v>14000</v>
      </c>
      <c r="AA72" s="12" t="str">
        <f t="shared" si="19"/>
        <v>0/30</v>
      </c>
      <c r="AB72" s="12" t="str">
        <f t="shared" si="10"/>
        <v>100,80,100,0,80,100</v>
      </c>
      <c r="AC72" s="12">
        <f t="shared" si="20"/>
        <v>2</v>
      </c>
      <c r="AD72" s="12" t="str">
        <f t="shared" si="21"/>
        <v>2000/7000/14000</v>
      </c>
      <c r="AE72" s="12" t="str">
        <f t="shared" si="22"/>
        <v/>
      </c>
      <c r="AF72" s="12" t="str">
        <f t="shared" si="23"/>
        <v/>
      </c>
      <c r="AG72" s="12" t="str">
        <f t="shared" si="24"/>
        <v>1/4/</v>
      </c>
      <c r="AH72" s="12" t="str">
        <f t="shared" si="25"/>
        <v>35/30/</v>
      </c>
      <c r="AI72" s="12" t="str">
        <f t="shared" si="26"/>
        <v>10/5</v>
      </c>
    </row>
    <row r="73" spans="1:35" s="8" customFormat="1" ht="21.95" customHeight="1">
      <c r="A73" s="9">
        <v>71</v>
      </c>
      <c r="B73" s="17">
        <v>71</v>
      </c>
      <c r="C73" s="6">
        <v>0</v>
      </c>
      <c r="D73" s="6">
        <v>120</v>
      </c>
      <c r="E73" s="5">
        <v>100</v>
      </c>
      <c r="F73" s="5">
        <v>0</v>
      </c>
      <c r="G73" s="5">
        <v>100</v>
      </c>
      <c r="H73" s="5">
        <v>100</v>
      </c>
      <c r="I73" s="5">
        <v>0</v>
      </c>
      <c r="J73" s="5">
        <v>100</v>
      </c>
      <c r="K73" s="15" t="s">
        <v>53</v>
      </c>
      <c r="L73" s="6">
        <v>3</v>
      </c>
      <c r="M73" s="6">
        <v>0</v>
      </c>
      <c r="N73" s="6">
        <v>0</v>
      </c>
      <c r="O73" s="5">
        <v>0</v>
      </c>
      <c r="P73" s="5">
        <v>0</v>
      </c>
      <c r="Q73" s="5">
        <v>30</v>
      </c>
      <c r="R73" s="5">
        <v>0</v>
      </c>
      <c r="S73" s="5">
        <v>0</v>
      </c>
      <c r="T73" s="5">
        <v>28</v>
      </c>
      <c r="U73" s="6">
        <v>0</v>
      </c>
      <c r="V73" s="5">
        <v>10</v>
      </c>
      <c r="W73" s="5">
        <v>5</v>
      </c>
      <c r="X73" s="16">
        <v>2000</v>
      </c>
      <c r="Y73" s="16">
        <v>7000</v>
      </c>
      <c r="Z73" s="16">
        <v>14000</v>
      </c>
      <c r="AA73" s="12" t="str">
        <f t="shared" si="19"/>
        <v>1/120</v>
      </c>
      <c r="AB73" s="12" t="str">
        <f t="shared" si="10"/>
        <v>100,0,100,100,0,100</v>
      </c>
      <c r="AC73" s="12">
        <f t="shared" si="20"/>
        <v>2</v>
      </c>
      <c r="AD73" s="12" t="str">
        <f t="shared" si="21"/>
        <v>2000/7000/14000</v>
      </c>
      <c r="AE73" s="12" t="str">
        <f t="shared" si="22"/>
        <v/>
      </c>
      <c r="AF73" s="12" t="str">
        <f t="shared" si="23"/>
        <v/>
      </c>
      <c r="AG73" s="12" t="str">
        <f t="shared" si="24"/>
        <v>2/5/</v>
      </c>
      <c r="AH73" s="12" t="str">
        <f t="shared" si="25"/>
        <v>30/28/</v>
      </c>
      <c r="AI73" s="12" t="str">
        <f t="shared" si="26"/>
        <v>10/5</v>
      </c>
    </row>
    <row r="74" spans="1:35" s="8" customFormat="1" ht="21.95" customHeight="1">
      <c r="A74" s="9">
        <v>72</v>
      </c>
      <c r="B74" s="17">
        <v>72</v>
      </c>
      <c r="C74" s="6">
        <v>0</v>
      </c>
      <c r="D74" s="6">
        <v>120</v>
      </c>
      <c r="E74" s="5">
        <v>80</v>
      </c>
      <c r="F74" s="5">
        <v>80</v>
      </c>
      <c r="G74" s="5">
        <v>100</v>
      </c>
      <c r="H74" s="5">
        <v>100</v>
      </c>
      <c r="I74" s="5">
        <v>100</v>
      </c>
      <c r="J74" s="5">
        <v>0</v>
      </c>
      <c r="K74" s="15" t="s">
        <v>53</v>
      </c>
      <c r="L74" s="6">
        <v>3</v>
      </c>
      <c r="M74" s="6">
        <v>0</v>
      </c>
      <c r="N74" s="6">
        <v>0</v>
      </c>
      <c r="O74" s="5">
        <v>26</v>
      </c>
      <c r="P74" s="5">
        <v>34</v>
      </c>
      <c r="Q74" s="5">
        <v>0</v>
      </c>
      <c r="R74" s="5">
        <v>0</v>
      </c>
      <c r="S74" s="5">
        <v>0</v>
      </c>
      <c r="T74" s="5">
        <v>0</v>
      </c>
      <c r="U74" s="6">
        <v>0</v>
      </c>
      <c r="V74" s="5">
        <v>10</v>
      </c>
      <c r="W74" s="5">
        <v>5</v>
      </c>
      <c r="X74" s="16">
        <v>2000</v>
      </c>
      <c r="Y74" s="16">
        <v>7000</v>
      </c>
      <c r="Z74" s="16">
        <v>14000</v>
      </c>
      <c r="AA74" s="12" t="str">
        <f t="shared" si="19"/>
        <v>1/120</v>
      </c>
      <c r="AB74" s="12" t="str">
        <f t="shared" si="10"/>
        <v>80,80,100,100,100,0</v>
      </c>
      <c r="AC74" s="12">
        <f t="shared" si="20"/>
        <v>2</v>
      </c>
      <c r="AD74" s="12" t="str">
        <f t="shared" si="21"/>
        <v>2000/7000/14000</v>
      </c>
      <c r="AE74" s="12" t="str">
        <f t="shared" si="22"/>
        <v/>
      </c>
      <c r="AF74" s="12" t="str">
        <f t="shared" si="23"/>
        <v/>
      </c>
      <c r="AG74" s="12" t="str">
        <f t="shared" si="24"/>
        <v>0/1/</v>
      </c>
      <c r="AH74" s="12" t="str">
        <f t="shared" si="25"/>
        <v>26/34/</v>
      </c>
      <c r="AI74" s="12" t="str">
        <f t="shared" si="26"/>
        <v>10/5</v>
      </c>
    </row>
    <row r="75" spans="1:35" s="8" customFormat="1" ht="21.95" customHeight="1">
      <c r="A75" s="9">
        <v>73</v>
      </c>
      <c r="B75" s="17">
        <v>73</v>
      </c>
      <c r="C75" s="6">
        <v>30</v>
      </c>
      <c r="D75" s="6">
        <v>0</v>
      </c>
      <c r="E75" s="5">
        <v>0</v>
      </c>
      <c r="F75" s="5">
        <v>80</v>
      </c>
      <c r="G75" s="5">
        <v>80</v>
      </c>
      <c r="H75" s="5">
        <v>100</v>
      </c>
      <c r="I75" s="5">
        <v>100</v>
      </c>
      <c r="J75" s="5">
        <v>100</v>
      </c>
      <c r="K75" s="15" t="s">
        <v>53</v>
      </c>
      <c r="L75" s="6">
        <v>3</v>
      </c>
      <c r="M75" s="6">
        <v>0</v>
      </c>
      <c r="N75" s="6">
        <v>0</v>
      </c>
      <c r="O75" s="5">
        <v>0</v>
      </c>
      <c r="P75" s="5">
        <v>28</v>
      </c>
      <c r="Q75" s="5">
        <v>34</v>
      </c>
      <c r="R75" s="5">
        <v>0</v>
      </c>
      <c r="S75" s="5">
        <v>0</v>
      </c>
      <c r="T75" s="5">
        <v>0</v>
      </c>
      <c r="U75" s="6">
        <v>0</v>
      </c>
      <c r="V75" s="5">
        <v>10</v>
      </c>
      <c r="W75" s="5">
        <v>5</v>
      </c>
      <c r="X75" s="16">
        <v>2000</v>
      </c>
      <c r="Y75" s="16">
        <v>7000</v>
      </c>
      <c r="Z75" s="16">
        <v>14000</v>
      </c>
      <c r="AA75" s="12" t="str">
        <f t="shared" si="19"/>
        <v>0/30</v>
      </c>
      <c r="AB75" s="12" t="str">
        <f t="shared" ref="AB75:AB102" si="27">CONCATENATE(E75,",",F75,",",G75,",",H75,",",I75,",",J75)</f>
        <v>0,80,80,100,100,100</v>
      </c>
      <c r="AC75" s="12">
        <f t="shared" si="20"/>
        <v>2</v>
      </c>
      <c r="AD75" s="12" t="str">
        <f t="shared" si="21"/>
        <v>2000/7000/14000</v>
      </c>
      <c r="AE75" s="12" t="str">
        <f t="shared" si="22"/>
        <v/>
      </c>
      <c r="AF75" s="12" t="str">
        <f t="shared" si="23"/>
        <v/>
      </c>
      <c r="AG75" s="12" t="str">
        <f t="shared" si="24"/>
        <v>1/2/</v>
      </c>
      <c r="AH75" s="12" t="str">
        <f t="shared" si="25"/>
        <v>28/34/</v>
      </c>
      <c r="AI75" s="12" t="str">
        <f t="shared" si="26"/>
        <v>10/5</v>
      </c>
    </row>
    <row r="76" spans="1:35" s="8" customFormat="1" ht="21.95" customHeight="1">
      <c r="A76" s="9">
        <v>74</v>
      </c>
      <c r="B76" s="17">
        <v>74</v>
      </c>
      <c r="C76" s="6">
        <v>30</v>
      </c>
      <c r="D76" s="6">
        <v>0</v>
      </c>
      <c r="E76" s="5">
        <v>100</v>
      </c>
      <c r="F76" s="5">
        <v>0</v>
      </c>
      <c r="G76" s="5">
        <v>100</v>
      </c>
      <c r="H76" s="5">
        <v>100</v>
      </c>
      <c r="I76" s="5">
        <v>100</v>
      </c>
      <c r="J76" s="5">
        <v>100</v>
      </c>
      <c r="K76" s="15" t="s">
        <v>52</v>
      </c>
      <c r="L76" s="6">
        <v>3</v>
      </c>
      <c r="M76" s="6">
        <v>6</v>
      </c>
      <c r="N76" s="6">
        <v>0</v>
      </c>
      <c r="O76" s="5">
        <v>0</v>
      </c>
      <c r="P76" s="5">
        <v>0</v>
      </c>
      <c r="Q76" s="5">
        <v>0</v>
      </c>
      <c r="R76" s="5">
        <v>0</v>
      </c>
      <c r="S76" s="5">
        <v>0</v>
      </c>
      <c r="T76" s="5">
        <v>0</v>
      </c>
      <c r="U76" s="6">
        <v>0</v>
      </c>
      <c r="V76" s="5">
        <v>10</v>
      </c>
      <c r="W76" s="5">
        <v>5</v>
      </c>
      <c r="X76" s="16">
        <v>2000</v>
      </c>
      <c r="Y76" s="16">
        <v>7000</v>
      </c>
      <c r="Z76" s="16">
        <v>14000</v>
      </c>
      <c r="AA76" s="12" t="str">
        <f t="shared" si="19"/>
        <v>0/30</v>
      </c>
      <c r="AB76" s="12" t="str">
        <f t="shared" si="27"/>
        <v>100,0,100,100,100,100</v>
      </c>
      <c r="AC76" s="12">
        <f t="shared" si="20"/>
        <v>1</v>
      </c>
      <c r="AD76" s="12" t="str">
        <f t="shared" si="21"/>
        <v>2000/7000/14000</v>
      </c>
      <c r="AE76" s="12" t="str">
        <f t="shared" si="22"/>
        <v>0/</v>
      </c>
      <c r="AF76" s="12" t="str">
        <f t="shared" si="23"/>
        <v>6/</v>
      </c>
      <c r="AG76" s="12" t="str">
        <f t="shared" si="24"/>
        <v/>
      </c>
      <c r="AH76" s="12" t="str">
        <f t="shared" si="25"/>
        <v/>
      </c>
      <c r="AI76" s="12" t="str">
        <f t="shared" si="26"/>
        <v>10/5</v>
      </c>
    </row>
    <row r="77" spans="1:35" s="8" customFormat="1" ht="21.95" customHeight="1">
      <c r="A77" s="9">
        <v>75</v>
      </c>
      <c r="B77" s="17">
        <v>75</v>
      </c>
      <c r="C77" s="6">
        <v>30</v>
      </c>
      <c r="D77" s="6">
        <v>0</v>
      </c>
      <c r="E77" s="5">
        <v>100</v>
      </c>
      <c r="F77" s="5">
        <v>0</v>
      </c>
      <c r="G77" s="5">
        <v>80</v>
      </c>
      <c r="H77" s="5">
        <v>80</v>
      </c>
      <c r="I77" s="5">
        <v>80</v>
      </c>
      <c r="J77" s="5">
        <v>100</v>
      </c>
      <c r="K77" s="17" t="s">
        <v>52</v>
      </c>
      <c r="L77" s="6">
        <v>3</v>
      </c>
      <c r="M77" s="6">
        <v>0</v>
      </c>
      <c r="N77" s="6">
        <v>6</v>
      </c>
      <c r="O77" s="5">
        <v>0</v>
      </c>
      <c r="P77" s="5">
        <v>0</v>
      </c>
      <c r="Q77" s="5">
        <v>0</v>
      </c>
      <c r="R77" s="5">
        <v>0</v>
      </c>
      <c r="S77" s="5">
        <v>0</v>
      </c>
      <c r="T77" s="5">
        <v>0</v>
      </c>
      <c r="U77" s="6">
        <v>0</v>
      </c>
      <c r="V77" s="5">
        <v>10</v>
      </c>
      <c r="W77" s="5">
        <v>5</v>
      </c>
      <c r="X77" s="16">
        <v>2000</v>
      </c>
      <c r="Y77" s="16">
        <v>7000</v>
      </c>
      <c r="Z77" s="16">
        <v>14000</v>
      </c>
      <c r="AA77" s="12" t="str">
        <f t="shared" si="19"/>
        <v>0/30</v>
      </c>
      <c r="AB77" s="12" t="str">
        <f t="shared" si="27"/>
        <v>100,0,80,80,80,100</v>
      </c>
      <c r="AC77" s="12">
        <f t="shared" si="20"/>
        <v>1</v>
      </c>
      <c r="AD77" s="12" t="str">
        <f t="shared" si="21"/>
        <v>2000/7000/14000</v>
      </c>
      <c r="AE77" s="12" t="str">
        <f t="shared" si="22"/>
        <v>1/</v>
      </c>
      <c r="AF77" s="12" t="str">
        <f t="shared" si="23"/>
        <v>6/</v>
      </c>
      <c r="AG77" s="12" t="str">
        <f t="shared" si="24"/>
        <v/>
      </c>
      <c r="AH77" s="12" t="str">
        <f t="shared" si="25"/>
        <v/>
      </c>
      <c r="AI77" s="12" t="str">
        <f t="shared" si="26"/>
        <v>10/5</v>
      </c>
    </row>
    <row r="78" spans="1:35" s="8" customFormat="1" ht="21.95" customHeight="1">
      <c r="A78" s="9">
        <v>76</v>
      </c>
      <c r="B78" s="17">
        <v>76</v>
      </c>
      <c r="C78" s="6">
        <v>30</v>
      </c>
      <c r="D78" s="6">
        <v>0</v>
      </c>
      <c r="E78" s="5">
        <v>100</v>
      </c>
      <c r="F78" s="5">
        <v>50</v>
      </c>
      <c r="G78" s="5">
        <v>50</v>
      </c>
      <c r="H78" s="5">
        <v>50</v>
      </c>
      <c r="I78" s="5">
        <v>100</v>
      </c>
      <c r="J78" s="5">
        <v>100</v>
      </c>
      <c r="K78" s="15" t="s">
        <v>54</v>
      </c>
      <c r="L78" s="6">
        <v>3</v>
      </c>
      <c r="M78" s="6">
        <v>0</v>
      </c>
      <c r="N78" s="6">
        <v>0</v>
      </c>
      <c r="O78" s="5">
        <v>0</v>
      </c>
      <c r="P78" s="5">
        <v>0</v>
      </c>
      <c r="Q78" s="5">
        <v>0</v>
      </c>
      <c r="R78" s="5">
        <v>0</v>
      </c>
      <c r="S78" s="5">
        <v>0</v>
      </c>
      <c r="T78" s="5">
        <v>0</v>
      </c>
      <c r="U78" s="6">
        <v>0</v>
      </c>
      <c r="V78" s="5">
        <v>10</v>
      </c>
      <c r="W78" s="5">
        <v>5</v>
      </c>
      <c r="X78" s="16">
        <v>2000</v>
      </c>
      <c r="Y78" s="16">
        <v>7000</v>
      </c>
      <c r="Z78" s="16">
        <v>14000</v>
      </c>
      <c r="AA78" s="12" t="str">
        <f t="shared" si="19"/>
        <v>0/30</v>
      </c>
      <c r="AB78" s="12" t="str">
        <f t="shared" si="27"/>
        <v>100,50,50,50,100,100</v>
      </c>
      <c r="AC78" s="12">
        <f t="shared" si="20"/>
        <v>3</v>
      </c>
      <c r="AD78" s="12" t="str">
        <f t="shared" si="21"/>
        <v>2000/7000/14000</v>
      </c>
      <c r="AE78" s="12" t="str">
        <f t="shared" si="22"/>
        <v/>
      </c>
      <c r="AF78" s="12" t="str">
        <f t="shared" si="23"/>
        <v/>
      </c>
      <c r="AG78" s="12" t="str">
        <f t="shared" si="24"/>
        <v/>
      </c>
      <c r="AH78" s="12" t="str">
        <f t="shared" si="25"/>
        <v/>
      </c>
      <c r="AI78" s="12" t="str">
        <f t="shared" si="26"/>
        <v>10/5</v>
      </c>
    </row>
    <row r="79" spans="1:35" s="8" customFormat="1" ht="21.95" customHeight="1">
      <c r="A79" s="9">
        <v>77</v>
      </c>
      <c r="B79" s="17">
        <v>77</v>
      </c>
      <c r="C79" s="6">
        <v>30</v>
      </c>
      <c r="D79" s="6">
        <v>0</v>
      </c>
      <c r="E79" s="5">
        <v>100</v>
      </c>
      <c r="F79" s="5">
        <v>80</v>
      </c>
      <c r="G79" s="5">
        <v>100</v>
      </c>
      <c r="H79" s="5">
        <v>0</v>
      </c>
      <c r="I79" s="5">
        <v>80</v>
      </c>
      <c r="J79" s="5">
        <v>100</v>
      </c>
      <c r="K79" s="15" t="s">
        <v>54</v>
      </c>
      <c r="L79" s="6">
        <v>3</v>
      </c>
      <c r="M79" s="6">
        <v>0</v>
      </c>
      <c r="N79" s="6">
        <v>0</v>
      </c>
      <c r="O79" s="5">
        <v>0</v>
      </c>
      <c r="P79" s="5">
        <v>0</v>
      </c>
      <c r="Q79" s="5">
        <v>0</v>
      </c>
      <c r="R79" s="5">
        <v>0</v>
      </c>
      <c r="S79" s="5">
        <v>0</v>
      </c>
      <c r="T79" s="5">
        <v>0</v>
      </c>
      <c r="U79" s="6">
        <v>0</v>
      </c>
      <c r="V79" s="5">
        <v>10</v>
      </c>
      <c r="W79" s="5">
        <v>5</v>
      </c>
      <c r="X79" s="16">
        <v>2000</v>
      </c>
      <c r="Y79" s="16">
        <v>7000</v>
      </c>
      <c r="Z79" s="16">
        <v>14000</v>
      </c>
      <c r="AA79" s="12" t="str">
        <f t="shared" si="19"/>
        <v>0/30</v>
      </c>
      <c r="AB79" s="12" t="str">
        <f t="shared" si="27"/>
        <v>100,80,100,0,80,100</v>
      </c>
      <c r="AC79" s="12">
        <f t="shared" si="20"/>
        <v>3</v>
      </c>
      <c r="AD79" s="12" t="str">
        <f t="shared" si="21"/>
        <v>2000/7000/14000</v>
      </c>
      <c r="AE79" s="12" t="str">
        <f t="shared" si="22"/>
        <v/>
      </c>
      <c r="AF79" s="12" t="str">
        <f t="shared" si="23"/>
        <v/>
      </c>
      <c r="AG79" s="12" t="str">
        <f t="shared" si="24"/>
        <v/>
      </c>
      <c r="AH79" s="12" t="str">
        <f t="shared" si="25"/>
        <v/>
      </c>
      <c r="AI79" s="12" t="str">
        <f t="shared" si="26"/>
        <v>10/5</v>
      </c>
    </row>
    <row r="80" spans="1:35" s="8" customFormat="1" ht="21.95" customHeight="1">
      <c r="A80" s="9">
        <v>78</v>
      </c>
      <c r="B80" s="17">
        <v>78</v>
      </c>
      <c r="C80" s="6">
        <v>30</v>
      </c>
      <c r="D80" s="6">
        <v>0</v>
      </c>
      <c r="E80" s="5">
        <v>80</v>
      </c>
      <c r="F80" s="5">
        <v>100</v>
      </c>
      <c r="G80" s="5">
        <v>100</v>
      </c>
      <c r="H80" s="5">
        <v>80</v>
      </c>
      <c r="I80" s="5">
        <v>100</v>
      </c>
      <c r="J80" s="5">
        <v>0</v>
      </c>
      <c r="K80" s="15" t="s">
        <v>55</v>
      </c>
      <c r="L80" s="6">
        <v>3</v>
      </c>
      <c r="M80" s="6">
        <v>0</v>
      </c>
      <c r="N80" s="6">
        <v>0</v>
      </c>
      <c r="O80" s="5">
        <v>0</v>
      </c>
      <c r="P80" s="5">
        <v>0</v>
      </c>
      <c r="Q80" s="5">
        <v>0</v>
      </c>
      <c r="R80" s="5">
        <v>0</v>
      </c>
      <c r="S80" s="5">
        <v>0</v>
      </c>
      <c r="T80" s="5">
        <v>0</v>
      </c>
      <c r="U80" s="6">
        <v>5</v>
      </c>
      <c r="V80" s="5">
        <v>10</v>
      </c>
      <c r="W80" s="5">
        <v>5</v>
      </c>
      <c r="X80" s="16">
        <v>2000</v>
      </c>
      <c r="Y80" s="16">
        <v>7000</v>
      </c>
      <c r="Z80" s="16">
        <v>14000</v>
      </c>
      <c r="AA80" s="12" t="str">
        <f t="shared" si="19"/>
        <v>0/30</v>
      </c>
      <c r="AB80" s="12" t="str">
        <f t="shared" si="27"/>
        <v>80,100,100,80,100,0</v>
      </c>
      <c r="AC80" s="12">
        <f t="shared" si="20"/>
        <v>4</v>
      </c>
      <c r="AD80" s="12" t="str">
        <f t="shared" si="21"/>
        <v>2000/7000/14000</v>
      </c>
      <c r="AE80" s="12" t="str">
        <f t="shared" si="22"/>
        <v/>
      </c>
      <c r="AF80" s="12" t="str">
        <f t="shared" si="23"/>
        <v/>
      </c>
      <c r="AG80" s="12" t="str">
        <f t="shared" si="24"/>
        <v/>
      </c>
      <c r="AH80" s="12" t="str">
        <f t="shared" si="25"/>
        <v/>
      </c>
      <c r="AI80" s="12" t="str">
        <f t="shared" si="26"/>
        <v>10/5</v>
      </c>
    </row>
    <row r="81" spans="1:35" s="8" customFormat="1" ht="21.95" customHeight="1">
      <c r="A81" s="9">
        <v>79</v>
      </c>
      <c r="B81" s="17">
        <v>79</v>
      </c>
      <c r="C81" s="6">
        <v>30</v>
      </c>
      <c r="D81" s="6">
        <v>0</v>
      </c>
      <c r="E81" s="5">
        <v>0</v>
      </c>
      <c r="F81" s="5">
        <v>100</v>
      </c>
      <c r="G81" s="5">
        <v>80</v>
      </c>
      <c r="H81" s="5">
        <v>80</v>
      </c>
      <c r="I81" s="5">
        <v>100</v>
      </c>
      <c r="J81" s="5">
        <v>100</v>
      </c>
      <c r="K81" s="15" t="s">
        <v>55</v>
      </c>
      <c r="L81" s="6">
        <v>3</v>
      </c>
      <c r="M81" s="6">
        <v>0</v>
      </c>
      <c r="N81" s="6">
        <v>0</v>
      </c>
      <c r="O81" s="5">
        <v>0</v>
      </c>
      <c r="P81" s="5">
        <v>0</v>
      </c>
      <c r="Q81" s="5">
        <v>0</v>
      </c>
      <c r="R81" s="5">
        <v>0</v>
      </c>
      <c r="S81" s="5">
        <v>0</v>
      </c>
      <c r="T81" s="5">
        <v>0</v>
      </c>
      <c r="U81" s="6">
        <v>5</v>
      </c>
      <c r="V81" s="5">
        <v>10</v>
      </c>
      <c r="W81" s="5">
        <v>5</v>
      </c>
      <c r="X81" s="16">
        <v>2000</v>
      </c>
      <c r="Y81" s="16">
        <v>7000</v>
      </c>
      <c r="Z81" s="16">
        <v>14000</v>
      </c>
      <c r="AA81" s="12" t="str">
        <f t="shared" si="19"/>
        <v>0/30</v>
      </c>
      <c r="AB81" s="12" t="str">
        <f t="shared" si="27"/>
        <v>0,100,80,80,100,100</v>
      </c>
      <c r="AC81" s="12">
        <f t="shared" si="20"/>
        <v>4</v>
      </c>
      <c r="AD81" s="12" t="str">
        <f t="shared" si="21"/>
        <v>2000/7000/14000</v>
      </c>
      <c r="AE81" s="12" t="str">
        <f t="shared" si="22"/>
        <v/>
      </c>
      <c r="AF81" s="12" t="str">
        <f t="shared" si="23"/>
        <v/>
      </c>
      <c r="AG81" s="12" t="str">
        <f t="shared" si="24"/>
        <v/>
      </c>
      <c r="AH81" s="12" t="str">
        <f t="shared" si="25"/>
        <v/>
      </c>
      <c r="AI81" s="12" t="str">
        <f t="shared" si="26"/>
        <v>10/5</v>
      </c>
    </row>
    <row r="82" spans="1:35" s="8" customFormat="1" ht="21.95" customHeight="1">
      <c r="A82" s="9">
        <v>80</v>
      </c>
      <c r="B82" s="17">
        <v>80</v>
      </c>
      <c r="C82" s="6">
        <v>0</v>
      </c>
      <c r="D82" s="6">
        <v>120</v>
      </c>
      <c r="E82" s="5">
        <v>80</v>
      </c>
      <c r="F82" s="5">
        <v>0</v>
      </c>
      <c r="G82" s="5">
        <v>100</v>
      </c>
      <c r="H82" s="5">
        <v>100</v>
      </c>
      <c r="I82" s="5">
        <v>100</v>
      </c>
      <c r="J82" s="5">
        <v>80</v>
      </c>
      <c r="K82" s="15" t="s">
        <v>53</v>
      </c>
      <c r="L82" s="6">
        <v>3</v>
      </c>
      <c r="M82" s="6">
        <v>0</v>
      </c>
      <c r="N82" s="6">
        <v>0</v>
      </c>
      <c r="O82" s="5">
        <v>0</v>
      </c>
      <c r="P82" s="5">
        <v>0</v>
      </c>
      <c r="Q82" s="5">
        <v>32</v>
      </c>
      <c r="R82" s="5">
        <v>36</v>
      </c>
      <c r="S82" s="5">
        <v>0</v>
      </c>
      <c r="T82" s="5">
        <v>0</v>
      </c>
      <c r="U82" s="6">
        <v>0</v>
      </c>
      <c r="V82" s="5">
        <v>10</v>
      </c>
      <c r="W82" s="5">
        <v>5</v>
      </c>
      <c r="X82" s="16">
        <v>2000</v>
      </c>
      <c r="Y82" s="16">
        <v>7000</v>
      </c>
      <c r="Z82" s="16">
        <v>14000</v>
      </c>
      <c r="AA82" s="12" t="str">
        <f t="shared" si="19"/>
        <v>1/120</v>
      </c>
      <c r="AB82" s="12" t="str">
        <f t="shared" si="27"/>
        <v>80,0,100,100,100,80</v>
      </c>
      <c r="AC82" s="12">
        <f t="shared" si="20"/>
        <v>2</v>
      </c>
      <c r="AD82" s="12" t="str">
        <f t="shared" si="21"/>
        <v>2000/7000/14000</v>
      </c>
      <c r="AE82" s="12" t="str">
        <f t="shared" si="22"/>
        <v/>
      </c>
      <c r="AF82" s="12" t="str">
        <f t="shared" si="23"/>
        <v/>
      </c>
      <c r="AG82" s="12" t="str">
        <f t="shared" si="24"/>
        <v>2/3/</v>
      </c>
      <c r="AH82" s="12" t="str">
        <f t="shared" si="25"/>
        <v>32/36/</v>
      </c>
      <c r="AI82" s="12" t="str">
        <f t="shared" si="26"/>
        <v>10/5</v>
      </c>
    </row>
    <row r="83" spans="1:35" s="8" customFormat="1" ht="21.95" customHeight="1">
      <c r="A83" s="9">
        <v>81</v>
      </c>
      <c r="B83" s="17">
        <v>81</v>
      </c>
      <c r="C83" s="6">
        <v>0</v>
      </c>
      <c r="D83" s="6">
        <v>120</v>
      </c>
      <c r="E83" s="5">
        <v>50</v>
      </c>
      <c r="F83" s="5">
        <v>100</v>
      </c>
      <c r="G83" s="5">
        <v>50</v>
      </c>
      <c r="H83" s="5">
        <v>100</v>
      </c>
      <c r="I83" s="5">
        <v>50</v>
      </c>
      <c r="J83" s="5">
        <v>100</v>
      </c>
      <c r="K83" s="15" t="s">
        <v>53</v>
      </c>
      <c r="L83" s="6">
        <v>3</v>
      </c>
      <c r="M83" s="6">
        <v>0</v>
      </c>
      <c r="N83" s="6">
        <v>0</v>
      </c>
      <c r="O83" s="5">
        <v>36</v>
      </c>
      <c r="P83" s="5">
        <v>0</v>
      </c>
      <c r="Q83" s="5">
        <v>0</v>
      </c>
      <c r="R83" s="5">
        <v>0</v>
      </c>
      <c r="S83" s="5">
        <v>32</v>
      </c>
      <c r="T83" s="5">
        <v>0</v>
      </c>
      <c r="U83" s="6">
        <v>0</v>
      </c>
      <c r="V83" s="5">
        <v>10</v>
      </c>
      <c r="W83" s="5">
        <v>5</v>
      </c>
      <c r="X83" s="16">
        <v>2000</v>
      </c>
      <c r="Y83" s="16">
        <v>7000</v>
      </c>
      <c r="Z83" s="16">
        <v>14000</v>
      </c>
      <c r="AA83" s="12" t="str">
        <f t="shared" si="19"/>
        <v>1/120</v>
      </c>
      <c r="AB83" s="12" t="str">
        <f t="shared" si="27"/>
        <v>50,100,50,100,50,100</v>
      </c>
      <c r="AC83" s="12">
        <f t="shared" si="20"/>
        <v>2</v>
      </c>
      <c r="AD83" s="12" t="str">
        <f t="shared" si="21"/>
        <v>2000/7000/14000</v>
      </c>
      <c r="AE83" s="12" t="str">
        <f t="shared" si="22"/>
        <v/>
      </c>
      <c r="AF83" s="12" t="str">
        <f t="shared" si="23"/>
        <v/>
      </c>
      <c r="AG83" s="12" t="str">
        <f t="shared" si="24"/>
        <v>0/4/</v>
      </c>
      <c r="AH83" s="12" t="str">
        <f t="shared" si="25"/>
        <v>36/32/</v>
      </c>
      <c r="AI83" s="12" t="str">
        <f t="shared" si="26"/>
        <v>10/5</v>
      </c>
    </row>
    <row r="84" spans="1:35" s="8" customFormat="1" ht="21.95" customHeight="1">
      <c r="A84" s="9">
        <v>82</v>
      </c>
      <c r="B84" s="17">
        <v>82</v>
      </c>
      <c r="C84" s="6">
        <v>30</v>
      </c>
      <c r="D84" s="6">
        <v>0</v>
      </c>
      <c r="E84" s="5">
        <v>100</v>
      </c>
      <c r="F84" s="5">
        <v>80</v>
      </c>
      <c r="G84" s="5">
        <v>100</v>
      </c>
      <c r="H84" s="5">
        <v>0</v>
      </c>
      <c r="I84" s="5">
        <v>50</v>
      </c>
      <c r="J84" s="5">
        <v>80</v>
      </c>
      <c r="K84" s="15" t="s">
        <v>53</v>
      </c>
      <c r="L84" s="6">
        <v>3</v>
      </c>
      <c r="M84" s="6">
        <v>0</v>
      </c>
      <c r="N84" s="6">
        <v>0</v>
      </c>
      <c r="O84" s="5">
        <v>0</v>
      </c>
      <c r="P84" s="5">
        <v>32</v>
      </c>
      <c r="Q84" s="5">
        <v>0</v>
      </c>
      <c r="R84" s="5">
        <v>0</v>
      </c>
      <c r="S84" s="5">
        <v>0</v>
      </c>
      <c r="T84" s="5">
        <v>36</v>
      </c>
      <c r="U84" s="6">
        <v>0</v>
      </c>
      <c r="V84" s="5">
        <v>10</v>
      </c>
      <c r="W84" s="5">
        <v>5</v>
      </c>
      <c r="X84" s="16">
        <v>2000</v>
      </c>
      <c r="Y84" s="16">
        <v>7000</v>
      </c>
      <c r="Z84" s="16">
        <v>14000</v>
      </c>
      <c r="AA84" s="12" t="str">
        <f t="shared" si="19"/>
        <v>0/30</v>
      </c>
      <c r="AB84" s="12" t="str">
        <f t="shared" si="27"/>
        <v>100,80,100,0,50,80</v>
      </c>
      <c r="AC84" s="12">
        <f t="shared" si="20"/>
        <v>2</v>
      </c>
      <c r="AD84" s="12" t="str">
        <f t="shared" si="21"/>
        <v>2000/7000/14000</v>
      </c>
      <c r="AE84" s="12" t="str">
        <f t="shared" si="22"/>
        <v/>
      </c>
      <c r="AF84" s="12" t="str">
        <f t="shared" si="23"/>
        <v/>
      </c>
      <c r="AG84" s="12" t="str">
        <f t="shared" si="24"/>
        <v>1/5/</v>
      </c>
      <c r="AH84" s="12" t="str">
        <f t="shared" si="25"/>
        <v>32/36/</v>
      </c>
      <c r="AI84" s="12" t="str">
        <f t="shared" si="26"/>
        <v>10/5</v>
      </c>
    </row>
    <row r="85" spans="1:35" s="8" customFormat="1" ht="21.95" customHeight="1">
      <c r="A85" s="9">
        <v>83</v>
      </c>
      <c r="B85" s="17">
        <v>83</v>
      </c>
      <c r="C85" s="6">
        <v>30</v>
      </c>
      <c r="D85" s="6">
        <v>0</v>
      </c>
      <c r="E85" s="5">
        <v>100</v>
      </c>
      <c r="F85" s="5">
        <v>0</v>
      </c>
      <c r="G85" s="5">
        <v>80</v>
      </c>
      <c r="H85" s="5">
        <v>80</v>
      </c>
      <c r="I85" s="5">
        <v>80</v>
      </c>
      <c r="J85" s="5">
        <v>80</v>
      </c>
      <c r="K85" s="15" t="s">
        <v>53</v>
      </c>
      <c r="L85" s="6">
        <v>3</v>
      </c>
      <c r="M85" s="6">
        <v>0</v>
      </c>
      <c r="N85" s="6">
        <v>0</v>
      </c>
      <c r="O85" s="5">
        <v>0</v>
      </c>
      <c r="P85" s="5">
        <v>0</v>
      </c>
      <c r="Q85" s="5">
        <v>30</v>
      </c>
      <c r="R85" s="5">
        <v>0</v>
      </c>
      <c r="S85" s="5">
        <v>0</v>
      </c>
      <c r="T85" s="5">
        <v>34</v>
      </c>
      <c r="U85" s="6">
        <v>0</v>
      </c>
      <c r="V85" s="5">
        <v>10</v>
      </c>
      <c r="W85" s="5">
        <v>5</v>
      </c>
      <c r="X85" s="16">
        <v>2000</v>
      </c>
      <c r="Y85" s="16">
        <v>7000</v>
      </c>
      <c r="Z85" s="16">
        <v>14000</v>
      </c>
      <c r="AA85" s="12" t="str">
        <f t="shared" si="19"/>
        <v>0/30</v>
      </c>
      <c r="AB85" s="12" t="str">
        <f t="shared" si="27"/>
        <v>100,0,80,80,80,80</v>
      </c>
      <c r="AC85" s="12">
        <f t="shared" si="20"/>
        <v>2</v>
      </c>
      <c r="AD85" s="12" t="str">
        <f t="shared" si="21"/>
        <v>2000/7000/14000</v>
      </c>
      <c r="AE85" s="12" t="str">
        <f t="shared" si="22"/>
        <v/>
      </c>
      <c r="AF85" s="12" t="str">
        <f t="shared" si="23"/>
        <v/>
      </c>
      <c r="AG85" s="12" t="str">
        <f t="shared" si="24"/>
        <v>2/5/</v>
      </c>
      <c r="AH85" s="12" t="str">
        <f t="shared" si="25"/>
        <v>30/34/</v>
      </c>
      <c r="AI85" s="12" t="str">
        <f t="shared" si="26"/>
        <v>10/5</v>
      </c>
    </row>
    <row r="86" spans="1:35" s="8" customFormat="1" ht="21.95" customHeight="1">
      <c r="A86" s="9">
        <v>84</v>
      </c>
      <c r="B86" s="17">
        <v>84</v>
      </c>
      <c r="C86" s="6">
        <v>30</v>
      </c>
      <c r="D86" s="6">
        <v>0</v>
      </c>
      <c r="E86" s="5">
        <v>100</v>
      </c>
      <c r="F86" s="5">
        <v>80</v>
      </c>
      <c r="G86" s="5">
        <v>100</v>
      </c>
      <c r="H86" s="5">
        <v>80</v>
      </c>
      <c r="I86" s="5">
        <v>100</v>
      </c>
      <c r="J86" s="5">
        <v>0</v>
      </c>
      <c r="K86" s="15" t="s">
        <v>52</v>
      </c>
      <c r="L86" s="6">
        <v>3</v>
      </c>
      <c r="M86" s="6">
        <v>6</v>
      </c>
      <c r="N86" s="6">
        <v>0</v>
      </c>
      <c r="O86" s="5">
        <v>0</v>
      </c>
      <c r="P86" s="5">
        <v>0</v>
      </c>
      <c r="Q86" s="5">
        <v>0</v>
      </c>
      <c r="R86" s="5">
        <v>0</v>
      </c>
      <c r="S86" s="5">
        <v>0</v>
      </c>
      <c r="T86" s="5">
        <v>0</v>
      </c>
      <c r="U86" s="6">
        <v>0</v>
      </c>
      <c r="V86" s="5">
        <v>10</v>
      </c>
      <c r="W86" s="5">
        <v>5</v>
      </c>
      <c r="X86" s="16">
        <v>2000</v>
      </c>
      <c r="Y86" s="16">
        <v>7000</v>
      </c>
      <c r="Z86" s="16">
        <v>14000</v>
      </c>
      <c r="AA86" s="12" t="str">
        <f t="shared" si="19"/>
        <v>0/30</v>
      </c>
      <c r="AB86" s="12" t="str">
        <f t="shared" si="27"/>
        <v>100,80,100,80,100,0</v>
      </c>
      <c r="AC86" s="12">
        <f t="shared" si="20"/>
        <v>1</v>
      </c>
      <c r="AD86" s="12" t="str">
        <f t="shared" si="21"/>
        <v>2000/7000/14000</v>
      </c>
      <c r="AE86" s="12" t="str">
        <f t="shared" si="22"/>
        <v>0/</v>
      </c>
      <c r="AF86" s="12" t="str">
        <f t="shared" si="23"/>
        <v>6/</v>
      </c>
      <c r="AG86" s="12" t="str">
        <f t="shared" si="24"/>
        <v/>
      </c>
      <c r="AH86" s="12" t="str">
        <f t="shared" si="25"/>
        <v/>
      </c>
      <c r="AI86" s="12" t="str">
        <f t="shared" si="26"/>
        <v>10/5</v>
      </c>
    </row>
    <row r="87" spans="1:35" s="8" customFormat="1" ht="21.95" customHeight="1">
      <c r="A87" s="9">
        <v>85</v>
      </c>
      <c r="B87" s="17">
        <v>85</v>
      </c>
      <c r="C87" s="6">
        <v>30</v>
      </c>
      <c r="D87" s="6">
        <v>0</v>
      </c>
      <c r="E87" s="5">
        <v>0</v>
      </c>
      <c r="F87" s="5">
        <v>100</v>
      </c>
      <c r="G87" s="5">
        <v>80</v>
      </c>
      <c r="H87" s="5">
        <v>100</v>
      </c>
      <c r="I87" s="5">
        <v>80</v>
      </c>
      <c r="J87" s="5">
        <v>100</v>
      </c>
      <c r="K87" s="15" t="s">
        <v>52</v>
      </c>
      <c r="L87" s="6">
        <v>3</v>
      </c>
      <c r="M87" s="6">
        <v>0</v>
      </c>
      <c r="N87" s="6">
        <v>6</v>
      </c>
      <c r="O87" s="5">
        <v>0</v>
      </c>
      <c r="P87" s="5">
        <v>0</v>
      </c>
      <c r="Q87" s="5">
        <v>0</v>
      </c>
      <c r="R87" s="5">
        <v>0</v>
      </c>
      <c r="S87" s="5">
        <v>0</v>
      </c>
      <c r="T87" s="5">
        <v>0</v>
      </c>
      <c r="U87" s="6">
        <v>0</v>
      </c>
      <c r="V87" s="5">
        <v>10</v>
      </c>
      <c r="W87" s="5">
        <v>5</v>
      </c>
      <c r="X87" s="16">
        <v>2000</v>
      </c>
      <c r="Y87" s="16">
        <v>7000</v>
      </c>
      <c r="Z87" s="16">
        <v>14000</v>
      </c>
      <c r="AA87" s="12" t="str">
        <f t="shared" si="19"/>
        <v>0/30</v>
      </c>
      <c r="AB87" s="12" t="str">
        <f t="shared" si="27"/>
        <v>0,100,80,100,80,100</v>
      </c>
      <c r="AC87" s="12">
        <f t="shared" si="20"/>
        <v>1</v>
      </c>
      <c r="AD87" s="12" t="str">
        <f t="shared" si="21"/>
        <v>2000/7000/14000</v>
      </c>
      <c r="AE87" s="12" t="str">
        <f t="shared" si="22"/>
        <v>1/</v>
      </c>
      <c r="AF87" s="12" t="str">
        <f t="shared" si="23"/>
        <v>6/</v>
      </c>
      <c r="AG87" s="12" t="str">
        <f t="shared" si="24"/>
        <v/>
      </c>
      <c r="AH87" s="12" t="str">
        <f t="shared" si="25"/>
        <v/>
      </c>
      <c r="AI87" s="12" t="str">
        <f t="shared" si="26"/>
        <v>10/5</v>
      </c>
    </row>
    <row r="88" spans="1:35" s="8" customFormat="1" ht="21.95" customHeight="1">
      <c r="A88" s="9">
        <v>86</v>
      </c>
      <c r="B88" s="17">
        <v>86</v>
      </c>
      <c r="C88" s="6">
        <v>30</v>
      </c>
      <c r="D88" s="6">
        <v>0</v>
      </c>
      <c r="E88" s="5">
        <v>100</v>
      </c>
      <c r="F88" s="5">
        <v>0</v>
      </c>
      <c r="G88" s="5">
        <v>80</v>
      </c>
      <c r="H88" s="5">
        <v>80</v>
      </c>
      <c r="I88" s="5">
        <v>100</v>
      </c>
      <c r="J88" s="5">
        <v>100</v>
      </c>
      <c r="K88" s="15" t="s">
        <v>54</v>
      </c>
      <c r="L88" s="6">
        <v>3</v>
      </c>
      <c r="M88" s="6">
        <v>0</v>
      </c>
      <c r="N88" s="6">
        <v>0</v>
      </c>
      <c r="O88" s="5">
        <v>0</v>
      </c>
      <c r="P88" s="5">
        <v>0</v>
      </c>
      <c r="Q88" s="5">
        <v>0</v>
      </c>
      <c r="R88" s="5">
        <v>0</v>
      </c>
      <c r="S88" s="5">
        <v>0</v>
      </c>
      <c r="T88" s="5">
        <v>0</v>
      </c>
      <c r="U88" s="6">
        <v>0</v>
      </c>
      <c r="V88" s="5">
        <v>10</v>
      </c>
      <c r="W88" s="5">
        <v>5</v>
      </c>
      <c r="X88" s="16">
        <v>2000</v>
      </c>
      <c r="Y88" s="16">
        <v>7000</v>
      </c>
      <c r="Z88" s="16">
        <v>14000</v>
      </c>
      <c r="AA88" s="12" t="str">
        <f t="shared" si="19"/>
        <v>0/30</v>
      </c>
      <c r="AB88" s="12" t="str">
        <f t="shared" si="27"/>
        <v>100,0,80,80,100,100</v>
      </c>
      <c r="AC88" s="12">
        <f t="shared" si="20"/>
        <v>3</v>
      </c>
      <c r="AD88" s="12" t="str">
        <f t="shared" si="21"/>
        <v>2000/7000/14000</v>
      </c>
      <c r="AE88" s="12" t="str">
        <f t="shared" si="22"/>
        <v/>
      </c>
      <c r="AF88" s="12" t="str">
        <f t="shared" si="23"/>
        <v/>
      </c>
      <c r="AG88" s="12" t="str">
        <f t="shared" si="24"/>
        <v/>
      </c>
      <c r="AH88" s="12" t="str">
        <f t="shared" si="25"/>
        <v/>
      </c>
      <c r="AI88" s="12" t="str">
        <f t="shared" si="26"/>
        <v>10/5</v>
      </c>
    </row>
    <row r="89" spans="1:35" s="8" customFormat="1" ht="21.95" customHeight="1">
      <c r="A89" s="9">
        <v>87</v>
      </c>
      <c r="B89" s="17">
        <v>87</v>
      </c>
      <c r="C89" s="6">
        <v>30</v>
      </c>
      <c r="D89" s="6">
        <v>0</v>
      </c>
      <c r="E89" s="5">
        <v>100</v>
      </c>
      <c r="F89" s="5">
        <v>80</v>
      </c>
      <c r="G89" s="5">
        <v>0</v>
      </c>
      <c r="H89" s="5">
        <v>100</v>
      </c>
      <c r="I89" s="5">
        <v>80</v>
      </c>
      <c r="J89" s="5">
        <v>100</v>
      </c>
      <c r="K89" s="15" t="s">
        <v>54</v>
      </c>
      <c r="L89" s="6">
        <v>3</v>
      </c>
      <c r="M89" s="6">
        <v>0</v>
      </c>
      <c r="N89" s="6">
        <v>0</v>
      </c>
      <c r="O89" s="5">
        <v>0</v>
      </c>
      <c r="P89" s="5">
        <v>0</v>
      </c>
      <c r="Q89" s="5">
        <v>0</v>
      </c>
      <c r="R89" s="5">
        <v>0</v>
      </c>
      <c r="S89" s="5">
        <v>0</v>
      </c>
      <c r="T89" s="5">
        <v>0</v>
      </c>
      <c r="U89" s="6">
        <v>0</v>
      </c>
      <c r="V89" s="5">
        <v>10</v>
      </c>
      <c r="W89" s="5">
        <v>5</v>
      </c>
      <c r="X89" s="16">
        <v>2000</v>
      </c>
      <c r="Y89" s="16">
        <v>7000</v>
      </c>
      <c r="Z89" s="16">
        <v>14000</v>
      </c>
      <c r="AA89" s="12" t="str">
        <f t="shared" si="19"/>
        <v>0/30</v>
      </c>
      <c r="AB89" s="12" t="str">
        <f t="shared" si="27"/>
        <v>100,80,0,100,80,100</v>
      </c>
      <c r="AC89" s="12">
        <f t="shared" si="20"/>
        <v>3</v>
      </c>
      <c r="AD89" s="12" t="str">
        <f t="shared" si="21"/>
        <v>2000/7000/14000</v>
      </c>
      <c r="AE89" s="12" t="str">
        <f t="shared" si="22"/>
        <v/>
      </c>
      <c r="AF89" s="12" t="str">
        <f t="shared" si="23"/>
        <v/>
      </c>
      <c r="AG89" s="12" t="str">
        <f t="shared" si="24"/>
        <v/>
      </c>
      <c r="AH89" s="12" t="str">
        <f t="shared" si="25"/>
        <v/>
      </c>
      <c r="AI89" s="12" t="str">
        <f t="shared" si="26"/>
        <v>10/5</v>
      </c>
    </row>
    <row r="90" spans="1:35" s="8" customFormat="1" ht="21.95" customHeight="1">
      <c r="A90" s="9">
        <v>88</v>
      </c>
      <c r="B90" s="17">
        <v>88</v>
      </c>
      <c r="C90" s="6">
        <v>30</v>
      </c>
      <c r="D90" s="6">
        <v>0</v>
      </c>
      <c r="E90" s="5">
        <v>0</v>
      </c>
      <c r="F90" s="5">
        <v>100</v>
      </c>
      <c r="G90" s="5">
        <v>50</v>
      </c>
      <c r="H90" s="5">
        <v>50</v>
      </c>
      <c r="I90" s="5">
        <v>50</v>
      </c>
      <c r="J90" s="5">
        <v>100</v>
      </c>
      <c r="K90" s="15" t="s">
        <v>55</v>
      </c>
      <c r="L90" s="6">
        <v>3</v>
      </c>
      <c r="M90" s="6">
        <v>0</v>
      </c>
      <c r="N90" s="6">
        <v>0</v>
      </c>
      <c r="O90" s="5">
        <v>0</v>
      </c>
      <c r="P90" s="5">
        <v>0</v>
      </c>
      <c r="Q90" s="5">
        <v>0</v>
      </c>
      <c r="R90" s="5">
        <v>0</v>
      </c>
      <c r="S90" s="5">
        <v>0</v>
      </c>
      <c r="T90" s="5">
        <v>0</v>
      </c>
      <c r="U90" s="6">
        <v>5</v>
      </c>
      <c r="V90" s="5">
        <v>10</v>
      </c>
      <c r="W90" s="5">
        <v>5</v>
      </c>
      <c r="X90" s="16">
        <v>2000</v>
      </c>
      <c r="Y90" s="16">
        <v>7000</v>
      </c>
      <c r="Z90" s="16">
        <v>14000</v>
      </c>
      <c r="AA90" s="12" t="str">
        <f t="shared" si="19"/>
        <v>0/30</v>
      </c>
      <c r="AB90" s="12" t="str">
        <f t="shared" si="27"/>
        <v>0,100,50,50,50,100</v>
      </c>
      <c r="AC90" s="12">
        <f t="shared" si="20"/>
        <v>4</v>
      </c>
      <c r="AD90" s="12" t="str">
        <f t="shared" si="21"/>
        <v>2000/7000/14000</v>
      </c>
      <c r="AE90" s="12" t="str">
        <f t="shared" si="22"/>
        <v/>
      </c>
      <c r="AF90" s="12" t="str">
        <f t="shared" si="23"/>
        <v/>
      </c>
      <c r="AG90" s="12" t="str">
        <f t="shared" si="24"/>
        <v/>
      </c>
      <c r="AH90" s="12" t="str">
        <f t="shared" si="25"/>
        <v/>
      </c>
      <c r="AI90" s="12" t="str">
        <f t="shared" si="26"/>
        <v>10/5</v>
      </c>
    </row>
    <row r="91" spans="1:35" s="8" customFormat="1" ht="21.95" customHeight="1">
      <c r="A91" s="9">
        <v>89</v>
      </c>
      <c r="B91" s="17">
        <v>89</v>
      </c>
      <c r="C91" s="6">
        <v>30</v>
      </c>
      <c r="D91" s="6">
        <v>0</v>
      </c>
      <c r="E91" s="5">
        <v>100</v>
      </c>
      <c r="F91" s="5">
        <v>100</v>
      </c>
      <c r="G91" s="5">
        <v>100</v>
      </c>
      <c r="H91" s="5">
        <v>100</v>
      </c>
      <c r="I91" s="5">
        <v>0</v>
      </c>
      <c r="J91" s="5">
        <v>100</v>
      </c>
      <c r="K91" s="15" t="s">
        <v>55</v>
      </c>
      <c r="L91" s="6">
        <v>3</v>
      </c>
      <c r="M91" s="6">
        <v>0</v>
      </c>
      <c r="N91" s="6">
        <v>0</v>
      </c>
      <c r="O91" s="5">
        <v>0</v>
      </c>
      <c r="P91" s="5">
        <v>0</v>
      </c>
      <c r="Q91" s="5">
        <v>0</v>
      </c>
      <c r="R91" s="5">
        <v>0</v>
      </c>
      <c r="S91" s="5">
        <v>0</v>
      </c>
      <c r="T91" s="5">
        <v>0</v>
      </c>
      <c r="U91" s="6">
        <v>5</v>
      </c>
      <c r="V91" s="5">
        <v>10</v>
      </c>
      <c r="W91" s="5">
        <v>5</v>
      </c>
      <c r="X91" s="16">
        <v>2000</v>
      </c>
      <c r="Y91" s="16">
        <v>7000</v>
      </c>
      <c r="Z91" s="16">
        <v>14000</v>
      </c>
      <c r="AA91" s="12" t="str">
        <f t="shared" si="19"/>
        <v>0/30</v>
      </c>
      <c r="AB91" s="12" t="str">
        <f t="shared" si="27"/>
        <v>100,100,100,100,0,100</v>
      </c>
      <c r="AC91" s="12">
        <f t="shared" si="20"/>
        <v>4</v>
      </c>
      <c r="AD91" s="12" t="str">
        <f t="shared" si="21"/>
        <v>2000/7000/14000</v>
      </c>
      <c r="AE91" s="12" t="str">
        <f t="shared" si="22"/>
        <v/>
      </c>
      <c r="AF91" s="12" t="str">
        <f t="shared" si="23"/>
        <v/>
      </c>
      <c r="AG91" s="12" t="str">
        <f t="shared" si="24"/>
        <v/>
      </c>
      <c r="AH91" s="12" t="str">
        <f t="shared" si="25"/>
        <v/>
      </c>
      <c r="AI91" s="12" t="str">
        <f t="shared" si="26"/>
        <v>10/5</v>
      </c>
    </row>
    <row r="92" spans="1:35" s="8" customFormat="1" ht="21.95" customHeight="1">
      <c r="A92" s="9">
        <v>90</v>
      </c>
      <c r="B92" s="17">
        <v>90</v>
      </c>
      <c r="C92" s="6">
        <v>0</v>
      </c>
      <c r="D92" s="6">
        <v>120</v>
      </c>
      <c r="E92" s="5">
        <v>80</v>
      </c>
      <c r="F92" s="5">
        <v>100</v>
      </c>
      <c r="G92" s="5">
        <v>80</v>
      </c>
      <c r="H92" s="5">
        <v>100</v>
      </c>
      <c r="I92" s="5">
        <v>100</v>
      </c>
      <c r="J92" s="5">
        <v>0</v>
      </c>
      <c r="K92" s="15" t="s">
        <v>51</v>
      </c>
      <c r="L92" s="6">
        <v>3</v>
      </c>
      <c r="M92" s="6">
        <v>0</v>
      </c>
      <c r="N92" s="6">
        <v>0</v>
      </c>
      <c r="O92" s="5">
        <v>0</v>
      </c>
      <c r="P92" s="5">
        <v>0</v>
      </c>
      <c r="Q92" s="5">
        <v>0</v>
      </c>
      <c r="R92" s="5">
        <v>0</v>
      </c>
      <c r="S92" s="5">
        <v>0</v>
      </c>
      <c r="T92" s="5">
        <v>0</v>
      </c>
      <c r="U92" s="6">
        <v>0</v>
      </c>
      <c r="V92" s="5">
        <v>10</v>
      </c>
      <c r="W92" s="5">
        <v>5</v>
      </c>
      <c r="X92" s="16">
        <v>2000</v>
      </c>
      <c r="Y92" s="16">
        <v>7000</v>
      </c>
      <c r="Z92" s="16">
        <v>14000</v>
      </c>
      <c r="AA92" s="12" t="str">
        <f t="shared" si="19"/>
        <v>1/120</v>
      </c>
      <c r="AB92" s="12" t="str">
        <f t="shared" si="27"/>
        <v>80,100,80,100,100,0</v>
      </c>
      <c r="AC92" s="12">
        <f t="shared" si="20"/>
        <v>0</v>
      </c>
      <c r="AD92" s="12" t="str">
        <f t="shared" si="21"/>
        <v>2000/7000/14000</v>
      </c>
      <c r="AE92" s="12" t="str">
        <f t="shared" si="22"/>
        <v/>
      </c>
      <c r="AF92" s="12" t="str">
        <f t="shared" si="23"/>
        <v/>
      </c>
      <c r="AG92" s="12" t="str">
        <f t="shared" si="24"/>
        <v/>
      </c>
      <c r="AH92" s="12" t="str">
        <f t="shared" si="25"/>
        <v/>
      </c>
      <c r="AI92" s="12" t="str">
        <f t="shared" si="26"/>
        <v>10/5</v>
      </c>
    </row>
    <row r="93" spans="1:35" s="8" customFormat="1" ht="21.95" customHeight="1">
      <c r="A93" s="9">
        <v>91</v>
      </c>
      <c r="B93" s="17">
        <v>91</v>
      </c>
      <c r="C93" s="6">
        <v>0</v>
      </c>
      <c r="D93" s="6">
        <v>120</v>
      </c>
      <c r="E93" s="5">
        <v>0</v>
      </c>
      <c r="F93" s="5">
        <v>100</v>
      </c>
      <c r="G93" s="5">
        <v>100</v>
      </c>
      <c r="H93" s="5">
        <v>80</v>
      </c>
      <c r="I93" s="5">
        <v>80</v>
      </c>
      <c r="J93" s="5">
        <v>100</v>
      </c>
      <c r="K93" s="15" t="s">
        <v>51</v>
      </c>
      <c r="L93" s="6">
        <v>3</v>
      </c>
      <c r="M93" s="6">
        <v>0</v>
      </c>
      <c r="N93" s="6">
        <v>0</v>
      </c>
      <c r="O93" s="5">
        <v>0</v>
      </c>
      <c r="P93" s="5">
        <v>0</v>
      </c>
      <c r="Q93" s="5">
        <v>0</v>
      </c>
      <c r="R93" s="5">
        <v>0</v>
      </c>
      <c r="S93" s="5">
        <v>0</v>
      </c>
      <c r="T93" s="5">
        <v>0</v>
      </c>
      <c r="U93" s="6">
        <v>0</v>
      </c>
      <c r="V93" s="5">
        <v>10</v>
      </c>
      <c r="W93" s="5">
        <v>5</v>
      </c>
      <c r="X93" s="16">
        <v>2000</v>
      </c>
      <c r="Y93" s="16">
        <v>7000</v>
      </c>
      <c r="Z93" s="16">
        <v>14000</v>
      </c>
      <c r="AA93" s="12" t="str">
        <f t="shared" si="19"/>
        <v>1/120</v>
      </c>
      <c r="AB93" s="12" t="str">
        <f t="shared" si="27"/>
        <v>0,100,100,80,80,100</v>
      </c>
      <c r="AC93" s="12">
        <f t="shared" si="20"/>
        <v>0</v>
      </c>
      <c r="AD93" s="12" t="str">
        <f t="shared" si="21"/>
        <v>2000/7000/14000</v>
      </c>
      <c r="AE93" s="12" t="str">
        <f t="shared" si="22"/>
        <v/>
      </c>
      <c r="AF93" s="12" t="str">
        <f t="shared" si="23"/>
        <v/>
      </c>
      <c r="AG93" s="12" t="str">
        <f t="shared" si="24"/>
        <v/>
      </c>
      <c r="AH93" s="12" t="str">
        <f t="shared" si="25"/>
        <v/>
      </c>
      <c r="AI93" s="12" t="str">
        <f t="shared" si="26"/>
        <v>10/5</v>
      </c>
    </row>
    <row r="94" spans="1:35" s="8" customFormat="1" ht="21.95" customHeight="1">
      <c r="A94" s="9">
        <v>92</v>
      </c>
      <c r="B94" s="17">
        <v>92</v>
      </c>
      <c r="C94" s="6">
        <v>30</v>
      </c>
      <c r="D94" s="6">
        <v>0</v>
      </c>
      <c r="E94" s="5">
        <v>80</v>
      </c>
      <c r="F94" s="5">
        <v>0</v>
      </c>
      <c r="G94" s="5">
        <v>80</v>
      </c>
      <c r="H94" s="5">
        <v>100</v>
      </c>
      <c r="I94" s="5">
        <v>80</v>
      </c>
      <c r="J94" s="5">
        <v>100</v>
      </c>
      <c r="K94" s="15" t="s">
        <v>53</v>
      </c>
      <c r="L94" s="6">
        <v>3</v>
      </c>
      <c r="M94" s="6">
        <v>0</v>
      </c>
      <c r="N94" s="6">
        <v>0</v>
      </c>
      <c r="O94" s="5">
        <v>34</v>
      </c>
      <c r="P94" s="5">
        <v>0</v>
      </c>
      <c r="Q94" s="5">
        <v>20</v>
      </c>
      <c r="R94" s="5">
        <v>0</v>
      </c>
      <c r="S94" s="5">
        <v>0</v>
      </c>
      <c r="T94" s="5">
        <v>0</v>
      </c>
      <c r="U94" s="6">
        <v>0</v>
      </c>
      <c r="V94" s="5">
        <v>10</v>
      </c>
      <c r="W94" s="5">
        <v>5</v>
      </c>
      <c r="X94" s="16">
        <v>2000</v>
      </c>
      <c r="Y94" s="16">
        <v>7000</v>
      </c>
      <c r="Z94" s="16">
        <v>14000</v>
      </c>
      <c r="AA94" s="12" t="str">
        <f t="shared" si="19"/>
        <v>0/30</v>
      </c>
      <c r="AB94" s="12" t="str">
        <f t="shared" si="27"/>
        <v>80,0,80,100,80,100</v>
      </c>
      <c r="AC94" s="12">
        <f t="shared" si="20"/>
        <v>2</v>
      </c>
      <c r="AD94" s="12" t="str">
        <f t="shared" si="21"/>
        <v>2000/7000/14000</v>
      </c>
      <c r="AE94" s="12" t="str">
        <f t="shared" si="22"/>
        <v/>
      </c>
      <c r="AF94" s="12" t="str">
        <f t="shared" si="23"/>
        <v/>
      </c>
      <c r="AG94" s="12" t="str">
        <f t="shared" si="24"/>
        <v>0/2/</v>
      </c>
      <c r="AH94" s="12" t="str">
        <f t="shared" si="25"/>
        <v>34/20/</v>
      </c>
      <c r="AI94" s="12" t="str">
        <f t="shared" si="26"/>
        <v>10/5</v>
      </c>
    </row>
    <row r="95" spans="1:35" s="8" customFormat="1" ht="21.95" customHeight="1">
      <c r="A95" s="9">
        <v>93</v>
      </c>
      <c r="B95" s="17">
        <v>93</v>
      </c>
      <c r="C95" s="6">
        <v>30</v>
      </c>
      <c r="D95" s="6">
        <v>0</v>
      </c>
      <c r="E95" s="5">
        <v>100</v>
      </c>
      <c r="F95" s="5">
        <v>80</v>
      </c>
      <c r="G95" s="5">
        <v>0</v>
      </c>
      <c r="H95" s="5">
        <v>80</v>
      </c>
      <c r="I95" s="5">
        <v>80</v>
      </c>
      <c r="J95" s="5">
        <v>100</v>
      </c>
      <c r="K95" s="15" t="s">
        <v>53</v>
      </c>
      <c r="L95" s="6">
        <v>3</v>
      </c>
      <c r="M95" s="6">
        <v>0</v>
      </c>
      <c r="N95" s="6">
        <v>0</v>
      </c>
      <c r="O95" s="5">
        <v>0</v>
      </c>
      <c r="P95" s="5">
        <v>0</v>
      </c>
      <c r="Q95" s="5">
        <v>0</v>
      </c>
      <c r="R95" s="5">
        <v>28</v>
      </c>
      <c r="S95" s="5">
        <v>32</v>
      </c>
      <c r="T95" s="5">
        <v>0</v>
      </c>
      <c r="U95" s="6">
        <v>0</v>
      </c>
      <c r="V95" s="5">
        <v>10</v>
      </c>
      <c r="W95" s="5">
        <v>5</v>
      </c>
      <c r="X95" s="16">
        <v>2000</v>
      </c>
      <c r="Y95" s="16">
        <v>7000</v>
      </c>
      <c r="Z95" s="16">
        <v>14000</v>
      </c>
      <c r="AA95" s="12" t="str">
        <f t="shared" si="19"/>
        <v>0/30</v>
      </c>
      <c r="AB95" s="12" t="str">
        <f t="shared" si="27"/>
        <v>100,80,0,80,80,100</v>
      </c>
      <c r="AC95" s="12">
        <f t="shared" si="20"/>
        <v>2</v>
      </c>
      <c r="AD95" s="12" t="str">
        <f t="shared" si="21"/>
        <v>2000/7000/14000</v>
      </c>
      <c r="AE95" s="12" t="str">
        <f t="shared" si="22"/>
        <v/>
      </c>
      <c r="AF95" s="12" t="str">
        <f t="shared" si="23"/>
        <v/>
      </c>
      <c r="AG95" s="12" t="str">
        <f t="shared" si="24"/>
        <v>3/4/</v>
      </c>
      <c r="AH95" s="12" t="str">
        <f t="shared" si="25"/>
        <v>28/32/</v>
      </c>
      <c r="AI95" s="12" t="str">
        <f t="shared" si="26"/>
        <v>10/5</v>
      </c>
    </row>
    <row r="96" spans="1:35" s="8" customFormat="1" ht="21.95" customHeight="1">
      <c r="A96" s="9">
        <v>94</v>
      </c>
      <c r="B96" s="17">
        <v>94</v>
      </c>
      <c r="C96" s="6">
        <v>30</v>
      </c>
      <c r="D96" s="6">
        <v>0</v>
      </c>
      <c r="E96" s="5">
        <v>80</v>
      </c>
      <c r="F96" s="5">
        <v>100</v>
      </c>
      <c r="G96" s="5">
        <v>80</v>
      </c>
      <c r="H96" s="5">
        <v>0</v>
      </c>
      <c r="I96" s="5">
        <v>100</v>
      </c>
      <c r="J96" s="5">
        <v>80</v>
      </c>
      <c r="K96" s="15" t="s">
        <v>52</v>
      </c>
      <c r="L96" s="6">
        <v>3</v>
      </c>
      <c r="M96" s="6">
        <v>6</v>
      </c>
      <c r="N96" s="6">
        <v>0</v>
      </c>
      <c r="O96" s="5">
        <v>0</v>
      </c>
      <c r="P96" s="5">
        <v>0</v>
      </c>
      <c r="Q96" s="5">
        <v>0</v>
      </c>
      <c r="R96" s="5">
        <v>0</v>
      </c>
      <c r="S96" s="5">
        <v>0</v>
      </c>
      <c r="T96" s="5">
        <v>0</v>
      </c>
      <c r="U96" s="6">
        <v>0</v>
      </c>
      <c r="V96" s="5">
        <v>10</v>
      </c>
      <c r="W96" s="5">
        <v>5</v>
      </c>
      <c r="X96" s="16">
        <v>2000</v>
      </c>
      <c r="Y96" s="16">
        <v>7000</v>
      </c>
      <c r="Z96" s="16">
        <v>14000</v>
      </c>
      <c r="AA96" s="12" t="str">
        <f t="shared" si="19"/>
        <v>0/30</v>
      </c>
      <c r="AB96" s="12" t="str">
        <f t="shared" si="27"/>
        <v>80,100,80,0,100,80</v>
      </c>
      <c r="AC96" s="12">
        <f t="shared" si="20"/>
        <v>1</v>
      </c>
      <c r="AD96" s="12" t="str">
        <f t="shared" si="21"/>
        <v>2000/7000/14000</v>
      </c>
      <c r="AE96" s="12" t="str">
        <f t="shared" si="22"/>
        <v>0/</v>
      </c>
      <c r="AF96" s="12" t="str">
        <f t="shared" si="23"/>
        <v>6/</v>
      </c>
      <c r="AG96" s="12" t="str">
        <f t="shared" si="24"/>
        <v/>
      </c>
      <c r="AH96" s="12" t="str">
        <f t="shared" si="25"/>
        <v/>
      </c>
      <c r="AI96" s="12" t="str">
        <f t="shared" si="26"/>
        <v>10/5</v>
      </c>
    </row>
    <row r="97" spans="1:35" s="8" customFormat="1" ht="21.95" customHeight="1">
      <c r="A97" s="9">
        <v>95</v>
      </c>
      <c r="B97" s="17">
        <v>95</v>
      </c>
      <c r="C97" s="6">
        <v>30</v>
      </c>
      <c r="D97" s="6">
        <v>0</v>
      </c>
      <c r="E97" s="5">
        <v>100</v>
      </c>
      <c r="F97" s="5">
        <v>80</v>
      </c>
      <c r="G97" s="5">
        <v>100</v>
      </c>
      <c r="H97" s="5">
        <v>80</v>
      </c>
      <c r="I97" s="5">
        <v>0</v>
      </c>
      <c r="J97" s="5">
        <v>100</v>
      </c>
      <c r="K97" s="15" t="s">
        <v>52</v>
      </c>
      <c r="L97" s="6">
        <v>3</v>
      </c>
      <c r="M97" s="6">
        <v>2</v>
      </c>
      <c r="N97" s="6">
        <v>4</v>
      </c>
      <c r="O97" s="5">
        <v>0</v>
      </c>
      <c r="P97" s="5">
        <v>0</v>
      </c>
      <c r="Q97" s="5">
        <v>0</v>
      </c>
      <c r="R97" s="5">
        <v>0</v>
      </c>
      <c r="S97" s="5">
        <v>0</v>
      </c>
      <c r="T97" s="5">
        <v>0</v>
      </c>
      <c r="U97" s="6">
        <v>0</v>
      </c>
      <c r="V97" s="5">
        <v>10</v>
      </c>
      <c r="W97" s="5">
        <v>5</v>
      </c>
      <c r="X97" s="16">
        <v>2000</v>
      </c>
      <c r="Y97" s="16">
        <v>7000</v>
      </c>
      <c r="Z97" s="16">
        <v>14000</v>
      </c>
      <c r="AA97" s="12" t="str">
        <f t="shared" si="19"/>
        <v>0/30</v>
      </c>
      <c r="AB97" s="12" t="str">
        <f t="shared" si="27"/>
        <v>100,80,100,80,0,100</v>
      </c>
      <c r="AC97" s="12">
        <f t="shared" si="20"/>
        <v>1</v>
      </c>
      <c r="AD97" s="12" t="str">
        <f t="shared" si="21"/>
        <v>2000/7000/14000</v>
      </c>
      <c r="AE97" s="12" t="str">
        <f t="shared" si="22"/>
        <v>0/1/</v>
      </c>
      <c r="AF97" s="12" t="str">
        <f t="shared" si="23"/>
        <v>2/4/</v>
      </c>
      <c r="AG97" s="12" t="str">
        <f t="shared" si="24"/>
        <v/>
      </c>
      <c r="AH97" s="12" t="str">
        <f t="shared" si="25"/>
        <v/>
      </c>
      <c r="AI97" s="12" t="str">
        <f t="shared" si="26"/>
        <v>10/5</v>
      </c>
    </row>
    <row r="98" spans="1:35" s="8" customFormat="1" ht="21.95" customHeight="1">
      <c r="A98" s="9">
        <v>96</v>
      </c>
      <c r="B98" s="17">
        <v>96</v>
      </c>
      <c r="C98" s="6">
        <v>30</v>
      </c>
      <c r="D98" s="6">
        <v>0</v>
      </c>
      <c r="E98" s="5">
        <v>100</v>
      </c>
      <c r="F98" s="5">
        <v>50</v>
      </c>
      <c r="G98" s="5">
        <v>100</v>
      </c>
      <c r="H98" s="5">
        <v>50</v>
      </c>
      <c r="I98" s="5">
        <v>100</v>
      </c>
      <c r="J98" s="5">
        <v>50</v>
      </c>
      <c r="K98" s="15" t="s">
        <v>54</v>
      </c>
      <c r="L98" s="6">
        <v>3</v>
      </c>
      <c r="M98" s="6">
        <v>0</v>
      </c>
      <c r="N98" s="6">
        <v>0</v>
      </c>
      <c r="O98" s="5">
        <v>0</v>
      </c>
      <c r="P98" s="5">
        <v>0</v>
      </c>
      <c r="Q98" s="5">
        <v>0</v>
      </c>
      <c r="R98" s="5">
        <v>0</v>
      </c>
      <c r="S98" s="5">
        <v>0</v>
      </c>
      <c r="T98" s="5">
        <v>0</v>
      </c>
      <c r="U98" s="6">
        <v>0</v>
      </c>
      <c r="V98" s="5">
        <v>10</v>
      </c>
      <c r="W98" s="5">
        <v>5</v>
      </c>
      <c r="X98" s="16">
        <v>2000</v>
      </c>
      <c r="Y98" s="16">
        <v>7000</v>
      </c>
      <c r="Z98" s="16">
        <v>14000</v>
      </c>
      <c r="AA98" s="12" t="str">
        <f t="shared" si="19"/>
        <v>0/30</v>
      </c>
      <c r="AB98" s="12" t="str">
        <f t="shared" si="27"/>
        <v>100,50,100,50,100,50</v>
      </c>
      <c r="AC98" s="12">
        <f t="shared" si="20"/>
        <v>3</v>
      </c>
      <c r="AD98" s="12" t="str">
        <f t="shared" si="21"/>
        <v>2000/7000/14000</v>
      </c>
      <c r="AE98" s="12" t="str">
        <f t="shared" si="22"/>
        <v/>
      </c>
      <c r="AF98" s="12" t="str">
        <f t="shared" si="23"/>
        <v/>
      </c>
      <c r="AG98" s="12" t="str">
        <f t="shared" si="24"/>
        <v/>
      </c>
      <c r="AH98" s="12" t="str">
        <f t="shared" si="25"/>
        <v/>
      </c>
      <c r="AI98" s="12" t="str">
        <f t="shared" si="26"/>
        <v>10/5</v>
      </c>
    </row>
    <row r="99" spans="1:35" s="8" customFormat="1" ht="21.95" customHeight="1">
      <c r="A99" s="9">
        <v>97</v>
      </c>
      <c r="B99" s="17">
        <v>97</v>
      </c>
      <c r="C99" s="6">
        <v>30</v>
      </c>
      <c r="D99" s="6">
        <v>0</v>
      </c>
      <c r="E99" s="5">
        <v>80</v>
      </c>
      <c r="F99" s="5">
        <v>100</v>
      </c>
      <c r="G99" s="5">
        <v>100</v>
      </c>
      <c r="H99" s="5">
        <v>0</v>
      </c>
      <c r="I99" s="5">
        <v>80</v>
      </c>
      <c r="J99" s="5">
        <v>80</v>
      </c>
      <c r="K99" s="15" t="s">
        <v>54</v>
      </c>
      <c r="L99" s="6">
        <v>3</v>
      </c>
      <c r="M99" s="6">
        <v>0</v>
      </c>
      <c r="N99" s="6">
        <v>0</v>
      </c>
      <c r="O99" s="5">
        <v>0</v>
      </c>
      <c r="P99" s="5">
        <v>0</v>
      </c>
      <c r="Q99" s="5">
        <v>0</v>
      </c>
      <c r="R99" s="5">
        <v>0</v>
      </c>
      <c r="S99" s="5">
        <v>0</v>
      </c>
      <c r="T99" s="5">
        <v>0</v>
      </c>
      <c r="U99" s="6">
        <v>0</v>
      </c>
      <c r="V99" s="5">
        <v>10</v>
      </c>
      <c r="W99" s="5">
        <v>5</v>
      </c>
      <c r="X99" s="16">
        <v>2000</v>
      </c>
      <c r="Y99" s="16">
        <v>7000</v>
      </c>
      <c r="Z99" s="16">
        <v>14000</v>
      </c>
      <c r="AA99" s="12" t="str">
        <f t="shared" si="19"/>
        <v>0/30</v>
      </c>
      <c r="AB99" s="12" t="str">
        <f t="shared" si="27"/>
        <v>80,100,100,0,80,80</v>
      </c>
      <c r="AC99" s="12">
        <f t="shared" si="20"/>
        <v>3</v>
      </c>
      <c r="AD99" s="12" t="str">
        <f t="shared" si="21"/>
        <v>2000/7000/14000</v>
      </c>
      <c r="AE99" s="12" t="str">
        <f t="shared" si="22"/>
        <v/>
      </c>
      <c r="AF99" s="12" t="str">
        <f t="shared" si="23"/>
        <v/>
      </c>
      <c r="AG99" s="12" t="str">
        <f t="shared" si="24"/>
        <v/>
      </c>
      <c r="AH99" s="12" t="str">
        <f t="shared" si="25"/>
        <v/>
      </c>
      <c r="AI99" s="12" t="str">
        <f t="shared" si="26"/>
        <v>10/5</v>
      </c>
    </row>
    <row r="100" spans="1:35" s="8" customFormat="1" ht="21.95" customHeight="1">
      <c r="A100" s="9">
        <v>98</v>
      </c>
      <c r="B100" s="17">
        <v>98</v>
      </c>
      <c r="C100" s="6">
        <v>30</v>
      </c>
      <c r="D100" s="6">
        <v>0</v>
      </c>
      <c r="E100" s="5">
        <v>80</v>
      </c>
      <c r="F100" s="5">
        <v>0</v>
      </c>
      <c r="G100" s="5">
        <v>100</v>
      </c>
      <c r="H100" s="5">
        <v>80</v>
      </c>
      <c r="I100" s="5">
        <v>100</v>
      </c>
      <c r="J100" s="5">
        <v>80</v>
      </c>
      <c r="K100" s="15" t="s">
        <v>55</v>
      </c>
      <c r="L100" s="6">
        <v>3</v>
      </c>
      <c r="M100" s="6">
        <v>0</v>
      </c>
      <c r="N100" s="6">
        <v>0</v>
      </c>
      <c r="O100" s="5">
        <v>0</v>
      </c>
      <c r="P100" s="5">
        <v>0</v>
      </c>
      <c r="Q100" s="5">
        <v>0</v>
      </c>
      <c r="R100" s="5">
        <v>0</v>
      </c>
      <c r="S100" s="5">
        <v>0</v>
      </c>
      <c r="T100" s="5">
        <v>0</v>
      </c>
      <c r="U100" s="6">
        <v>5</v>
      </c>
      <c r="V100" s="5">
        <v>10</v>
      </c>
      <c r="W100" s="5">
        <v>5</v>
      </c>
      <c r="X100" s="16">
        <v>2000</v>
      </c>
      <c r="Y100" s="16">
        <v>7000</v>
      </c>
      <c r="Z100" s="16">
        <v>14000</v>
      </c>
      <c r="AA100" s="12" t="str">
        <f t="shared" si="19"/>
        <v>0/30</v>
      </c>
      <c r="AB100" s="12" t="str">
        <f t="shared" si="27"/>
        <v>80,0,100,80,100,80</v>
      </c>
      <c r="AC100" s="12">
        <f t="shared" si="20"/>
        <v>4</v>
      </c>
      <c r="AD100" s="12" t="str">
        <f t="shared" si="21"/>
        <v>2000/7000/14000</v>
      </c>
      <c r="AE100" s="12" t="str">
        <f t="shared" si="22"/>
        <v/>
      </c>
      <c r="AF100" s="12" t="str">
        <f t="shared" si="23"/>
        <v/>
      </c>
      <c r="AG100" s="12" t="str">
        <f t="shared" si="24"/>
        <v/>
      </c>
      <c r="AH100" s="12" t="str">
        <f t="shared" si="25"/>
        <v/>
      </c>
      <c r="AI100" s="12" t="str">
        <f t="shared" si="26"/>
        <v>10/5</v>
      </c>
    </row>
    <row r="101" spans="1:35" s="8" customFormat="1" ht="21.95" customHeight="1">
      <c r="A101" s="9">
        <v>99</v>
      </c>
      <c r="B101" s="17">
        <v>99</v>
      </c>
      <c r="C101" s="6">
        <v>30</v>
      </c>
      <c r="D101" s="6">
        <v>0</v>
      </c>
      <c r="E101" s="5">
        <v>100</v>
      </c>
      <c r="F101" s="5">
        <v>80</v>
      </c>
      <c r="G101" s="5">
        <v>0</v>
      </c>
      <c r="H101" s="5">
        <v>80</v>
      </c>
      <c r="I101" s="5">
        <v>80</v>
      </c>
      <c r="J101" s="5">
        <v>100</v>
      </c>
      <c r="K101" s="15" t="s">
        <v>55</v>
      </c>
      <c r="L101" s="6">
        <v>3</v>
      </c>
      <c r="M101" s="6">
        <v>0</v>
      </c>
      <c r="N101" s="6">
        <v>0</v>
      </c>
      <c r="O101" s="5">
        <v>0</v>
      </c>
      <c r="P101" s="5">
        <v>0</v>
      </c>
      <c r="Q101" s="5">
        <v>0</v>
      </c>
      <c r="R101" s="5">
        <v>0</v>
      </c>
      <c r="S101" s="5">
        <v>0</v>
      </c>
      <c r="T101" s="5">
        <v>0</v>
      </c>
      <c r="U101" s="6">
        <v>5</v>
      </c>
      <c r="V101" s="5">
        <v>10</v>
      </c>
      <c r="W101" s="5">
        <v>5</v>
      </c>
      <c r="X101" s="16">
        <v>2000</v>
      </c>
      <c r="Y101" s="16">
        <v>7000</v>
      </c>
      <c r="Z101" s="16">
        <v>14000</v>
      </c>
      <c r="AA101" s="12" t="str">
        <f t="shared" si="19"/>
        <v>0/30</v>
      </c>
      <c r="AB101" s="12" t="str">
        <f t="shared" si="27"/>
        <v>100,80,0,80,80,100</v>
      </c>
      <c r="AC101" s="12">
        <f t="shared" si="20"/>
        <v>4</v>
      </c>
      <c r="AD101" s="12" t="str">
        <f t="shared" si="21"/>
        <v>2000/7000/14000</v>
      </c>
      <c r="AE101" s="12" t="str">
        <f t="shared" si="22"/>
        <v/>
      </c>
      <c r="AF101" s="12" t="str">
        <f t="shared" si="23"/>
        <v/>
      </c>
      <c r="AG101" s="12" t="str">
        <f t="shared" si="24"/>
        <v/>
      </c>
      <c r="AH101" s="12" t="str">
        <f t="shared" si="25"/>
        <v/>
      </c>
      <c r="AI101" s="12" t="str">
        <f t="shared" si="26"/>
        <v>10/5</v>
      </c>
    </row>
    <row r="102" spans="1:35" s="8" customFormat="1" ht="21.95" customHeight="1">
      <c r="A102" s="9">
        <v>100</v>
      </c>
      <c r="B102" s="17">
        <v>100</v>
      </c>
      <c r="C102" s="6">
        <v>28</v>
      </c>
      <c r="D102" s="6">
        <v>0</v>
      </c>
      <c r="E102" s="5">
        <v>100</v>
      </c>
      <c r="F102" s="5">
        <v>80</v>
      </c>
      <c r="G102" s="5">
        <v>100</v>
      </c>
      <c r="H102" s="5">
        <v>0</v>
      </c>
      <c r="I102" s="5">
        <v>80</v>
      </c>
      <c r="J102" s="5">
        <v>80</v>
      </c>
      <c r="K102" s="15" t="s">
        <v>51</v>
      </c>
      <c r="L102" s="6">
        <v>3</v>
      </c>
      <c r="M102" s="6">
        <v>0</v>
      </c>
      <c r="N102" s="6">
        <v>0</v>
      </c>
      <c r="O102" s="5">
        <v>0</v>
      </c>
      <c r="P102" s="5">
        <v>0</v>
      </c>
      <c r="Q102" s="5">
        <v>0</v>
      </c>
      <c r="R102" s="5">
        <v>0</v>
      </c>
      <c r="S102" s="5">
        <v>0</v>
      </c>
      <c r="T102" s="5">
        <v>0</v>
      </c>
      <c r="U102" s="6">
        <v>0</v>
      </c>
      <c r="V102" s="5">
        <v>10</v>
      </c>
      <c r="W102" s="5">
        <v>5</v>
      </c>
      <c r="X102" s="16">
        <v>2000</v>
      </c>
      <c r="Y102" s="16">
        <v>7000</v>
      </c>
      <c r="Z102" s="16">
        <v>14000</v>
      </c>
      <c r="AA102" s="12" t="str">
        <f t="shared" si="19"/>
        <v>0/28</v>
      </c>
      <c r="AB102" s="12" t="str">
        <f t="shared" si="27"/>
        <v>100,80,100,0,80,80</v>
      </c>
      <c r="AC102" s="12">
        <f t="shared" si="20"/>
        <v>0</v>
      </c>
      <c r="AD102" s="12" t="str">
        <f t="shared" si="21"/>
        <v>2000/7000/14000</v>
      </c>
      <c r="AE102" s="12" t="str">
        <f t="shared" si="22"/>
        <v/>
      </c>
      <c r="AF102" s="12" t="str">
        <f t="shared" si="23"/>
        <v/>
      </c>
      <c r="AG102" s="12" t="str">
        <f t="shared" si="24"/>
        <v/>
      </c>
      <c r="AH102" s="12" t="str">
        <f t="shared" si="25"/>
        <v/>
      </c>
      <c r="AI102" s="12" t="str">
        <f t="shared" si="26"/>
        <v>10/5</v>
      </c>
    </row>
    <row r="103" spans="1:35" s="8" customFormat="1" ht="21.95" customHeight="1">
      <c r="A103" s="9">
        <v>101</v>
      </c>
      <c r="B103" s="17">
        <v>101</v>
      </c>
      <c r="C103" s="6">
        <v>0</v>
      </c>
      <c r="D103" s="6">
        <v>120</v>
      </c>
      <c r="E103" s="5">
        <v>100</v>
      </c>
      <c r="F103" s="5">
        <v>80</v>
      </c>
      <c r="G103" s="5">
        <v>0</v>
      </c>
      <c r="H103" s="5">
        <v>80</v>
      </c>
      <c r="I103" s="5">
        <v>100</v>
      </c>
      <c r="J103" s="5">
        <v>100</v>
      </c>
      <c r="K103" s="15" t="s">
        <v>53</v>
      </c>
      <c r="L103" s="6">
        <v>3</v>
      </c>
      <c r="M103" s="6">
        <v>0</v>
      </c>
      <c r="N103" s="6">
        <v>0</v>
      </c>
      <c r="O103" s="5">
        <v>30</v>
      </c>
      <c r="P103" s="5">
        <v>0</v>
      </c>
      <c r="Q103" s="5">
        <v>0</v>
      </c>
      <c r="R103" s="5">
        <v>30</v>
      </c>
      <c r="S103" s="5">
        <v>0</v>
      </c>
      <c r="T103" s="5">
        <v>0</v>
      </c>
      <c r="U103" s="6">
        <v>0</v>
      </c>
      <c r="V103" s="5">
        <v>10</v>
      </c>
      <c r="W103" s="5">
        <v>5</v>
      </c>
      <c r="X103" s="16">
        <v>2000</v>
      </c>
      <c r="Y103" s="16">
        <v>7000</v>
      </c>
      <c r="Z103" s="16">
        <v>14000</v>
      </c>
      <c r="AA103" s="12" t="str">
        <f t="shared" ref="AA103:AA122" si="28">IF(C103=0,CONCATENATE("1/",D103),CONCATENATE("0/",C103))</f>
        <v>1/120</v>
      </c>
      <c r="AB103" s="12" t="str">
        <f t="shared" ref="AB103:AB122" si="29">CONCATENATE(E103,",",F103,",",G103,",",H103,",",I103,",",J103)</f>
        <v>100,80,0,80,100,100</v>
      </c>
      <c r="AC103" s="12">
        <f t="shared" ref="AC103:AC122" si="30">VLOOKUP(K103,$I$1005:$J$1012,2,FALSE)</f>
        <v>2</v>
      </c>
      <c r="AD103" s="12" t="str">
        <f t="shared" ref="AD103:AD122" si="31">CONCATENATE(X103,"/",Y103,"/",Z103)</f>
        <v>2000/7000/14000</v>
      </c>
      <c r="AE103" s="12" t="str">
        <f t="shared" ref="AE103:AE122" si="32">CONCATENATE(IF(M103=0,"","0/"),IF(N103=0,"","1/"))</f>
        <v/>
      </c>
      <c r="AF103" s="12" t="str">
        <f t="shared" ref="AF103:AF122" si="33">CONCATENATE(IF(M103=0,"",CONCATENATE(M103,"/")),IF(N103=0,"",CONCATENATE(N103,"/")))</f>
        <v/>
      </c>
      <c r="AG103" s="12" t="str">
        <f t="shared" ref="AG103:AG122" si="34">CONCATENATE(IF(O103=0,"","0/"),IF(P103=0,"","1/"),IF(Q103=0,"","2/"),IF(R103=0,"","3/"),IF(S103=0,"","4/"),IF(T103=0,"","5/"))</f>
        <v>0/3/</v>
      </c>
      <c r="AH103" s="12" t="str">
        <f t="shared" ref="AH103:AH122" si="35">CONCATENATE(IF(O103=0,"",CONCATENATE(O103,"/")),IF(P103=0,"",CONCATENATE(P103,"/")),IF(Q103=0,"",CONCATENATE(Q103,"/")),IF(R103=0,"",CONCATENATE(R103,"/")),IF(S103=0,"",CONCATENATE(S103,"/")),IF(T103=0,"",CONCATENATE(T103,"/")))</f>
        <v>30/30/</v>
      </c>
      <c r="AI103" s="12" t="str">
        <f t="shared" ref="AI103:AI122" si="36">CONCATENATE(V103,"/",W103)</f>
        <v>10/5</v>
      </c>
    </row>
    <row r="104" spans="1:35" s="8" customFormat="1" ht="21.95" customHeight="1">
      <c r="A104" s="9">
        <v>102</v>
      </c>
      <c r="B104" s="17">
        <v>102</v>
      </c>
      <c r="C104" s="6">
        <v>0</v>
      </c>
      <c r="D104" s="6">
        <v>120</v>
      </c>
      <c r="E104" s="5">
        <v>100</v>
      </c>
      <c r="F104" s="5">
        <v>100</v>
      </c>
      <c r="G104" s="5">
        <v>100</v>
      </c>
      <c r="H104" s="5">
        <v>0</v>
      </c>
      <c r="I104" s="5">
        <v>80</v>
      </c>
      <c r="J104" s="5">
        <v>80</v>
      </c>
      <c r="K104" s="15" t="s">
        <v>53</v>
      </c>
      <c r="L104" s="6">
        <v>3</v>
      </c>
      <c r="M104" s="6">
        <v>0</v>
      </c>
      <c r="N104" s="6">
        <v>0</v>
      </c>
      <c r="O104" s="5">
        <v>0</v>
      </c>
      <c r="P104" s="5">
        <v>0</v>
      </c>
      <c r="Q104" s="5">
        <v>0</v>
      </c>
      <c r="R104" s="5">
        <v>0</v>
      </c>
      <c r="S104" s="5">
        <v>18</v>
      </c>
      <c r="T104" s="5">
        <v>16</v>
      </c>
      <c r="U104" s="6">
        <v>0</v>
      </c>
      <c r="V104" s="5">
        <v>10</v>
      </c>
      <c r="W104" s="5">
        <v>5</v>
      </c>
      <c r="X104" s="16">
        <v>2000</v>
      </c>
      <c r="Y104" s="16">
        <v>7000</v>
      </c>
      <c r="Z104" s="16">
        <v>14000</v>
      </c>
      <c r="AA104" s="12" t="str">
        <f t="shared" si="28"/>
        <v>1/120</v>
      </c>
      <c r="AB104" s="12" t="str">
        <f t="shared" si="29"/>
        <v>100,100,100,0,80,80</v>
      </c>
      <c r="AC104" s="12">
        <f t="shared" si="30"/>
        <v>2</v>
      </c>
      <c r="AD104" s="12" t="str">
        <f t="shared" si="31"/>
        <v>2000/7000/14000</v>
      </c>
      <c r="AE104" s="12" t="str">
        <f t="shared" si="32"/>
        <v/>
      </c>
      <c r="AF104" s="12" t="str">
        <f t="shared" si="33"/>
        <v/>
      </c>
      <c r="AG104" s="12" t="str">
        <f t="shared" si="34"/>
        <v>4/5/</v>
      </c>
      <c r="AH104" s="12" t="str">
        <f t="shared" si="35"/>
        <v>18/16/</v>
      </c>
      <c r="AI104" s="12" t="str">
        <f t="shared" si="36"/>
        <v>10/5</v>
      </c>
    </row>
    <row r="105" spans="1:35" s="8" customFormat="1" ht="21.95" customHeight="1">
      <c r="A105" s="9">
        <v>103</v>
      </c>
      <c r="B105" s="17">
        <v>103</v>
      </c>
      <c r="C105" s="6">
        <v>30</v>
      </c>
      <c r="D105" s="6">
        <v>0</v>
      </c>
      <c r="E105" s="5">
        <v>100</v>
      </c>
      <c r="F105" s="5">
        <v>80</v>
      </c>
      <c r="G105" s="5">
        <v>100</v>
      </c>
      <c r="H105" s="5">
        <v>100</v>
      </c>
      <c r="I105" s="5">
        <v>0</v>
      </c>
      <c r="J105" s="5">
        <v>80</v>
      </c>
      <c r="K105" s="15" t="s">
        <v>53</v>
      </c>
      <c r="L105" s="6">
        <v>3</v>
      </c>
      <c r="M105" s="6">
        <v>0</v>
      </c>
      <c r="N105" s="6">
        <v>0</v>
      </c>
      <c r="O105" s="5">
        <v>0</v>
      </c>
      <c r="P105" s="5">
        <v>20</v>
      </c>
      <c r="Q105" s="5">
        <v>0</v>
      </c>
      <c r="R105" s="5">
        <v>0</v>
      </c>
      <c r="S105" s="5">
        <v>0</v>
      </c>
      <c r="T105" s="5">
        <v>18</v>
      </c>
      <c r="U105" s="6">
        <v>0</v>
      </c>
      <c r="V105" s="5">
        <v>10</v>
      </c>
      <c r="W105" s="5">
        <v>5</v>
      </c>
      <c r="X105" s="16">
        <v>2000</v>
      </c>
      <c r="Y105" s="16">
        <v>7000</v>
      </c>
      <c r="Z105" s="16">
        <v>14000</v>
      </c>
      <c r="AA105" s="12" t="str">
        <f t="shared" si="28"/>
        <v>0/30</v>
      </c>
      <c r="AB105" s="12" t="str">
        <f t="shared" si="29"/>
        <v>100,80,100,100,0,80</v>
      </c>
      <c r="AC105" s="12">
        <f t="shared" si="30"/>
        <v>2</v>
      </c>
      <c r="AD105" s="12" t="str">
        <f t="shared" si="31"/>
        <v>2000/7000/14000</v>
      </c>
      <c r="AE105" s="12" t="str">
        <f t="shared" si="32"/>
        <v/>
      </c>
      <c r="AF105" s="12" t="str">
        <f t="shared" si="33"/>
        <v/>
      </c>
      <c r="AG105" s="12" t="str">
        <f t="shared" si="34"/>
        <v>1/5/</v>
      </c>
      <c r="AH105" s="12" t="str">
        <f t="shared" si="35"/>
        <v>20/18/</v>
      </c>
      <c r="AI105" s="12" t="str">
        <f t="shared" si="36"/>
        <v>10/5</v>
      </c>
    </row>
    <row r="106" spans="1:35" s="8" customFormat="1" ht="21.95" customHeight="1">
      <c r="A106" s="9">
        <v>104</v>
      </c>
      <c r="B106" s="17">
        <v>104</v>
      </c>
      <c r="C106" s="6">
        <v>30</v>
      </c>
      <c r="D106" s="6">
        <v>0</v>
      </c>
      <c r="E106" s="5">
        <v>100</v>
      </c>
      <c r="F106" s="5">
        <v>80</v>
      </c>
      <c r="G106" s="5">
        <v>100</v>
      </c>
      <c r="H106" s="5">
        <v>80</v>
      </c>
      <c r="I106" s="5">
        <v>100</v>
      </c>
      <c r="J106" s="5">
        <v>0</v>
      </c>
      <c r="K106" s="15" t="s">
        <v>52</v>
      </c>
      <c r="L106" s="6">
        <v>3</v>
      </c>
      <c r="M106" s="6">
        <v>6</v>
      </c>
      <c r="N106" s="6">
        <v>0</v>
      </c>
      <c r="O106" s="5">
        <v>0</v>
      </c>
      <c r="P106" s="5">
        <v>0</v>
      </c>
      <c r="Q106" s="5">
        <v>0</v>
      </c>
      <c r="R106" s="5">
        <v>0</v>
      </c>
      <c r="S106" s="5">
        <v>0</v>
      </c>
      <c r="T106" s="5">
        <v>0</v>
      </c>
      <c r="U106" s="6">
        <v>0</v>
      </c>
      <c r="V106" s="5">
        <v>10</v>
      </c>
      <c r="W106" s="5">
        <v>5</v>
      </c>
      <c r="X106" s="16">
        <v>2000</v>
      </c>
      <c r="Y106" s="16">
        <v>7000</v>
      </c>
      <c r="Z106" s="16">
        <v>14000</v>
      </c>
      <c r="AA106" s="12" t="str">
        <f t="shared" si="28"/>
        <v>0/30</v>
      </c>
      <c r="AB106" s="12" t="str">
        <f t="shared" si="29"/>
        <v>100,80,100,80,100,0</v>
      </c>
      <c r="AC106" s="12">
        <f t="shared" si="30"/>
        <v>1</v>
      </c>
      <c r="AD106" s="12" t="str">
        <f t="shared" si="31"/>
        <v>2000/7000/14000</v>
      </c>
      <c r="AE106" s="12" t="str">
        <f t="shared" si="32"/>
        <v>0/</v>
      </c>
      <c r="AF106" s="12" t="str">
        <f t="shared" si="33"/>
        <v>6/</v>
      </c>
      <c r="AG106" s="12" t="str">
        <f t="shared" si="34"/>
        <v/>
      </c>
      <c r="AH106" s="12" t="str">
        <f t="shared" si="35"/>
        <v/>
      </c>
      <c r="AI106" s="12" t="str">
        <f t="shared" si="36"/>
        <v>10/5</v>
      </c>
    </row>
    <row r="107" spans="1:35" s="8" customFormat="1" ht="21.95" customHeight="1">
      <c r="A107" s="9">
        <v>105</v>
      </c>
      <c r="B107" s="17">
        <v>105</v>
      </c>
      <c r="C107" s="6">
        <v>30</v>
      </c>
      <c r="D107" s="6">
        <v>0</v>
      </c>
      <c r="E107" s="5">
        <v>50</v>
      </c>
      <c r="F107" s="5">
        <v>50</v>
      </c>
      <c r="G107" s="5">
        <v>50</v>
      </c>
      <c r="H107" s="5">
        <v>100</v>
      </c>
      <c r="I107" s="5">
        <v>100</v>
      </c>
      <c r="J107" s="5">
        <v>100</v>
      </c>
      <c r="K107" s="15" t="s">
        <v>52</v>
      </c>
      <c r="L107" s="6">
        <v>3</v>
      </c>
      <c r="M107" s="6">
        <v>0</v>
      </c>
      <c r="N107" s="6">
        <v>6</v>
      </c>
      <c r="O107" s="5">
        <v>0</v>
      </c>
      <c r="P107" s="5">
        <v>0</v>
      </c>
      <c r="Q107" s="5">
        <v>0</v>
      </c>
      <c r="R107" s="5">
        <v>0</v>
      </c>
      <c r="S107" s="5">
        <v>0</v>
      </c>
      <c r="T107" s="5">
        <v>0</v>
      </c>
      <c r="U107" s="6">
        <v>0</v>
      </c>
      <c r="V107" s="5">
        <v>10</v>
      </c>
      <c r="W107" s="5">
        <v>5</v>
      </c>
      <c r="X107" s="16">
        <v>2000</v>
      </c>
      <c r="Y107" s="16">
        <v>7000</v>
      </c>
      <c r="Z107" s="16">
        <v>14000</v>
      </c>
      <c r="AA107" s="12" t="str">
        <f t="shared" si="28"/>
        <v>0/30</v>
      </c>
      <c r="AB107" s="12" t="str">
        <f t="shared" si="29"/>
        <v>50,50,50,100,100,100</v>
      </c>
      <c r="AC107" s="12">
        <f t="shared" si="30"/>
        <v>1</v>
      </c>
      <c r="AD107" s="12" t="str">
        <f t="shared" si="31"/>
        <v>2000/7000/14000</v>
      </c>
      <c r="AE107" s="12" t="str">
        <f t="shared" si="32"/>
        <v>1/</v>
      </c>
      <c r="AF107" s="12" t="str">
        <f t="shared" si="33"/>
        <v>6/</v>
      </c>
      <c r="AG107" s="12" t="str">
        <f t="shared" si="34"/>
        <v/>
      </c>
      <c r="AH107" s="12" t="str">
        <f t="shared" si="35"/>
        <v/>
      </c>
      <c r="AI107" s="12" t="str">
        <f t="shared" si="36"/>
        <v>10/5</v>
      </c>
    </row>
    <row r="108" spans="1:35" s="8" customFormat="1" ht="21.95" customHeight="1">
      <c r="A108" s="9">
        <v>106</v>
      </c>
      <c r="B108" s="17">
        <v>106</v>
      </c>
      <c r="C108" s="6">
        <v>0</v>
      </c>
      <c r="D108" s="6">
        <v>120</v>
      </c>
      <c r="E108" s="5">
        <v>100</v>
      </c>
      <c r="F108" s="5">
        <v>80</v>
      </c>
      <c r="G108" s="5">
        <v>0</v>
      </c>
      <c r="H108" s="5">
        <v>80</v>
      </c>
      <c r="I108" s="5">
        <v>100</v>
      </c>
      <c r="J108" s="5">
        <v>100</v>
      </c>
      <c r="K108" s="15" t="s">
        <v>54</v>
      </c>
      <c r="L108" s="6">
        <v>3</v>
      </c>
      <c r="M108" s="6">
        <v>0</v>
      </c>
      <c r="N108" s="6">
        <v>0</v>
      </c>
      <c r="O108" s="5">
        <v>0</v>
      </c>
      <c r="P108" s="5">
        <v>0</v>
      </c>
      <c r="Q108" s="5">
        <v>0</v>
      </c>
      <c r="R108" s="5">
        <v>0</v>
      </c>
      <c r="S108" s="5">
        <v>0</v>
      </c>
      <c r="T108" s="5">
        <v>0</v>
      </c>
      <c r="U108" s="6">
        <v>0</v>
      </c>
      <c r="V108" s="5">
        <v>10</v>
      </c>
      <c r="W108" s="5">
        <v>5</v>
      </c>
      <c r="X108" s="16">
        <v>2000</v>
      </c>
      <c r="Y108" s="16">
        <v>7000</v>
      </c>
      <c r="Z108" s="16">
        <v>14000</v>
      </c>
      <c r="AA108" s="12" t="str">
        <f t="shared" si="28"/>
        <v>1/120</v>
      </c>
      <c r="AB108" s="12" t="str">
        <f t="shared" si="29"/>
        <v>100,80,0,80,100,100</v>
      </c>
      <c r="AC108" s="12">
        <f t="shared" si="30"/>
        <v>3</v>
      </c>
      <c r="AD108" s="12" t="str">
        <f t="shared" si="31"/>
        <v>2000/7000/14000</v>
      </c>
      <c r="AE108" s="12" t="str">
        <f t="shared" si="32"/>
        <v/>
      </c>
      <c r="AF108" s="12" t="str">
        <f t="shared" si="33"/>
        <v/>
      </c>
      <c r="AG108" s="12" t="str">
        <f t="shared" si="34"/>
        <v/>
      </c>
      <c r="AH108" s="12" t="str">
        <f t="shared" si="35"/>
        <v/>
      </c>
      <c r="AI108" s="12" t="str">
        <f t="shared" si="36"/>
        <v>10/5</v>
      </c>
    </row>
    <row r="109" spans="1:35" s="8" customFormat="1" ht="21.95" customHeight="1">
      <c r="A109" s="9">
        <v>107</v>
      </c>
      <c r="B109" s="17">
        <v>107</v>
      </c>
      <c r="C109" s="6">
        <v>0</v>
      </c>
      <c r="D109" s="6">
        <v>120</v>
      </c>
      <c r="E109" s="5">
        <v>80</v>
      </c>
      <c r="F109" s="5">
        <v>100</v>
      </c>
      <c r="G109" s="5">
        <v>0</v>
      </c>
      <c r="H109" s="5">
        <v>100</v>
      </c>
      <c r="I109" s="5">
        <v>80</v>
      </c>
      <c r="J109" s="5">
        <v>100</v>
      </c>
      <c r="K109" s="15" t="s">
        <v>54</v>
      </c>
      <c r="L109" s="6">
        <v>3</v>
      </c>
      <c r="M109" s="6">
        <v>0</v>
      </c>
      <c r="N109" s="6">
        <v>0</v>
      </c>
      <c r="O109" s="5">
        <v>0</v>
      </c>
      <c r="P109" s="5">
        <v>0</v>
      </c>
      <c r="Q109" s="5">
        <v>0</v>
      </c>
      <c r="R109" s="5">
        <v>0</v>
      </c>
      <c r="S109" s="5">
        <v>0</v>
      </c>
      <c r="T109" s="5">
        <v>0</v>
      </c>
      <c r="U109" s="6">
        <v>0</v>
      </c>
      <c r="V109" s="5">
        <v>10</v>
      </c>
      <c r="W109" s="5">
        <v>5</v>
      </c>
      <c r="X109" s="16">
        <v>2000</v>
      </c>
      <c r="Y109" s="16">
        <v>7000</v>
      </c>
      <c r="Z109" s="16">
        <v>14000</v>
      </c>
      <c r="AA109" s="12" t="str">
        <f t="shared" si="28"/>
        <v>1/120</v>
      </c>
      <c r="AB109" s="12" t="str">
        <f t="shared" si="29"/>
        <v>80,100,0,100,80,100</v>
      </c>
      <c r="AC109" s="12">
        <f t="shared" si="30"/>
        <v>3</v>
      </c>
      <c r="AD109" s="12" t="str">
        <f t="shared" si="31"/>
        <v>2000/7000/14000</v>
      </c>
      <c r="AE109" s="12" t="str">
        <f t="shared" si="32"/>
        <v/>
      </c>
      <c r="AF109" s="12" t="str">
        <f t="shared" si="33"/>
        <v/>
      </c>
      <c r="AG109" s="12" t="str">
        <f t="shared" si="34"/>
        <v/>
      </c>
      <c r="AH109" s="12" t="str">
        <f t="shared" si="35"/>
        <v/>
      </c>
      <c r="AI109" s="12" t="str">
        <f t="shared" si="36"/>
        <v>10/5</v>
      </c>
    </row>
    <row r="110" spans="1:35" s="8" customFormat="1" ht="21.95" customHeight="1">
      <c r="A110" s="9">
        <v>108</v>
      </c>
      <c r="B110" s="17">
        <v>108</v>
      </c>
      <c r="C110" s="6">
        <v>30</v>
      </c>
      <c r="D110" s="6">
        <v>0</v>
      </c>
      <c r="E110" s="5">
        <v>100</v>
      </c>
      <c r="F110" s="5">
        <v>80</v>
      </c>
      <c r="G110" s="5">
        <v>100</v>
      </c>
      <c r="H110" s="5">
        <v>0</v>
      </c>
      <c r="I110" s="5">
        <v>100</v>
      </c>
      <c r="J110" s="5">
        <v>80</v>
      </c>
      <c r="K110" s="15" t="s">
        <v>55</v>
      </c>
      <c r="L110" s="6">
        <v>3</v>
      </c>
      <c r="M110" s="6">
        <v>0</v>
      </c>
      <c r="N110" s="6">
        <v>0</v>
      </c>
      <c r="O110" s="5">
        <v>0</v>
      </c>
      <c r="P110" s="5">
        <v>0</v>
      </c>
      <c r="Q110" s="5">
        <v>0</v>
      </c>
      <c r="R110" s="5">
        <v>0</v>
      </c>
      <c r="S110" s="5">
        <v>0</v>
      </c>
      <c r="T110" s="5">
        <v>0</v>
      </c>
      <c r="U110" s="6">
        <v>5</v>
      </c>
      <c r="V110" s="5">
        <v>10</v>
      </c>
      <c r="W110" s="5">
        <v>5</v>
      </c>
      <c r="X110" s="16">
        <v>2000</v>
      </c>
      <c r="Y110" s="16">
        <v>7000</v>
      </c>
      <c r="Z110" s="16">
        <v>14000</v>
      </c>
      <c r="AA110" s="12" t="str">
        <f t="shared" si="28"/>
        <v>0/30</v>
      </c>
      <c r="AB110" s="12" t="str">
        <f t="shared" si="29"/>
        <v>100,80,100,0,100,80</v>
      </c>
      <c r="AC110" s="12">
        <f t="shared" si="30"/>
        <v>4</v>
      </c>
      <c r="AD110" s="12" t="str">
        <f t="shared" si="31"/>
        <v>2000/7000/14000</v>
      </c>
      <c r="AE110" s="12" t="str">
        <f t="shared" si="32"/>
        <v/>
      </c>
      <c r="AF110" s="12" t="str">
        <f t="shared" si="33"/>
        <v/>
      </c>
      <c r="AG110" s="12" t="str">
        <f t="shared" si="34"/>
        <v/>
      </c>
      <c r="AH110" s="12" t="str">
        <f t="shared" si="35"/>
        <v/>
      </c>
      <c r="AI110" s="12" t="str">
        <f t="shared" si="36"/>
        <v>10/5</v>
      </c>
    </row>
    <row r="111" spans="1:35" s="8" customFormat="1" ht="21.95" customHeight="1">
      <c r="A111" s="9">
        <v>109</v>
      </c>
      <c r="B111" s="17">
        <v>109</v>
      </c>
      <c r="C111" s="6">
        <v>30</v>
      </c>
      <c r="D111" s="6">
        <v>0</v>
      </c>
      <c r="E111" s="5">
        <v>80</v>
      </c>
      <c r="F111" s="5">
        <v>100</v>
      </c>
      <c r="G111" s="5">
        <v>100</v>
      </c>
      <c r="H111" s="5">
        <v>80</v>
      </c>
      <c r="I111" s="5">
        <v>0</v>
      </c>
      <c r="J111" s="5">
        <v>80</v>
      </c>
      <c r="K111" s="15" t="s">
        <v>55</v>
      </c>
      <c r="L111" s="6">
        <v>3</v>
      </c>
      <c r="M111" s="6">
        <v>0</v>
      </c>
      <c r="N111" s="6">
        <v>0</v>
      </c>
      <c r="O111" s="5">
        <v>0</v>
      </c>
      <c r="P111" s="5">
        <v>0</v>
      </c>
      <c r="Q111" s="5">
        <v>0</v>
      </c>
      <c r="R111" s="5">
        <v>0</v>
      </c>
      <c r="S111" s="5">
        <v>0</v>
      </c>
      <c r="T111" s="5">
        <v>0</v>
      </c>
      <c r="U111" s="6">
        <v>5</v>
      </c>
      <c r="V111" s="5">
        <v>10</v>
      </c>
      <c r="W111" s="5">
        <v>5</v>
      </c>
      <c r="X111" s="16">
        <v>2000</v>
      </c>
      <c r="Y111" s="16">
        <v>7000</v>
      </c>
      <c r="Z111" s="16">
        <v>14000</v>
      </c>
      <c r="AA111" s="12" t="str">
        <f t="shared" si="28"/>
        <v>0/30</v>
      </c>
      <c r="AB111" s="12" t="str">
        <f t="shared" si="29"/>
        <v>80,100,100,80,0,80</v>
      </c>
      <c r="AC111" s="12">
        <f t="shared" si="30"/>
        <v>4</v>
      </c>
      <c r="AD111" s="12" t="str">
        <f t="shared" si="31"/>
        <v>2000/7000/14000</v>
      </c>
      <c r="AE111" s="12" t="str">
        <f t="shared" si="32"/>
        <v/>
      </c>
      <c r="AF111" s="12" t="str">
        <f t="shared" si="33"/>
        <v/>
      </c>
      <c r="AG111" s="12" t="str">
        <f t="shared" si="34"/>
        <v/>
      </c>
      <c r="AH111" s="12" t="str">
        <f t="shared" si="35"/>
        <v/>
      </c>
      <c r="AI111" s="12" t="str">
        <f t="shared" si="36"/>
        <v>10/5</v>
      </c>
    </row>
    <row r="112" spans="1:35" s="8" customFormat="1" ht="21.95" customHeight="1">
      <c r="A112" s="9">
        <v>110</v>
      </c>
      <c r="B112" s="17">
        <v>110</v>
      </c>
      <c r="C112" s="6">
        <v>0</v>
      </c>
      <c r="D112" s="6">
        <v>120</v>
      </c>
      <c r="E112" s="5">
        <v>100</v>
      </c>
      <c r="F112" s="5">
        <v>100</v>
      </c>
      <c r="G112" s="5">
        <v>100</v>
      </c>
      <c r="H112" s="5">
        <v>50</v>
      </c>
      <c r="I112" s="5">
        <v>50</v>
      </c>
      <c r="J112" s="5">
        <v>50</v>
      </c>
      <c r="K112" s="15" t="s">
        <v>51</v>
      </c>
      <c r="L112" s="6">
        <v>3</v>
      </c>
      <c r="M112" s="6">
        <v>0</v>
      </c>
      <c r="N112" s="6">
        <v>0</v>
      </c>
      <c r="O112" s="5">
        <v>0</v>
      </c>
      <c r="P112" s="5">
        <v>0</v>
      </c>
      <c r="Q112" s="5">
        <v>0</v>
      </c>
      <c r="R112" s="5">
        <v>0</v>
      </c>
      <c r="S112" s="5">
        <v>0</v>
      </c>
      <c r="T112" s="5">
        <v>0</v>
      </c>
      <c r="U112" s="6">
        <v>0</v>
      </c>
      <c r="V112" s="5">
        <v>10</v>
      </c>
      <c r="W112" s="5">
        <v>5</v>
      </c>
      <c r="X112" s="16">
        <v>2000</v>
      </c>
      <c r="Y112" s="16">
        <v>7000</v>
      </c>
      <c r="Z112" s="16">
        <v>14000</v>
      </c>
      <c r="AA112" s="12" t="str">
        <f t="shared" si="28"/>
        <v>1/120</v>
      </c>
      <c r="AB112" s="12" t="str">
        <f t="shared" si="29"/>
        <v>100,100,100,50,50,50</v>
      </c>
      <c r="AC112" s="12">
        <f t="shared" si="30"/>
        <v>0</v>
      </c>
      <c r="AD112" s="12" t="str">
        <f t="shared" si="31"/>
        <v>2000/7000/14000</v>
      </c>
      <c r="AE112" s="12" t="str">
        <f t="shared" si="32"/>
        <v/>
      </c>
      <c r="AF112" s="12" t="str">
        <f t="shared" si="33"/>
        <v/>
      </c>
      <c r="AG112" s="12" t="str">
        <f t="shared" si="34"/>
        <v/>
      </c>
      <c r="AH112" s="12" t="str">
        <f t="shared" si="35"/>
        <v/>
      </c>
      <c r="AI112" s="12" t="str">
        <f t="shared" si="36"/>
        <v>10/5</v>
      </c>
    </row>
    <row r="113" spans="1:35" s="8" customFormat="1" ht="21.95" customHeight="1">
      <c r="A113" s="9">
        <v>111</v>
      </c>
      <c r="B113" s="17">
        <v>111</v>
      </c>
      <c r="C113" s="6">
        <v>0</v>
      </c>
      <c r="D113" s="6">
        <v>120</v>
      </c>
      <c r="E113" s="5">
        <v>0</v>
      </c>
      <c r="F113" s="5">
        <v>80</v>
      </c>
      <c r="G113" s="5">
        <v>100</v>
      </c>
      <c r="H113" s="5">
        <v>100</v>
      </c>
      <c r="I113" s="5">
        <v>100</v>
      </c>
      <c r="J113" s="5">
        <v>80</v>
      </c>
      <c r="K113" s="15" t="s">
        <v>53</v>
      </c>
      <c r="L113" s="6">
        <v>3</v>
      </c>
      <c r="M113" s="6">
        <v>0</v>
      </c>
      <c r="N113" s="6">
        <v>0</v>
      </c>
      <c r="O113" s="5">
        <v>0</v>
      </c>
      <c r="P113" s="5">
        <v>25</v>
      </c>
      <c r="Q113" s="5">
        <v>0</v>
      </c>
      <c r="R113" s="5">
        <v>0</v>
      </c>
      <c r="S113" s="5">
        <v>0</v>
      </c>
      <c r="T113" s="5">
        <v>25</v>
      </c>
      <c r="U113" s="6">
        <v>0</v>
      </c>
      <c r="V113" s="5">
        <v>10</v>
      </c>
      <c r="W113" s="5">
        <v>5</v>
      </c>
      <c r="X113" s="16">
        <v>2000</v>
      </c>
      <c r="Y113" s="16">
        <v>7000</v>
      </c>
      <c r="Z113" s="16">
        <v>14000</v>
      </c>
      <c r="AA113" s="12" t="str">
        <f t="shared" si="28"/>
        <v>1/120</v>
      </c>
      <c r="AB113" s="12" t="str">
        <f t="shared" si="29"/>
        <v>0,80,100,100,100,80</v>
      </c>
      <c r="AC113" s="12">
        <f t="shared" si="30"/>
        <v>2</v>
      </c>
      <c r="AD113" s="12" t="str">
        <f t="shared" si="31"/>
        <v>2000/7000/14000</v>
      </c>
      <c r="AE113" s="12" t="str">
        <f t="shared" si="32"/>
        <v/>
      </c>
      <c r="AF113" s="12" t="str">
        <f t="shared" si="33"/>
        <v/>
      </c>
      <c r="AG113" s="12" t="str">
        <f t="shared" si="34"/>
        <v>1/5/</v>
      </c>
      <c r="AH113" s="12" t="str">
        <f t="shared" si="35"/>
        <v>25/25/</v>
      </c>
      <c r="AI113" s="12" t="str">
        <f t="shared" si="36"/>
        <v>10/5</v>
      </c>
    </row>
    <row r="114" spans="1:35" s="8" customFormat="1" ht="21.95" customHeight="1">
      <c r="A114" s="9">
        <v>112</v>
      </c>
      <c r="B114" s="17">
        <v>112</v>
      </c>
      <c r="C114" s="6">
        <v>30</v>
      </c>
      <c r="D114" s="6">
        <v>0</v>
      </c>
      <c r="E114" s="5">
        <v>100</v>
      </c>
      <c r="F114" s="5">
        <v>0</v>
      </c>
      <c r="G114" s="5">
        <v>80</v>
      </c>
      <c r="H114" s="5">
        <v>80</v>
      </c>
      <c r="I114" s="5">
        <v>100</v>
      </c>
      <c r="J114" s="5">
        <v>100</v>
      </c>
      <c r="K114" s="15" t="s">
        <v>53</v>
      </c>
      <c r="L114" s="6">
        <v>3</v>
      </c>
      <c r="M114" s="6">
        <v>0</v>
      </c>
      <c r="N114" s="6">
        <v>0</v>
      </c>
      <c r="O114" s="5">
        <v>0</v>
      </c>
      <c r="P114" s="5">
        <v>0</v>
      </c>
      <c r="Q114" s="5">
        <v>20</v>
      </c>
      <c r="R114" s="5">
        <v>24</v>
      </c>
      <c r="S114" s="5">
        <v>0</v>
      </c>
      <c r="T114" s="5">
        <v>0</v>
      </c>
      <c r="U114" s="6">
        <v>0</v>
      </c>
      <c r="V114" s="5">
        <v>10</v>
      </c>
      <c r="W114" s="5">
        <v>5</v>
      </c>
      <c r="X114" s="16">
        <v>2000</v>
      </c>
      <c r="Y114" s="16">
        <v>7000</v>
      </c>
      <c r="Z114" s="16">
        <v>14000</v>
      </c>
      <c r="AA114" s="12" t="str">
        <f t="shared" si="28"/>
        <v>0/30</v>
      </c>
      <c r="AB114" s="12" t="str">
        <f t="shared" si="29"/>
        <v>100,0,80,80,100,100</v>
      </c>
      <c r="AC114" s="12">
        <f t="shared" si="30"/>
        <v>2</v>
      </c>
      <c r="AD114" s="12" t="str">
        <f t="shared" si="31"/>
        <v>2000/7000/14000</v>
      </c>
      <c r="AE114" s="12" t="str">
        <f t="shared" si="32"/>
        <v/>
      </c>
      <c r="AF114" s="12" t="str">
        <f t="shared" si="33"/>
        <v/>
      </c>
      <c r="AG114" s="12" t="str">
        <f t="shared" si="34"/>
        <v>2/3/</v>
      </c>
      <c r="AH114" s="12" t="str">
        <f t="shared" si="35"/>
        <v>20/24/</v>
      </c>
      <c r="AI114" s="12" t="str">
        <f t="shared" si="36"/>
        <v>10/5</v>
      </c>
    </row>
    <row r="115" spans="1:35" s="8" customFormat="1" ht="21.95" customHeight="1">
      <c r="A115" s="9">
        <v>113</v>
      </c>
      <c r="B115" s="17">
        <v>113</v>
      </c>
      <c r="C115" s="6">
        <v>30</v>
      </c>
      <c r="D115" s="6">
        <v>0</v>
      </c>
      <c r="E115" s="5">
        <v>100</v>
      </c>
      <c r="F115" s="5">
        <v>100</v>
      </c>
      <c r="G115" s="5">
        <v>0</v>
      </c>
      <c r="H115" s="5">
        <v>80</v>
      </c>
      <c r="I115" s="5">
        <v>80</v>
      </c>
      <c r="J115" s="5">
        <v>100</v>
      </c>
      <c r="K115" s="15" t="s">
        <v>53</v>
      </c>
      <c r="L115" s="6">
        <v>3</v>
      </c>
      <c r="M115" s="6">
        <v>0</v>
      </c>
      <c r="N115" s="6">
        <v>0</v>
      </c>
      <c r="O115" s="5">
        <v>0</v>
      </c>
      <c r="P115" s="5">
        <v>0</v>
      </c>
      <c r="Q115" s="5">
        <v>0</v>
      </c>
      <c r="R115" s="5">
        <v>18</v>
      </c>
      <c r="S115" s="5">
        <v>32</v>
      </c>
      <c r="T115" s="5">
        <v>0</v>
      </c>
      <c r="U115" s="6">
        <v>0</v>
      </c>
      <c r="V115" s="5">
        <v>10</v>
      </c>
      <c r="W115" s="5">
        <v>5</v>
      </c>
      <c r="X115" s="16">
        <v>2000</v>
      </c>
      <c r="Y115" s="16">
        <v>7000</v>
      </c>
      <c r="Z115" s="16">
        <v>14000</v>
      </c>
      <c r="AA115" s="12" t="str">
        <f t="shared" si="28"/>
        <v>0/30</v>
      </c>
      <c r="AB115" s="12" t="str">
        <f t="shared" si="29"/>
        <v>100,100,0,80,80,100</v>
      </c>
      <c r="AC115" s="12">
        <f t="shared" si="30"/>
        <v>2</v>
      </c>
      <c r="AD115" s="12" t="str">
        <f t="shared" si="31"/>
        <v>2000/7000/14000</v>
      </c>
      <c r="AE115" s="12" t="str">
        <f t="shared" si="32"/>
        <v/>
      </c>
      <c r="AF115" s="12" t="str">
        <f t="shared" si="33"/>
        <v/>
      </c>
      <c r="AG115" s="12" t="str">
        <f t="shared" si="34"/>
        <v>3/4/</v>
      </c>
      <c r="AH115" s="12" t="str">
        <f t="shared" si="35"/>
        <v>18/32/</v>
      </c>
      <c r="AI115" s="12" t="str">
        <f t="shared" si="36"/>
        <v>10/5</v>
      </c>
    </row>
    <row r="116" spans="1:35" s="8" customFormat="1" ht="21.95" customHeight="1">
      <c r="A116" s="9">
        <v>114</v>
      </c>
      <c r="B116" s="17">
        <v>114</v>
      </c>
      <c r="C116" s="6">
        <v>0</v>
      </c>
      <c r="D116" s="6">
        <v>120</v>
      </c>
      <c r="E116" s="5">
        <v>100</v>
      </c>
      <c r="F116" s="5">
        <v>80</v>
      </c>
      <c r="G116" s="5">
        <v>100</v>
      </c>
      <c r="H116" s="5">
        <v>0</v>
      </c>
      <c r="I116" s="5">
        <v>80</v>
      </c>
      <c r="J116" s="5">
        <v>100</v>
      </c>
      <c r="K116" s="15" t="s">
        <v>52</v>
      </c>
      <c r="L116" s="6">
        <v>3</v>
      </c>
      <c r="M116" s="6">
        <v>6</v>
      </c>
      <c r="N116" s="6">
        <v>0</v>
      </c>
      <c r="O116" s="5">
        <v>0</v>
      </c>
      <c r="P116" s="5">
        <v>0</v>
      </c>
      <c r="Q116" s="5">
        <v>0</v>
      </c>
      <c r="R116" s="5">
        <v>0</v>
      </c>
      <c r="S116" s="5">
        <v>0</v>
      </c>
      <c r="T116" s="5">
        <v>0</v>
      </c>
      <c r="U116" s="6">
        <v>0</v>
      </c>
      <c r="V116" s="5">
        <v>10</v>
      </c>
      <c r="W116" s="5">
        <v>5</v>
      </c>
      <c r="X116" s="16">
        <v>2000</v>
      </c>
      <c r="Y116" s="16">
        <v>7000</v>
      </c>
      <c r="Z116" s="16">
        <v>14000</v>
      </c>
      <c r="AA116" s="12" t="str">
        <f t="shared" si="28"/>
        <v>1/120</v>
      </c>
      <c r="AB116" s="12" t="str">
        <f t="shared" si="29"/>
        <v>100,80,100,0,80,100</v>
      </c>
      <c r="AC116" s="12">
        <f t="shared" si="30"/>
        <v>1</v>
      </c>
      <c r="AD116" s="12" t="str">
        <f t="shared" si="31"/>
        <v>2000/7000/14000</v>
      </c>
      <c r="AE116" s="12" t="str">
        <f t="shared" si="32"/>
        <v>0/</v>
      </c>
      <c r="AF116" s="12" t="str">
        <f t="shared" si="33"/>
        <v>6/</v>
      </c>
      <c r="AG116" s="12" t="str">
        <f t="shared" si="34"/>
        <v/>
      </c>
      <c r="AH116" s="12" t="str">
        <f t="shared" si="35"/>
        <v/>
      </c>
      <c r="AI116" s="12" t="str">
        <f t="shared" si="36"/>
        <v>10/5</v>
      </c>
    </row>
    <row r="117" spans="1:35" s="8" customFormat="1" ht="21.95" customHeight="1">
      <c r="A117" s="9">
        <v>115</v>
      </c>
      <c r="B117" s="17">
        <v>115</v>
      </c>
      <c r="C117" s="6">
        <v>0</v>
      </c>
      <c r="D117" s="6">
        <v>120</v>
      </c>
      <c r="E117" s="5">
        <v>80</v>
      </c>
      <c r="F117" s="5">
        <v>100</v>
      </c>
      <c r="G117" s="5">
        <v>80</v>
      </c>
      <c r="H117" s="5">
        <v>100</v>
      </c>
      <c r="I117" s="5">
        <v>0</v>
      </c>
      <c r="J117" s="5">
        <v>80</v>
      </c>
      <c r="K117" s="15" t="s">
        <v>52</v>
      </c>
      <c r="L117" s="6">
        <v>3</v>
      </c>
      <c r="M117" s="6">
        <v>2</v>
      </c>
      <c r="N117" s="6">
        <v>4</v>
      </c>
      <c r="O117" s="5">
        <v>0</v>
      </c>
      <c r="P117" s="5">
        <v>0</v>
      </c>
      <c r="Q117" s="5">
        <v>0</v>
      </c>
      <c r="R117" s="5">
        <v>0</v>
      </c>
      <c r="S117" s="5">
        <v>0</v>
      </c>
      <c r="T117" s="5">
        <v>0</v>
      </c>
      <c r="U117" s="6">
        <v>0</v>
      </c>
      <c r="V117" s="5">
        <v>10</v>
      </c>
      <c r="W117" s="5">
        <v>5</v>
      </c>
      <c r="X117" s="16">
        <v>2000</v>
      </c>
      <c r="Y117" s="16">
        <v>7000</v>
      </c>
      <c r="Z117" s="16">
        <v>14000</v>
      </c>
      <c r="AA117" s="12" t="str">
        <f t="shared" si="28"/>
        <v>1/120</v>
      </c>
      <c r="AB117" s="12" t="str">
        <f t="shared" si="29"/>
        <v>80,100,80,100,0,80</v>
      </c>
      <c r="AC117" s="12">
        <f t="shared" si="30"/>
        <v>1</v>
      </c>
      <c r="AD117" s="12" t="str">
        <f t="shared" si="31"/>
        <v>2000/7000/14000</v>
      </c>
      <c r="AE117" s="12" t="str">
        <f t="shared" si="32"/>
        <v>0/1/</v>
      </c>
      <c r="AF117" s="12" t="str">
        <f t="shared" si="33"/>
        <v>2/4/</v>
      </c>
      <c r="AG117" s="12" t="str">
        <f t="shared" si="34"/>
        <v/>
      </c>
      <c r="AH117" s="12" t="str">
        <f t="shared" si="35"/>
        <v/>
      </c>
      <c r="AI117" s="12" t="str">
        <f t="shared" si="36"/>
        <v>10/5</v>
      </c>
    </row>
    <row r="118" spans="1:35" s="8" customFormat="1" ht="21.95" customHeight="1">
      <c r="A118" s="9">
        <v>116</v>
      </c>
      <c r="B118" s="17">
        <v>116</v>
      </c>
      <c r="C118" s="6">
        <v>30</v>
      </c>
      <c r="D118" s="6">
        <v>0</v>
      </c>
      <c r="E118" s="5">
        <v>100</v>
      </c>
      <c r="F118" s="5">
        <v>80</v>
      </c>
      <c r="G118" s="5">
        <v>100</v>
      </c>
      <c r="H118" s="5">
        <v>80</v>
      </c>
      <c r="I118" s="5">
        <v>100</v>
      </c>
      <c r="J118" s="5">
        <v>0</v>
      </c>
      <c r="K118" s="15" t="s">
        <v>54</v>
      </c>
      <c r="L118" s="6">
        <v>3</v>
      </c>
      <c r="M118" s="6">
        <v>0</v>
      </c>
      <c r="N118" s="6">
        <v>0</v>
      </c>
      <c r="O118" s="5">
        <v>0</v>
      </c>
      <c r="P118" s="5">
        <v>0</v>
      </c>
      <c r="Q118" s="5">
        <v>0</v>
      </c>
      <c r="R118" s="5">
        <v>0</v>
      </c>
      <c r="S118" s="5">
        <v>0</v>
      </c>
      <c r="T118" s="5">
        <v>0</v>
      </c>
      <c r="U118" s="6">
        <v>0</v>
      </c>
      <c r="V118" s="5">
        <v>10</v>
      </c>
      <c r="W118" s="5">
        <v>5</v>
      </c>
      <c r="X118" s="16">
        <v>2000</v>
      </c>
      <c r="Y118" s="16">
        <v>7000</v>
      </c>
      <c r="Z118" s="16">
        <v>14000</v>
      </c>
      <c r="AA118" s="12" t="str">
        <f t="shared" si="28"/>
        <v>0/30</v>
      </c>
      <c r="AB118" s="12" t="str">
        <f t="shared" si="29"/>
        <v>100,80,100,80,100,0</v>
      </c>
      <c r="AC118" s="12">
        <f t="shared" si="30"/>
        <v>3</v>
      </c>
      <c r="AD118" s="12" t="str">
        <f t="shared" si="31"/>
        <v>2000/7000/14000</v>
      </c>
      <c r="AE118" s="12" t="str">
        <f t="shared" si="32"/>
        <v/>
      </c>
      <c r="AF118" s="12" t="str">
        <f t="shared" si="33"/>
        <v/>
      </c>
      <c r="AG118" s="12" t="str">
        <f t="shared" si="34"/>
        <v/>
      </c>
      <c r="AH118" s="12" t="str">
        <f t="shared" si="35"/>
        <v/>
      </c>
      <c r="AI118" s="12" t="str">
        <f t="shared" si="36"/>
        <v>10/5</v>
      </c>
    </row>
    <row r="119" spans="1:35" s="8" customFormat="1" ht="21.95" customHeight="1">
      <c r="A119" s="9">
        <v>117</v>
      </c>
      <c r="B119" s="17">
        <v>117</v>
      </c>
      <c r="C119" s="6">
        <v>30</v>
      </c>
      <c r="D119" s="6">
        <v>0</v>
      </c>
      <c r="E119" s="5">
        <v>0</v>
      </c>
      <c r="F119" s="5">
        <v>100</v>
      </c>
      <c r="G119" s="5">
        <v>80</v>
      </c>
      <c r="H119" s="5">
        <v>80</v>
      </c>
      <c r="I119" s="5">
        <v>80</v>
      </c>
      <c r="J119" s="5">
        <v>100</v>
      </c>
      <c r="K119" s="15" t="s">
        <v>54</v>
      </c>
      <c r="L119" s="6">
        <v>3</v>
      </c>
      <c r="M119" s="6">
        <v>0</v>
      </c>
      <c r="N119" s="6">
        <v>0</v>
      </c>
      <c r="O119" s="5">
        <v>0</v>
      </c>
      <c r="P119" s="5">
        <v>0</v>
      </c>
      <c r="Q119" s="5">
        <v>0</v>
      </c>
      <c r="R119" s="5">
        <v>0</v>
      </c>
      <c r="S119" s="5">
        <v>0</v>
      </c>
      <c r="T119" s="5">
        <v>0</v>
      </c>
      <c r="U119" s="6">
        <v>0</v>
      </c>
      <c r="V119" s="5">
        <v>10</v>
      </c>
      <c r="W119" s="5">
        <v>5</v>
      </c>
      <c r="X119" s="16">
        <v>2000</v>
      </c>
      <c r="Y119" s="16">
        <v>7000</v>
      </c>
      <c r="Z119" s="16">
        <v>14000</v>
      </c>
      <c r="AA119" s="12" t="str">
        <f t="shared" si="28"/>
        <v>0/30</v>
      </c>
      <c r="AB119" s="12" t="str">
        <f t="shared" si="29"/>
        <v>0,100,80,80,80,100</v>
      </c>
      <c r="AC119" s="12">
        <f t="shared" si="30"/>
        <v>3</v>
      </c>
      <c r="AD119" s="12" t="str">
        <f t="shared" si="31"/>
        <v>2000/7000/14000</v>
      </c>
      <c r="AE119" s="12" t="str">
        <f t="shared" si="32"/>
        <v/>
      </c>
      <c r="AF119" s="12" t="str">
        <f t="shared" si="33"/>
        <v/>
      </c>
      <c r="AG119" s="12" t="str">
        <f t="shared" si="34"/>
        <v/>
      </c>
      <c r="AH119" s="12" t="str">
        <f t="shared" si="35"/>
        <v/>
      </c>
      <c r="AI119" s="12" t="str">
        <f t="shared" si="36"/>
        <v>10/5</v>
      </c>
    </row>
    <row r="120" spans="1:35" s="8" customFormat="1" ht="21.95" customHeight="1">
      <c r="A120" s="9">
        <v>118</v>
      </c>
      <c r="B120" s="17">
        <v>118</v>
      </c>
      <c r="C120" s="6">
        <v>30</v>
      </c>
      <c r="D120" s="6">
        <v>0</v>
      </c>
      <c r="E120" s="5">
        <v>80</v>
      </c>
      <c r="F120" s="5">
        <v>0</v>
      </c>
      <c r="G120" s="5">
        <v>100</v>
      </c>
      <c r="H120" s="5">
        <v>80</v>
      </c>
      <c r="I120" s="5">
        <v>100</v>
      </c>
      <c r="J120" s="5">
        <v>80</v>
      </c>
      <c r="K120" s="15" t="s">
        <v>55</v>
      </c>
      <c r="L120" s="6">
        <v>3</v>
      </c>
      <c r="M120" s="6">
        <v>0</v>
      </c>
      <c r="N120" s="6">
        <v>0</v>
      </c>
      <c r="O120" s="5">
        <v>0</v>
      </c>
      <c r="P120" s="5">
        <v>0</v>
      </c>
      <c r="Q120" s="5">
        <v>0</v>
      </c>
      <c r="R120" s="5">
        <v>0</v>
      </c>
      <c r="S120" s="5">
        <v>0</v>
      </c>
      <c r="T120" s="5">
        <v>0</v>
      </c>
      <c r="U120" s="6">
        <v>5</v>
      </c>
      <c r="V120" s="5">
        <v>10</v>
      </c>
      <c r="W120" s="5">
        <v>5</v>
      </c>
      <c r="X120" s="16">
        <v>2000</v>
      </c>
      <c r="Y120" s="16">
        <v>7000</v>
      </c>
      <c r="Z120" s="16">
        <v>14000</v>
      </c>
      <c r="AA120" s="12" t="str">
        <f t="shared" si="28"/>
        <v>0/30</v>
      </c>
      <c r="AB120" s="12" t="str">
        <f t="shared" si="29"/>
        <v>80,0,100,80,100,80</v>
      </c>
      <c r="AC120" s="12">
        <f t="shared" si="30"/>
        <v>4</v>
      </c>
      <c r="AD120" s="12" t="str">
        <f t="shared" si="31"/>
        <v>2000/7000/14000</v>
      </c>
      <c r="AE120" s="12" t="str">
        <f t="shared" si="32"/>
        <v/>
      </c>
      <c r="AF120" s="12" t="str">
        <f t="shared" si="33"/>
        <v/>
      </c>
      <c r="AG120" s="12" t="str">
        <f t="shared" si="34"/>
        <v/>
      </c>
      <c r="AH120" s="12" t="str">
        <f t="shared" si="35"/>
        <v/>
      </c>
      <c r="AI120" s="12" t="str">
        <f t="shared" si="36"/>
        <v>10/5</v>
      </c>
    </row>
    <row r="121" spans="1:35" s="8" customFormat="1" ht="21.95" customHeight="1">
      <c r="A121" s="9">
        <v>119</v>
      </c>
      <c r="B121" s="17">
        <v>119</v>
      </c>
      <c r="C121" s="6">
        <v>30</v>
      </c>
      <c r="D121" s="6">
        <v>0</v>
      </c>
      <c r="E121" s="5">
        <v>100</v>
      </c>
      <c r="F121" s="5">
        <v>80</v>
      </c>
      <c r="G121" s="5">
        <v>0</v>
      </c>
      <c r="H121" s="5">
        <v>80</v>
      </c>
      <c r="I121" s="5">
        <v>100</v>
      </c>
      <c r="J121" s="5">
        <v>80</v>
      </c>
      <c r="K121" s="15" t="s">
        <v>55</v>
      </c>
      <c r="L121" s="6">
        <v>3</v>
      </c>
      <c r="M121" s="6">
        <v>0</v>
      </c>
      <c r="N121" s="6">
        <v>0</v>
      </c>
      <c r="O121" s="5">
        <v>0</v>
      </c>
      <c r="P121" s="5">
        <v>0</v>
      </c>
      <c r="Q121" s="5">
        <v>0</v>
      </c>
      <c r="R121" s="5">
        <v>0</v>
      </c>
      <c r="S121" s="5">
        <v>0</v>
      </c>
      <c r="T121" s="5">
        <v>0</v>
      </c>
      <c r="U121" s="6">
        <v>5</v>
      </c>
      <c r="V121" s="5">
        <v>10</v>
      </c>
      <c r="W121" s="5">
        <v>5</v>
      </c>
      <c r="X121" s="16">
        <v>2000</v>
      </c>
      <c r="Y121" s="16">
        <v>7000</v>
      </c>
      <c r="Z121" s="16">
        <v>14000</v>
      </c>
      <c r="AA121" s="12" t="str">
        <f t="shared" si="28"/>
        <v>0/30</v>
      </c>
      <c r="AB121" s="12" t="str">
        <f t="shared" si="29"/>
        <v>100,80,0,80,100,80</v>
      </c>
      <c r="AC121" s="12">
        <f t="shared" si="30"/>
        <v>4</v>
      </c>
      <c r="AD121" s="12" t="str">
        <f t="shared" si="31"/>
        <v>2000/7000/14000</v>
      </c>
      <c r="AE121" s="12" t="str">
        <f t="shared" si="32"/>
        <v/>
      </c>
      <c r="AF121" s="12" t="str">
        <f t="shared" si="33"/>
        <v/>
      </c>
      <c r="AG121" s="12" t="str">
        <f t="shared" si="34"/>
        <v/>
      </c>
      <c r="AH121" s="12" t="str">
        <f t="shared" si="35"/>
        <v/>
      </c>
      <c r="AI121" s="12" t="str">
        <f t="shared" si="36"/>
        <v>10/5</v>
      </c>
    </row>
    <row r="122" spans="1:35" s="8" customFormat="1" ht="21.95" customHeight="1">
      <c r="A122" s="9">
        <v>120</v>
      </c>
      <c r="B122" s="17">
        <v>120</v>
      </c>
      <c r="C122" s="6">
        <v>0</v>
      </c>
      <c r="D122" s="6">
        <v>120</v>
      </c>
      <c r="E122" s="5">
        <v>100</v>
      </c>
      <c r="F122" s="5">
        <v>50</v>
      </c>
      <c r="G122" s="5">
        <v>50</v>
      </c>
      <c r="H122" s="5">
        <v>50</v>
      </c>
      <c r="I122" s="5">
        <v>100</v>
      </c>
      <c r="J122" s="5">
        <v>100</v>
      </c>
      <c r="K122" s="15" t="s">
        <v>51</v>
      </c>
      <c r="L122" s="6">
        <v>3</v>
      </c>
      <c r="M122" s="6">
        <v>0</v>
      </c>
      <c r="N122" s="6">
        <v>0</v>
      </c>
      <c r="O122" s="5">
        <v>0</v>
      </c>
      <c r="P122" s="5">
        <v>0</v>
      </c>
      <c r="Q122" s="5">
        <v>0</v>
      </c>
      <c r="R122" s="5">
        <v>0</v>
      </c>
      <c r="S122" s="5">
        <v>0</v>
      </c>
      <c r="T122" s="5">
        <v>0</v>
      </c>
      <c r="U122" s="6">
        <v>0</v>
      </c>
      <c r="V122" s="5">
        <v>10</v>
      </c>
      <c r="W122" s="5">
        <v>5</v>
      </c>
      <c r="X122" s="16">
        <v>2000</v>
      </c>
      <c r="Y122" s="16">
        <v>7000</v>
      </c>
      <c r="Z122" s="16">
        <v>14000</v>
      </c>
      <c r="AA122" s="12" t="str">
        <f t="shared" si="28"/>
        <v>1/120</v>
      </c>
      <c r="AB122" s="12" t="str">
        <f t="shared" si="29"/>
        <v>100,50,50,50,100,100</v>
      </c>
      <c r="AC122" s="12">
        <f t="shared" si="30"/>
        <v>0</v>
      </c>
      <c r="AD122" s="12" t="str">
        <f t="shared" si="31"/>
        <v>2000/7000/14000</v>
      </c>
      <c r="AE122" s="12" t="str">
        <f t="shared" si="32"/>
        <v/>
      </c>
      <c r="AF122" s="12" t="str">
        <f t="shared" si="33"/>
        <v/>
      </c>
      <c r="AG122" s="12" t="str">
        <f t="shared" si="34"/>
        <v/>
      </c>
      <c r="AH122" s="12" t="str">
        <f t="shared" si="35"/>
        <v/>
      </c>
      <c r="AI122" s="12" t="str">
        <f t="shared" si="36"/>
        <v>10/5</v>
      </c>
    </row>
    <row r="123" spans="1:35" s="8" customFormat="1" ht="21.95" customHeight="1">
      <c r="A123" s="9">
        <v>121</v>
      </c>
      <c r="B123" s="17">
        <v>121</v>
      </c>
      <c r="C123" s="6">
        <v>0</v>
      </c>
      <c r="D123" s="6">
        <v>120</v>
      </c>
      <c r="E123" s="5">
        <v>100</v>
      </c>
      <c r="F123" s="5">
        <v>80</v>
      </c>
      <c r="G123" s="5">
        <v>0</v>
      </c>
      <c r="H123" s="5">
        <v>80</v>
      </c>
      <c r="I123" s="5">
        <v>100</v>
      </c>
      <c r="J123" s="5">
        <v>100</v>
      </c>
      <c r="K123" s="15" t="s">
        <v>51</v>
      </c>
      <c r="L123" s="6">
        <v>3</v>
      </c>
      <c r="M123" s="6">
        <v>0</v>
      </c>
      <c r="N123" s="6">
        <v>0</v>
      </c>
      <c r="O123" s="5">
        <v>0</v>
      </c>
      <c r="P123" s="5">
        <v>0</v>
      </c>
      <c r="Q123" s="5">
        <v>0</v>
      </c>
      <c r="R123" s="5">
        <v>0</v>
      </c>
      <c r="S123" s="5">
        <v>0</v>
      </c>
      <c r="T123" s="5">
        <v>0</v>
      </c>
      <c r="U123" s="6">
        <v>0</v>
      </c>
      <c r="V123" s="5">
        <v>10</v>
      </c>
      <c r="W123" s="5">
        <v>5</v>
      </c>
      <c r="X123" s="16">
        <v>2000</v>
      </c>
      <c r="Y123" s="16">
        <v>7000</v>
      </c>
      <c r="Z123" s="16">
        <v>14000</v>
      </c>
      <c r="AA123" s="12" t="str">
        <f t="shared" ref="AA123:AA142" si="37">IF(C123=0,CONCATENATE("1/",D123),CONCATENATE("0/",C123))</f>
        <v>1/120</v>
      </c>
      <c r="AB123" s="12" t="str">
        <f t="shared" ref="AB123:AB142" si="38">CONCATENATE(E123,",",F123,",",G123,",",H123,",",I123,",",J123)</f>
        <v>100,80,0,80,100,100</v>
      </c>
      <c r="AC123" s="12">
        <f t="shared" ref="AC123:AC142" si="39">VLOOKUP(K123,$I$1005:$J$1012,2,FALSE)</f>
        <v>0</v>
      </c>
      <c r="AD123" s="12" t="str">
        <f t="shared" ref="AD123:AD142" si="40">CONCATENATE(X123,"/",Y123,"/",Z123)</f>
        <v>2000/7000/14000</v>
      </c>
      <c r="AE123" s="12" t="str">
        <f t="shared" ref="AE123:AE142" si="41">CONCATENATE(IF(M123=0,"","0/"),IF(N123=0,"","1/"))</f>
        <v/>
      </c>
      <c r="AF123" s="12" t="str">
        <f t="shared" ref="AF123:AF142" si="42">CONCATENATE(IF(M123=0,"",CONCATENATE(M123,"/")),IF(N123=0,"",CONCATENATE(N123,"/")))</f>
        <v/>
      </c>
      <c r="AG123" s="12" t="str">
        <f t="shared" ref="AG123:AG142" si="43">CONCATENATE(IF(O123=0,"","0/"),IF(P123=0,"","1/"),IF(Q123=0,"","2/"),IF(R123=0,"","3/"),IF(S123=0,"","4/"),IF(T123=0,"","5/"))</f>
        <v/>
      </c>
      <c r="AH123" s="12" t="str">
        <f t="shared" ref="AH123:AH142" si="44">CONCATENATE(IF(O123=0,"",CONCATENATE(O123,"/")),IF(P123=0,"",CONCATENATE(P123,"/")),IF(Q123=0,"",CONCATENATE(Q123,"/")),IF(R123=0,"",CONCATENATE(R123,"/")),IF(S123=0,"",CONCATENATE(S123,"/")),IF(T123=0,"",CONCATENATE(T123,"/")))</f>
        <v/>
      </c>
      <c r="AI123" s="12" t="str">
        <f t="shared" ref="AI123:AI142" si="45">CONCATENATE(V123,"/",W123)</f>
        <v>10/5</v>
      </c>
    </row>
    <row r="124" spans="1:35" s="8" customFormat="1" ht="21.95" customHeight="1">
      <c r="A124" s="9">
        <v>122</v>
      </c>
      <c r="B124" s="17">
        <v>122</v>
      </c>
      <c r="C124" s="6">
        <v>30</v>
      </c>
      <c r="D124" s="6">
        <v>0</v>
      </c>
      <c r="E124" s="5">
        <v>100</v>
      </c>
      <c r="F124" s="5">
        <v>80</v>
      </c>
      <c r="G124" s="5">
        <v>100</v>
      </c>
      <c r="H124" s="5">
        <v>0</v>
      </c>
      <c r="I124" s="5">
        <v>80</v>
      </c>
      <c r="J124" s="5">
        <v>80</v>
      </c>
      <c r="K124" s="15" t="s">
        <v>53</v>
      </c>
      <c r="L124" s="6">
        <v>3</v>
      </c>
      <c r="M124" s="6">
        <v>0</v>
      </c>
      <c r="N124" s="6">
        <v>0</v>
      </c>
      <c r="O124" s="5">
        <v>0</v>
      </c>
      <c r="P124" s="5">
        <v>0</v>
      </c>
      <c r="Q124" s="5">
        <v>0</v>
      </c>
      <c r="R124" s="5">
        <v>0</v>
      </c>
      <c r="S124" s="5">
        <v>18</v>
      </c>
      <c r="T124" s="5">
        <v>16</v>
      </c>
      <c r="U124" s="6">
        <v>0</v>
      </c>
      <c r="V124" s="5">
        <v>10</v>
      </c>
      <c r="W124" s="5">
        <v>5</v>
      </c>
      <c r="X124" s="16">
        <v>2000</v>
      </c>
      <c r="Y124" s="16">
        <v>7000</v>
      </c>
      <c r="Z124" s="16">
        <v>14000</v>
      </c>
      <c r="AA124" s="12" t="str">
        <f t="shared" si="37"/>
        <v>0/30</v>
      </c>
      <c r="AB124" s="12" t="str">
        <f t="shared" si="38"/>
        <v>100,80,100,0,80,80</v>
      </c>
      <c r="AC124" s="12">
        <f t="shared" si="39"/>
        <v>2</v>
      </c>
      <c r="AD124" s="12" t="str">
        <f t="shared" si="40"/>
        <v>2000/7000/14000</v>
      </c>
      <c r="AE124" s="12" t="str">
        <f t="shared" si="41"/>
        <v/>
      </c>
      <c r="AF124" s="12" t="str">
        <f t="shared" si="42"/>
        <v/>
      </c>
      <c r="AG124" s="12" t="str">
        <f t="shared" si="43"/>
        <v>4/5/</v>
      </c>
      <c r="AH124" s="12" t="str">
        <f t="shared" si="44"/>
        <v>18/16/</v>
      </c>
      <c r="AI124" s="12" t="str">
        <f t="shared" si="45"/>
        <v>10/5</v>
      </c>
    </row>
    <row r="125" spans="1:35" s="8" customFormat="1" ht="21.95" customHeight="1">
      <c r="A125" s="9">
        <v>123</v>
      </c>
      <c r="B125" s="17">
        <v>123</v>
      </c>
      <c r="C125" s="6">
        <v>30</v>
      </c>
      <c r="D125" s="6">
        <v>0</v>
      </c>
      <c r="E125" s="5">
        <v>80</v>
      </c>
      <c r="F125" s="5">
        <v>100</v>
      </c>
      <c r="G125" s="5">
        <v>80</v>
      </c>
      <c r="H125" s="5">
        <v>100</v>
      </c>
      <c r="I125" s="5">
        <v>0</v>
      </c>
      <c r="J125" s="5">
        <v>80</v>
      </c>
      <c r="K125" s="15" t="s">
        <v>53</v>
      </c>
      <c r="L125" s="6">
        <v>3</v>
      </c>
      <c r="M125" s="6">
        <v>0</v>
      </c>
      <c r="N125" s="6">
        <v>0</v>
      </c>
      <c r="O125" s="5">
        <v>16</v>
      </c>
      <c r="P125" s="5">
        <v>0</v>
      </c>
      <c r="Q125" s="5">
        <v>0</v>
      </c>
      <c r="R125" s="5">
        <v>0</v>
      </c>
      <c r="S125" s="5">
        <v>0</v>
      </c>
      <c r="T125" s="5">
        <v>18</v>
      </c>
      <c r="U125" s="6">
        <v>0</v>
      </c>
      <c r="V125" s="5">
        <v>10</v>
      </c>
      <c r="W125" s="5">
        <v>5</v>
      </c>
      <c r="X125" s="16">
        <v>2000</v>
      </c>
      <c r="Y125" s="16">
        <v>7000</v>
      </c>
      <c r="Z125" s="16">
        <v>14000</v>
      </c>
      <c r="AA125" s="12" t="str">
        <f t="shared" si="37"/>
        <v>0/30</v>
      </c>
      <c r="AB125" s="12" t="str">
        <f t="shared" si="38"/>
        <v>80,100,80,100,0,80</v>
      </c>
      <c r="AC125" s="12">
        <f t="shared" si="39"/>
        <v>2</v>
      </c>
      <c r="AD125" s="12" t="str">
        <f t="shared" si="40"/>
        <v>2000/7000/14000</v>
      </c>
      <c r="AE125" s="12" t="str">
        <f t="shared" si="41"/>
        <v/>
      </c>
      <c r="AF125" s="12" t="str">
        <f t="shared" si="42"/>
        <v/>
      </c>
      <c r="AG125" s="12" t="str">
        <f t="shared" si="43"/>
        <v>0/5/</v>
      </c>
      <c r="AH125" s="12" t="str">
        <f t="shared" si="44"/>
        <v>16/18/</v>
      </c>
      <c r="AI125" s="12" t="str">
        <f t="shared" si="45"/>
        <v>10/5</v>
      </c>
    </row>
    <row r="126" spans="1:35" s="8" customFormat="1" ht="21.95" customHeight="1">
      <c r="A126" s="9">
        <v>124</v>
      </c>
      <c r="B126" s="17">
        <v>124</v>
      </c>
      <c r="C126" s="6">
        <v>30</v>
      </c>
      <c r="D126" s="6">
        <v>0</v>
      </c>
      <c r="E126" s="5">
        <v>80</v>
      </c>
      <c r="F126" s="5">
        <v>100</v>
      </c>
      <c r="G126" s="5">
        <v>100</v>
      </c>
      <c r="H126" s="5">
        <v>80</v>
      </c>
      <c r="I126" s="5">
        <v>100</v>
      </c>
      <c r="J126" s="5">
        <v>0</v>
      </c>
      <c r="K126" s="15" t="s">
        <v>52</v>
      </c>
      <c r="L126" s="6">
        <v>3</v>
      </c>
      <c r="M126" s="6">
        <v>6</v>
      </c>
      <c r="N126" s="6">
        <v>0</v>
      </c>
      <c r="O126" s="5">
        <v>0</v>
      </c>
      <c r="P126" s="5">
        <v>0</v>
      </c>
      <c r="Q126" s="5">
        <v>0</v>
      </c>
      <c r="R126" s="5">
        <v>0</v>
      </c>
      <c r="S126" s="5">
        <v>0</v>
      </c>
      <c r="T126" s="5">
        <v>0</v>
      </c>
      <c r="U126" s="6">
        <v>0</v>
      </c>
      <c r="V126" s="5">
        <v>10</v>
      </c>
      <c r="W126" s="5">
        <v>5</v>
      </c>
      <c r="X126" s="16">
        <v>2000</v>
      </c>
      <c r="Y126" s="16">
        <v>7000</v>
      </c>
      <c r="Z126" s="16">
        <v>14000</v>
      </c>
      <c r="AA126" s="12" t="str">
        <f t="shared" si="37"/>
        <v>0/30</v>
      </c>
      <c r="AB126" s="12" t="str">
        <f t="shared" si="38"/>
        <v>80,100,100,80,100,0</v>
      </c>
      <c r="AC126" s="12">
        <f t="shared" si="39"/>
        <v>1</v>
      </c>
      <c r="AD126" s="12" t="str">
        <f t="shared" si="40"/>
        <v>2000/7000/14000</v>
      </c>
      <c r="AE126" s="12" t="str">
        <f t="shared" si="41"/>
        <v>0/</v>
      </c>
      <c r="AF126" s="12" t="str">
        <f t="shared" si="42"/>
        <v>6/</v>
      </c>
      <c r="AG126" s="12" t="str">
        <f t="shared" si="43"/>
        <v/>
      </c>
      <c r="AH126" s="12" t="str">
        <f t="shared" si="44"/>
        <v/>
      </c>
      <c r="AI126" s="12" t="str">
        <f t="shared" si="45"/>
        <v>10/5</v>
      </c>
    </row>
    <row r="127" spans="1:35" s="8" customFormat="1" ht="21.95" customHeight="1">
      <c r="A127" s="9">
        <v>125</v>
      </c>
      <c r="B127" s="17">
        <v>125</v>
      </c>
      <c r="C127" s="6">
        <v>30</v>
      </c>
      <c r="D127" s="6">
        <v>0</v>
      </c>
      <c r="E127" s="5">
        <v>50</v>
      </c>
      <c r="F127" s="5">
        <v>50</v>
      </c>
      <c r="G127" s="5">
        <v>50</v>
      </c>
      <c r="H127" s="5">
        <v>100</v>
      </c>
      <c r="I127" s="5">
        <v>100</v>
      </c>
      <c r="J127" s="5">
        <v>100</v>
      </c>
      <c r="K127" s="15" t="s">
        <v>52</v>
      </c>
      <c r="L127" s="6">
        <v>3</v>
      </c>
      <c r="M127" s="6">
        <v>0</v>
      </c>
      <c r="N127" s="6">
        <v>6</v>
      </c>
      <c r="O127" s="5">
        <v>0</v>
      </c>
      <c r="P127" s="5">
        <v>0</v>
      </c>
      <c r="Q127" s="5">
        <v>0</v>
      </c>
      <c r="R127" s="5">
        <v>0</v>
      </c>
      <c r="S127" s="5">
        <v>0</v>
      </c>
      <c r="T127" s="5">
        <v>0</v>
      </c>
      <c r="U127" s="6">
        <v>0</v>
      </c>
      <c r="V127" s="5">
        <v>10</v>
      </c>
      <c r="W127" s="5">
        <v>5</v>
      </c>
      <c r="X127" s="16">
        <v>2000</v>
      </c>
      <c r="Y127" s="16">
        <v>7000</v>
      </c>
      <c r="Z127" s="16">
        <v>14000</v>
      </c>
      <c r="AA127" s="12" t="str">
        <f t="shared" si="37"/>
        <v>0/30</v>
      </c>
      <c r="AB127" s="12" t="str">
        <f t="shared" si="38"/>
        <v>50,50,50,100,100,100</v>
      </c>
      <c r="AC127" s="12">
        <f t="shared" si="39"/>
        <v>1</v>
      </c>
      <c r="AD127" s="12" t="str">
        <f t="shared" si="40"/>
        <v>2000/7000/14000</v>
      </c>
      <c r="AE127" s="12" t="str">
        <f t="shared" si="41"/>
        <v>1/</v>
      </c>
      <c r="AF127" s="12" t="str">
        <f t="shared" si="42"/>
        <v>6/</v>
      </c>
      <c r="AG127" s="12" t="str">
        <f t="shared" si="43"/>
        <v/>
      </c>
      <c r="AH127" s="12" t="str">
        <f t="shared" si="44"/>
        <v/>
      </c>
      <c r="AI127" s="12" t="str">
        <f t="shared" si="45"/>
        <v>10/5</v>
      </c>
    </row>
    <row r="128" spans="1:35" s="8" customFormat="1" ht="21.95" customHeight="1">
      <c r="A128" s="9">
        <v>126</v>
      </c>
      <c r="B128" s="17">
        <v>126</v>
      </c>
      <c r="C128" s="6">
        <v>0</v>
      </c>
      <c r="D128" s="6">
        <v>120</v>
      </c>
      <c r="E128" s="5">
        <v>100</v>
      </c>
      <c r="F128" s="5">
        <v>0</v>
      </c>
      <c r="G128" s="5">
        <v>100</v>
      </c>
      <c r="H128" s="5">
        <v>100</v>
      </c>
      <c r="I128" s="5">
        <v>100</v>
      </c>
      <c r="J128" s="5">
        <v>100</v>
      </c>
      <c r="K128" s="15" t="s">
        <v>54</v>
      </c>
      <c r="L128" s="6">
        <v>3</v>
      </c>
      <c r="M128" s="6">
        <v>0</v>
      </c>
      <c r="N128" s="6">
        <v>0</v>
      </c>
      <c r="O128" s="5">
        <v>0</v>
      </c>
      <c r="P128" s="5">
        <v>0</v>
      </c>
      <c r="Q128" s="5">
        <v>0</v>
      </c>
      <c r="R128" s="5">
        <v>0</v>
      </c>
      <c r="S128" s="5">
        <v>0</v>
      </c>
      <c r="T128" s="5">
        <v>0</v>
      </c>
      <c r="U128" s="6">
        <v>0</v>
      </c>
      <c r="V128" s="5">
        <v>10</v>
      </c>
      <c r="W128" s="5">
        <v>5</v>
      </c>
      <c r="X128" s="16">
        <v>2000</v>
      </c>
      <c r="Y128" s="16">
        <v>7000</v>
      </c>
      <c r="Z128" s="16">
        <v>14000</v>
      </c>
      <c r="AA128" s="12" t="str">
        <f t="shared" si="37"/>
        <v>1/120</v>
      </c>
      <c r="AB128" s="12" t="str">
        <f t="shared" si="38"/>
        <v>100,0,100,100,100,100</v>
      </c>
      <c r="AC128" s="12">
        <f t="shared" si="39"/>
        <v>3</v>
      </c>
      <c r="AD128" s="12" t="str">
        <f t="shared" si="40"/>
        <v>2000/7000/14000</v>
      </c>
      <c r="AE128" s="12" t="str">
        <f t="shared" si="41"/>
        <v/>
      </c>
      <c r="AF128" s="12" t="str">
        <f t="shared" si="42"/>
        <v/>
      </c>
      <c r="AG128" s="12" t="str">
        <f t="shared" si="43"/>
        <v/>
      </c>
      <c r="AH128" s="12" t="str">
        <f t="shared" si="44"/>
        <v/>
      </c>
      <c r="AI128" s="12" t="str">
        <f t="shared" si="45"/>
        <v>10/5</v>
      </c>
    </row>
    <row r="129" spans="1:35" s="8" customFormat="1" ht="21.95" customHeight="1">
      <c r="A129" s="9">
        <v>127</v>
      </c>
      <c r="B129" s="17">
        <v>127</v>
      </c>
      <c r="C129" s="6">
        <v>0</v>
      </c>
      <c r="D129" s="6">
        <v>120</v>
      </c>
      <c r="E129" s="5">
        <v>100</v>
      </c>
      <c r="F129" s="5">
        <v>100</v>
      </c>
      <c r="G129" s="5">
        <v>50</v>
      </c>
      <c r="H129" s="5">
        <v>50</v>
      </c>
      <c r="I129" s="5">
        <v>50</v>
      </c>
      <c r="J129" s="5">
        <v>100</v>
      </c>
      <c r="K129" s="15" t="s">
        <v>54</v>
      </c>
      <c r="L129" s="6">
        <v>3</v>
      </c>
      <c r="M129" s="6">
        <v>0</v>
      </c>
      <c r="N129" s="6">
        <v>0</v>
      </c>
      <c r="O129" s="5">
        <v>0</v>
      </c>
      <c r="P129" s="5">
        <v>0</v>
      </c>
      <c r="Q129" s="5">
        <v>0</v>
      </c>
      <c r="R129" s="5">
        <v>0</v>
      </c>
      <c r="S129" s="5">
        <v>0</v>
      </c>
      <c r="T129" s="5">
        <v>0</v>
      </c>
      <c r="U129" s="6">
        <v>0</v>
      </c>
      <c r="V129" s="5">
        <v>10</v>
      </c>
      <c r="W129" s="5">
        <v>5</v>
      </c>
      <c r="X129" s="16">
        <v>2000</v>
      </c>
      <c r="Y129" s="16">
        <v>7000</v>
      </c>
      <c r="Z129" s="16">
        <v>14000</v>
      </c>
      <c r="AA129" s="12" t="str">
        <f t="shared" si="37"/>
        <v>1/120</v>
      </c>
      <c r="AB129" s="12" t="str">
        <f t="shared" si="38"/>
        <v>100,100,50,50,50,100</v>
      </c>
      <c r="AC129" s="12">
        <f t="shared" si="39"/>
        <v>3</v>
      </c>
      <c r="AD129" s="12" t="str">
        <f t="shared" si="40"/>
        <v>2000/7000/14000</v>
      </c>
      <c r="AE129" s="12" t="str">
        <f t="shared" si="41"/>
        <v/>
      </c>
      <c r="AF129" s="12" t="str">
        <f t="shared" si="42"/>
        <v/>
      </c>
      <c r="AG129" s="12" t="str">
        <f t="shared" si="43"/>
        <v/>
      </c>
      <c r="AH129" s="12" t="str">
        <f t="shared" si="44"/>
        <v/>
      </c>
      <c r="AI129" s="12" t="str">
        <f t="shared" si="45"/>
        <v>10/5</v>
      </c>
    </row>
    <row r="130" spans="1:35" s="8" customFormat="1" ht="21.95" customHeight="1">
      <c r="A130" s="9">
        <v>128</v>
      </c>
      <c r="B130" s="17">
        <v>128</v>
      </c>
      <c r="C130" s="6">
        <v>30</v>
      </c>
      <c r="D130" s="6">
        <v>0</v>
      </c>
      <c r="E130" s="5">
        <v>100</v>
      </c>
      <c r="F130" s="5">
        <v>100</v>
      </c>
      <c r="G130" s="5">
        <v>100</v>
      </c>
      <c r="H130" s="5">
        <v>0</v>
      </c>
      <c r="I130" s="5">
        <v>100</v>
      </c>
      <c r="J130" s="5">
        <v>100</v>
      </c>
      <c r="K130" s="15" t="s">
        <v>55</v>
      </c>
      <c r="L130" s="6">
        <v>3</v>
      </c>
      <c r="M130" s="6">
        <v>0</v>
      </c>
      <c r="N130" s="6">
        <v>0</v>
      </c>
      <c r="O130" s="5">
        <v>0</v>
      </c>
      <c r="P130" s="5">
        <v>0</v>
      </c>
      <c r="Q130" s="5">
        <v>0</v>
      </c>
      <c r="R130" s="5">
        <v>0</v>
      </c>
      <c r="S130" s="5">
        <v>0</v>
      </c>
      <c r="T130" s="5">
        <v>0</v>
      </c>
      <c r="U130" s="6">
        <v>5</v>
      </c>
      <c r="V130" s="5">
        <v>10</v>
      </c>
      <c r="W130" s="5">
        <v>5</v>
      </c>
      <c r="X130" s="16">
        <v>2000</v>
      </c>
      <c r="Y130" s="16">
        <v>7000</v>
      </c>
      <c r="Z130" s="16">
        <v>14000</v>
      </c>
      <c r="AA130" s="12" t="str">
        <f t="shared" si="37"/>
        <v>0/30</v>
      </c>
      <c r="AB130" s="12" t="str">
        <f t="shared" si="38"/>
        <v>100,100,100,0,100,100</v>
      </c>
      <c r="AC130" s="12">
        <f t="shared" si="39"/>
        <v>4</v>
      </c>
      <c r="AD130" s="12" t="str">
        <f t="shared" si="40"/>
        <v>2000/7000/14000</v>
      </c>
      <c r="AE130" s="12" t="str">
        <f t="shared" si="41"/>
        <v/>
      </c>
      <c r="AF130" s="12" t="str">
        <f t="shared" si="42"/>
        <v/>
      </c>
      <c r="AG130" s="12" t="str">
        <f t="shared" si="43"/>
        <v/>
      </c>
      <c r="AH130" s="12" t="str">
        <f t="shared" si="44"/>
        <v/>
      </c>
      <c r="AI130" s="12" t="str">
        <f t="shared" si="45"/>
        <v>10/5</v>
      </c>
    </row>
    <row r="131" spans="1:35" s="8" customFormat="1" ht="21.95" customHeight="1">
      <c r="A131" s="9">
        <v>129</v>
      </c>
      <c r="B131" s="17">
        <v>129</v>
      </c>
      <c r="C131" s="6">
        <v>30</v>
      </c>
      <c r="D131" s="6">
        <v>0</v>
      </c>
      <c r="E131" s="5">
        <v>100</v>
      </c>
      <c r="F131" s="5">
        <v>0</v>
      </c>
      <c r="G131" s="5">
        <v>80</v>
      </c>
      <c r="H131" s="5">
        <v>80</v>
      </c>
      <c r="I131" s="5">
        <v>80</v>
      </c>
      <c r="J131" s="5">
        <v>100</v>
      </c>
      <c r="K131" s="15" t="s">
        <v>55</v>
      </c>
      <c r="L131" s="6">
        <v>3</v>
      </c>
      <c r="M131" s="6">
        <v>0</v>
      </c>
      <c r="N131" s="6">
        <v>0</v>
      </c>
      <c r="O131" s="5">
        <v>0</v>
      </c>
      <c r="P131" s="5">
        <v>0</v>
      </c>
      <c r="Q131" s="5">
        <v>0</v>
      </c>
      <c r="R131" s="5">
        <v>0</v>
      </c>
      <c r="S131" s="5">
        <v>0</v>
      </c>
      <c r="T131" s="5">
        <v>0</v>
      </c>
      <c r="U131" s="6">
        <v>5</v>
      </c>
      <c r="V131" s="5">
        <v>10</v>
      </c>
      <c r="W131" s="5">
        <v>5</v>
      </c>
      <c r="X131" s="16">
        <v>2000</v>
      </c>
      <c r="Y131" s="16">
        <v>7000</v>
      </c>
      <c r="Z131" s="16">
        <v>14000</v>
      </c>
      <c r="AA131" s="12" t="str">
        <f t="shared" si="37"/>
        <v>0/30</v>
      </c>
      <c r="AB131" s="12" t="str">
        <f t="shared" si="38"/>
        <v>100,0,80,80,80,100</v>
      </c>
      <c r="AC131" s="12">
        <f t="shared" si="39"/>
        <v>4</v>
      </c>
      <c r="AD131" s="12" t="str">
        <f t="shared" si="40"/>
        <v>2000/7000/14000</v>
      </c>
      <c r="AE131" s="12" t="str">
        <f t="shared" si="41"/>
        <v/>
      </c>
      <c r="AF131" s="12" t="str">
        <f t="shared" si="42"/>
        <v/>
      </c>
      <c r="AG131" s="12" t="str">
        <f t="shared" si="43"/>
        <v/>
      </c>
      <c r="AH131" s="12" t="str">
        <f t="shared" si="44"/>
        <v/>
      </c>
      <c r="AI131" s="12" t="str">
        <f t="shared" si="45"/>
        <v>10/5</v>
      </c>
    </row>
    <row r="132" spans="1:35" s="8" customFormat="1" ht="21.95" customHeight="1">
      <c r="A132" s="9">
        <v>130</v>
      </c>
      <c r="B132" s="17">
        <v>130</v>
      </c>
      <c r="C132" s="6">
        <v>0</v>
      </c>
      <c r="D132" s="6">
        <v>120</v>
      </c>
      <c r="E132" s="5">
        <v>100</v>
      </c>
      <c r="F132" s="5">
        <v>100</v>
      </c>
      <c r="G132" s="5">
        <v>80</v>
      </c>
      <c r="H132" s="5">
        <v>80</v>
      </c>
      <c r="I132" s="5">
        <v>100</v>
      </c>
      <c r="J132" s="5">
        <v>0</v>
      </c>
      <c r="K132" s="15" t="s">
        <v>53</v>
      </c>
      <c r="L132" s="6">
        <v>3</v>
      </c>
      <c r="M132" s="6">
        <v>0</v>
      </c>
      <c r="N132" s="6">
        <v>0</v>
      </c>
      <c r="O132" s="5">
        <v>30</v>
      </c>
      <c r="P132" s="5">
        <v>0</v>
      </c>
      <c r="Q132" s="5">
        <v>0</v>
      </c>
      <c r="R132" s="5">
        <v>0</v>
      </c>
      <c r="S132" s="5">
        <v>15</v>
      </c>
      <c r="T132" s="5">
        <v>0</v>
      </c>
      <c r="U132" s="6">
        <v>0</v>
      </c>
      <c r="V132" s="5">
        <v>10</v>
      </c>
      <c r="W132" s="5">
        <v>5</v>
      </c>
      <c r="X132" s="16">
        <v>2000</v>
      </c>
      <c r="Y132" s="16">
        <v>7000</v>
      </c>
      <c r="Z132" s="16">
        <v>14000</v>
      </c>
      <c r="AA132" s="12" t="str">
        <f t="shared" si="37"/>
        <v>1/120</v>
      </c>
      <c r="AB132" s="12" t="str">
        <f t="shared" si="38"/>
        <v>100,100,80,80,100,0</v>
      </c>
      <c r="AC132" s="12">
        <f t="shared" si="39"/>
        <v>2</v>
      </c>
      <c r="AD132" s="12" t="str">
        <f t="shared" si="40"/>
        <v>2000/7000/14000</v>
      </c>
      <c r="AE132" s="12" t="str">
        <f t="shared" si="41"/>
        <v/>
      </c>
      <c r="AF132" s="12" t="str">
        <f t="shared" si="42"/>
        <v/>
      </c>
      <c r="AG132" s="12" t="str">
        <f t="shared" si="43"/>
        <v>0/4/</v>
      </c>
      <c r="AH132" s="12" t="str">
        <f t="shared" si="44"/>
        <v>30/15/</v>
      </c>
      <c r="AI132" s="12" t="str">
        <f t="shared" si="45"/>
        <v>10/5</v>
      </c>
    </row>
    <row r="133" spans="1:35" s="8" customFormat="1" ht="21.95" customHeight="1">
      <c r="A133" s="9">
        <v>131</v>
      </c>
      <c r="B133" s="17">
        <v>131</v>
      </c>
      <c r="C133" s="6">
        <v>0</v>
      </c>
      <c r="D133" s="6">
        <v>120</v>
      </c>
      <c r="E133" s="5">
        <v>0</v>
      </c>
      <c r="F133" s="5">
        <v>100</v>
      </c>
      <c r="G133" s="5">
        <v>80</v>
      </c>
      <c r="H133" s="5">
        <v>80</v>
      </c>
      <c r="I133" s="5">
        <v>80</v>
      </c>
      <c r="J133" s="5">
        <v>100</v>
      </c>
      <c r="K133" s="15" t="s">
        <v>51</v>
      </c>
      <c r="L133" s="6">
        <v>3</v>
      </c>
      <c r="M133" s="6">
        <v>0</v>
      </c>
      <c r="N133" s="6">
        <v>0</v>
      </c>
      <c r="O133" s="5">
        <v>0</v>
      </c>
      <c r="P133" s="5">
        <v>0</v>
      </c>
      <c r="Q133" s="5">
        <v>0</v>
      </c>
      <c r="R133" s="5">
        <v>0</v>
      </c>
      <c r="S133" s="5">
        <v>0</v>
      </c>
      <c r="T133" s="5">
        <v>0</v>
      </c>
      <c r="U133" s="6">
        <v>0</v>
      </c>
      <c r="V133" s="5">
        <v>10</v>
      </c>
      <c r="W133" s="5">
        <v>5</v>
      </c>
      <c r="X133" s="16">
        <v>2000</v>
      </c>
      <c r="Y133" s="16">
        <v>7000</v>
      </c>
      <c r="Z133" s="16">
        <v>14000</v>
      </c>
      <c r="AA133" s="12" t="str">
        <f t="shared" si="37"/>
        <v>1/120</v>
      </c>
      <c r="AB133" s="12" t="str">
        <f t="shared" si="38"/>
        <v>0,100,80,80,80,100</v>
      </c>
      <c r="AC133" s="12">
        <f t="shared" si="39"/>
        <v>0</v>
      </c>
      <c r="AD133" s="12" t="str">
        <f t="shared" si="40"/>
        <v>2000/7000/14000</v>
      </c>
      <c r="AE133" s="12" t="str">
        <f t="shared" si="41"/>
        <v/>
      </c>
      <c r="AF133" s="12" t="str">
        <f t="shared" si="42"/>
        <v/>
      </c>
      <c r="AG133" s="12" t="str">
        <f t="shared" si="43"/>
        <v/>
      </c>
      <c r="AH133" s="12" t="str">
        <f t="shared" si="44"/>
        <v/>
      </c>
      <c r="AI133" s="12" t="str">
        <f t="shared" si="45"/>
        <v>10/5</v>
      </c>
    </row>
    <row r="134" spans="1:35" s="8" customFormat="1" ht="21.95" customHeight="1">
      <c r="A134" s="9">
        <v>132</v>
      </c>
      <c r="B134" s="17">
        <v>132</v>
      </c>
      <c r="C134" s="6">
        <v>30</v>
      </c>
      <c r="D134" s="6">
        <v>0</v>
      </c>
      <c r="E134" s="5">
        <v>100</v>
      </c>
      <c r="F134" s="5">
        <v>0</v>
      </c>
      <c r="G134" s="5">
        <v>80</v>
      </c>
      <c r="H134" s="5">
        <v>80</v>
      </c>
      <c r="I134" s="5">
        <v>100</v>
      </c>
      <c r="J134" s="5">
        <v>100</v>
      </c>
      <c r="K134" s="15" t="s">
        <v>53</v>
      </c>
      <c r="L134" s="6">
        <v>3</v>
      </c>
      <c r="M134" s="6">
        <v>0</v>
      </c>
      <c r="N134" s="6">
        <v>0</v>
      </c>
      <c r="O134" s="5">
        <v>0</v>
      </c>
      <c r="P134" s="5">
        <v>0</v>
      </c>
      <c r="Q134" s="5">
        <v>20</v>
      </c>
      <c r="R134" s="5">
        <v>24</v>
      </c>
      <c r="S134" s="5">
        <v>0</v>
      </c>
      <c r="T134" s="5">
        <v>0</v>
      </c>
      <c r="U134" s="6">
        <v>0</v>
      </c>
      <c r="V134" s="5">
        <v>10</v>
      </c>
      <c r="W134" s="5">
        <v>5</v>
      </c>
      <c r="X134" s="16">
        <v>2000</v>
      </c>
      <c r="Y134" s="16">
        <v>7000</v>
      </c>
      <c r="Z134" s="16">
        <v>14000</v>
      </c>
      <c r="AA134" s="12" t="str">
        <f t="shared" si="37"/>
        <v>0/30</v>
      </c>
      <c r="AB134" s="12" t="str">
        <f t="shared" si="38"/>
        <v>100,0,80,80,100,100</v>
      </c>
      <c r="AC134" s="12">
        <f t="shared" si="39"/>
        <v>2</v>
      </c>
      <c r="AD134" s="12" t="str">
        <f t="shared" si="40"/>
        <v>2000/7000/14000</v>
      </c>
      <c r="AE134" s="12" t="str">
        <f t="shared" si="41"/>
        <v/>
      </c>
      <c r="AF134" s="12" t="str">
        <f t="shared" si="42"/>
        <v/>
      </c>
      <c r="AG134" s="12" t="str">
        <f t="shared" si="43"/>
        <v>2/3/</v>
      </c>
      <c r="AH134" s="12" t="str">
        <f t="shared" si="44"/>
        <v>20/24/</v>
      </c>
      <c r="AI134" s="12" t="str">
        <f t="shared" si="45"/>
        <v>10/5</v>
      </c>
    </row>
    <row r="135" spans="1:35" s="8" customFormat="1" ht="21.95" customHeight="1">
      <c r="A135" s="9">
        <v>133</v>
      </c>
      <c r="B135" s="17">
        <v>133</v>
      </c>
      <c r="C135" s="6">
        <v>30</v>
      </c>
      <c r="D135" s="6">
        <v>0</v>
      </c>
      <c r="E135" s="5">
        <v>100</v>
      </c>
      <c r="F135" s="5">
        <v>100</v>
      </c>
      <c r="G135" s="5">
        <v>0</v>
      </c>
      <c r="H135" s="5">
        <v>80</v>
      </c>
      <c r="I135" s="5">
        <v>80</v>
      </c>
      <c r="J135" s="5">
        <v>100</v>
      </c>
      <c r="K135" s="15" t="s">
        <v>53</v>
      </c>
      <c r="L135" s="6">
        <v>3</v>
      </c>
      <c r="M135" s="6">
        <v>0</v>
      </c>
      <c r="N135" s="6">
        <v>0</v>
      </c>
      <c r="O135" s="5">
        <v>0</v>
      </c>
      <c r="P135" s="5">
        <v>0</v>
      </c>
      <c r="Q135" s="5">
        <v>0</v>
      </c>
      <c r="R135" s="5">
        <v>18</v>
      </c>
      <c r="S135" s="5">
        <v>32</v>
      </c>
      <c r="T135" s="5">
        <v>0</v>
      </c>
      <c r="U135" s="6">
        <v>0</v>
      </c>
      <c r="V135" s="5">
        <v>10</v>
      </c>
      <c r="W135" s="5">
        <v>5</v>
      </c>
      <c r="X135" s="16">
        <v>2000</v>
      </c>
      <c r="Y135" s="16">
        <v>7000</v>
      </c>
      <c r="Z135" s="16">
        <v>14000</v>
      </c>
      <c r="AA135" s="12" t="str">
        <f t="shared" si="37"/>
        <v>0/30</v>
      </c>
      <c r="AB135" s="12" t="str">
        <f t="shared" si="38"/>
        <v>100,100,0,80,80,100</v>
      </c>
      <c r="AC135" s="12">
        <f t="shared" si="39"/>
        <v>2</v>
      </c>
      <c r="AD135" s="12" t="str">
        <f t="shared" si="40"/>
        <v>2000/7000/14000</v>
      </c>
      <c r="AE135" s="12" t="str">
        <f t="shared" si="41"/>
        <v/>
      </c>
      <c r="AF135" s="12" t="str">
        <f t="shared" si="42"/>
        <v/>
      </c>
      <c r="AG135" s="12" t="str">
        <f t="shared" si="43"/>
        <v>3/4/</v>
      </c>
      <c r="AH135" s="12" t="str">
        <f t="shared" si="44"/>
        <v>18/32/</v>
      </c>
      <c r="AI135" s="12" t="str">
        <f t="shared" si="45"/>
        <v>10/5</v>
      </c>
    </row>
    <row r="136" spans="1:35" s="8" customFormat="1" ht="21.95" customHeight="1">
      <c r="A136" s="9">
        <v>134</v>
      </c>
      <c r="B136" s="17">
        <v>134</v>
      </c>
      <c r="C136" s="6">
        <v>30</v>
      </c>
      <c r="D136" s="6">
        <v>0</v>
      </c>
      <c r="E136" s="5">
        <v>100</v>
      </c>
      <c r="F136" s="5">
        <v>80</v>
      </c>
      <c r="G136" s="5">
        <v>0</v>
      </c>
      <c r="H136" s="5">
        <v>80</v>
      </c>
      <c r="I136" s="5">
        <v>100</v>
      </c>
      <c r="J136" s="5">
        <v>80</v>
      </c>
      <c r="K136" s="15" t="s">
        <v>52</v>
      </c>
      <c r="L136" s="6">
        <v>3</v>
      </c>
      <c r="M136" s="6">
        <v>6</v>
      </c>
      <c r="N136" s="6">
        <v>0</v>
      </c>
      <c r="O136" s="5">
        <v>0</v>
      </c>
      <c r="P136" s="5">
        <v>0</v>
      </c>
      <c r="Q136" s="5">
        <v>0</v>
      </c>
      <c r="R136" s="5">
        <v>0</v>
      </c>
      <c r="S136" s="5">
        <v>0</v>
      </c>
      <c r="T136" s="5">
        <v>0</v>
      </c>
      <c r="U136" s="6">
        <v>0</v>
      </c>
      <c r="V136" s="5">
        <v>10</v>
      </c>
      <c r="W136" s="5">
        <v>5</v>
      </c>
      <c r="X136" s="16">
        <v>2000</v>
      </c>
      <c r="Y136" s="16">
        <v>7000</v>
      </c>
      <c r="Z136" s="16">
        <v>14000</v>
      </c>
      <c r="AA136" s="12" t="str">
        <f t="shared" si="37"/>
        <v>0/30</v>
      </c>
      <c r="AB136" s="12" t="str">
        <f t="shared" si="38"/>
        <v>100,80,0,80,100,80</v>
      </c>
      <c r="AC136" s="12">
        <f t="shared" si="39"/>
        <v>1</v>
      </c>
      <c r="AD136" s="12" t="str">
        <f t="shared" si="40"/>
        <v>2000/7000/14000</v>
      </c>
      <c r="AE136" s="12" t="str">
        <f t="shared" si="41"/>
        <v>0/</v>
      </c>
      <c r="AF136" s="12" t="str">
        <f t="shared" si="42"/>
        <v>6/</v>
      </c>
      <c r="AG136" s="12" t="str">
        <f t="shared" si="43"/>
        <v/>
      </c>
      <c r="AH136" s="12" t="str">
        <f t="shared" si="44"/>
        <v/>
      </c>
      <c r="AI136" s="12" t="str">
        <f t="shared" si="45"/>
        <v>10/5</v>
      </c>
    </row>
    <row r="137" spans="1:35" s="8" customFormat="1" ht="21.95" customHeight="1">
      <c r="A137" s="9">
        <v>135</v>
      </c>
      <c r="B137" s="17">
        <v>135</v>
      </c>
      <c r="C137" s="6">
        <v>30</v>
      </c>
      <c r="D137" s="6">
        <v>0</v>
      </c>
      <c r="E137" s="5">
        <v>80</v>
      </c>
      <c r="F137" s="5">
        <v>100</v>
      </c>
      <c r="G137" s="5">
        <v>80</v>
      </c>
      <c r="H137" s="5">
        <v>100</v>
      </c>
      <c r="I137" s="5">
        <v>0</v>
      </c>
      <c r="J137" s="5">
        <v>80</v>
      </c>
      <c r="K137" s="15" t="s">
        <v>52</v>
      </c>
      <c r="L137" s="6">
        <v>3</v>
      </c>
      <c r="M137" s="6">
        <v>2</v>
      </c>
      <c r="N137" s="6">
        <v>4</v>
      </c>
      <c r="O137" s="5">
        <v>0</v>
      </c>
      <c r="P137" s="5">
        <v>0</v>
      </c>
      <c r="Q137" s="5">
        <v>0</v>
      </c>
      <c r="R137" s="5">
        <v>0</v>
      </c>
      <c r="S137" s="5">
        <v>0</v>
      </c>
      <c r="T137" s="5">
        <v>0</v>
      </c>
      <c r="U137" s="6">
        <v>0</v>
      </c>
      <c r="V137" s="5">
        <v>10</v>
      </c>
      <c r="W137" s="5">
        <v>5</v>
      </c>
      <c r="X137" s="16">
        <v>2000</v>
      </c>
      <c r="Y137" s="16">
        <v>7000</v>
      </c>
      <c r="Z137" s="16">
        <v>14000</v>
      </c>
      <c r="AA137" s="12" t="str">
        <f t="shared" si="37"/>
        <v>0/30</v>
      </c>
      <c r="AB137" s="12" t="str">
        <f t="shared" si="38"/>
        <v>80,100,80,100,0,80</v>
      </c>
      <c r="AC137" s="12">
        <f t="shared" si="39"/>
        <v>1</v>
      </c>
      <c r="AD137" s="12" t="str">
        <f t="shared" si="40"/>
        <v>2000/7000/14000</v>
      </c>
      <c r="AE137" s="12" t="str">
        <f t="shared" si="41"/>
        <v>0/1/</v>
      </c>
      <c r="AF137" s="12" t="str">
        <f t="shared" si="42"/>
        <v>2/4/</v>
      </c>
      <c r="AG137" s="12" t="str">
        <f t="shared" si="43"/>
        <v/>
      </c>
      <c r="AH137" s="12" t="str">
        <f t="shared" si="44"/>
        <v/>
      </c>
      <c r="AI137" s="12" t="str">
        <f t="shared" si="45"/>
        <v>10/5</v>
      </c>
    </row>
    <row r="138" spans="1:35" s="8" customFormat="1" ht="21.95" customHeight="1">
      <c r="A138" s="9">
        <v>136</v>
      </c>
      <c r="B138" s="17">
        <v>136</v>
      </c>
      <c r="C138" s="6">
        <v>0</v>
      </c>
      <c r="D138" s="6">
        <v>120</v>
      </c>
      <c r="E138" s="5">
        <v>100</v>
      </c>
      <c r="F138" s="5">
        <v>80</v>
      </c>
      <c r="G138" s="5">
        <v>80</v>
      </c>
      <c r="H138" s="5">
        <v>80</v>
      </c>
      <c r="I138" s="5">
        <v>100</v>
      </c>
      <c r="J138" s="5">
        <v>0</v>
      </c>
      <c r="K138" s="15" t="s">
        <v>54</v>
      </c>
      <c r="L138" s="6">
        <v>3</v>
      </c>
      <c r="M138" s="6">
        <v>0</v>
      </c>
      <c r="N138" s="6">
        <v>0</v>
      </c>
      <c r="O138" s="5">
        <v>0</v>
      </c>
      <c r="P138" s="5">
        <v>0</v>
      </c>
      <c r="Q138" s="5">
        <v>0</v>
      </c>
      <c r="R138" s="5">
        <v>0</v>
      </c>
      <c r="S138" s="5">
        <v>0</v>
      </c>
      <c r="T138" s="5">
        <v>0</v>
      </c>
      <c r="U138" s="6">
        <v>0</v>
      </c>
      <c r="V138" s="5">
        <v>10</v>
      </c>
      <c r="W138" s="5">
        <v>5</v>
      </c>
      <c r="X138" s="16">
        <v>2000</v>
      </c>
      <c r="Y138" s="16">
        <v>7000</v>
      </c>
      <c r="Z138" s="16">
        <v>14000</v>
      </c>
      <c r="AA138" s="12" t="str">
        <f t="shared" si="37"/>
        <v>1/120</v>
      </c>
      <c r="AB138" s="12" t="str">
        <f t="shared" si="38"/>
        <v>100,80,80,80,100,0</v>
      </c>
      <c r="AC138" s="12">
        <f t="shared" si="39"/>
        <v>3</v>
      </c>
      <c r="AD138" s="12" t="str">
        <f t="shared" si="40"/>
        <v>2000/7000/14000</v>
      </c>
      <c r="AE138" s="12" t="str">
        <f t="shared" si="41"/>
        <v/>
      </c>
      <c r="AF138" s="12" t="str">
        <f t="shared" si="42"/>
        <v/>
      </c>
      <c r="AG138" s="12" t="str">
        <f t="shared" si="43"/>
        <v/>
      </c>
      <c r="AH138" s="12" t="str">
        <f t="shared" si="44"/>
        <v/>
      </c>
      <c r="AI138" s="12" t="str">
        <f t="shared" si="45"/>
        <v>10/5</v>
      </c>
    </row>
    <row r="139" spans="1:35" s="8" customFormat="1" ht="21.95" customHeight="1">
      <c r="A139" s="9">
        <v>137</v>
      </c>
      <c r="B139" s="17">
        <v>137</v>
      </c>
      <c r="C139" s="6">
        <v>0</v>
      </c>
      <c r="D139" s="6">
        <v>120</v>
      </c>
      <c r="E139" s="5">
        <v>0</v>
      </c>
      <c r="F139" s="5">
        <v>100</v>
      </c>
      <c r="G139" s="5">
        <v>80</v>
      </c>
      <c r="H139" s="5">
        <v>100</v>
      </c>
      <c r="I139" s="5">
        <v>80</v>
      </c>
      <c r="J139" s="5">
        <v>80</v>
      </c>
      <c r="K139" s="15" t="s">
        <v>54</v>
      </c>
      <c r="L139" s="6">
        <v>3</v>
      </c>
      <c r="M139" s="6">
        <v>0</v>
      </c>
      <c r="N139" s="6">
        <v>0</v>
      </c>
      <c r="O139" s="5">
        <v>0</v>
      </c>
      <c r="P139" s="5">
        <v>0</v>
      </c>
      <c r="Q139" s="5">
        <v>0</v>
      </c>
      <c r="R139" s="5">
        <v>0</v>
      </c>
      <c r="S139" s="5">
        <v>0</v>
      </c>
      <c r="T139" s="5">
        <v>0</v>
      </c>
      <c r="U139" s="6">
        <v>0</v>
      </c>
      <c r="V139" s="5">
        <v>10</v>
      </c>
      <c r="W139" s="5">
        <v>5</v>
      </c>
      <c r="X139" s="16">
        <v>2000</v>
      </c>
      <c r="Y139" s="16">
        <v>7000</v>
      </c>
      <c r="Z139" s="16">
        <v>14000</v>
      </c>
      <c r="AA139" s="12" t="str">
        <f t="shared" si="37"/>
        <v>1/120</v>
      </c>
      <c r="AB139" s="12" t="str">
        <f t="shared" si="38"/>
        <v>0,100,80,100,80,80</v>
      </c>
      <c r="AC139" s="12">
        <f t="shared" si="39"/>
        <v>3</v>
      </c>
      <c r="AD139" s="12" t="str">
        <f t="shared" si="40"/>
        <v>2000/7000/14000</v>
      </c>
      <c r="AE139" s="12" t="str">
        <f t="shared" si="41"/>
        <v/>
      </c>
      <c r="AF139" s="12" t="str">
        <f t="shared" si="42"/>
        <v/>
      </c>
      <c r="AG139" s="12" t="str">
        <f t="shared" si="43"/>
        <v/>
      </c>
      <c r="AH139" s="12" t="str">
        <f t="shared" si="44"/>
        <v/>
      </c>
      <c r="AI139" s="12" t="str">
        <f t="shared" si="45"/>
        <v>10/5</v>
      </c>
    </row>
    <row r="140" spans="1:35" s="8" customFormat="1" ht="21.95" customHeight="1">
      <c r="A140" s="9">
        <v>138</v>
      </c>
      <c r="B140" s="17">
        <v>138</v>
      </c>
      <c r="C140" s="6">
        <v>30</v>
      </c>
      <c r="D140" s="6">
        <v>0</v>
      </c>
      <c r="E140" s="5">
        <v>80</v>
      </c>
      <c r="F140" s="5">
        <v>0</v>
      </c>
      <c r="G140" s="5">
        <v>80</v>
      </c>
      <c r="H140" s="5">
        <v>100</v>
      </c>
      <c r="I140" s="5">
        <v>80</v>
      </c>
      <c r="J140" s="5">
        <v>100</v>
      </c>
      <c r="K140" s="15" t="s">
        <v>55</v>
      </c>
      <c r="L140" s="6">
        <v>3</v>
      </c>
      <c r="M140" s="6">
        <v>0</v>
      </c>
      <c r="N140" s="6">
        <v>0</v>
      </c>
      <c r="O140" s="5">
        <v>0</v>
      </c>
      <c r="P140" s="5">
        <v>0</v>
      </c>
      <c r="Q140" s="5">
        <v>0</v>
      </c>
      <c r="R140" s="5">
        <v>0</v>
      </c>
      <c r="S140" s="5">
        <v>0</v>
      </c>
      <c r="T140" s="5">
        <v>0</v>
      </c>
      <c r="U140" s="6">
        <v>5</v>
      </c>
      <c r="V140" s="5">
        <v>10</v>
      </c>
      <c r="W140" s="5">
        <v>5</v>
      </c>
      <c r="X140" s="16">
        <v>2000</v>
      </c>
      <c r="Y140" s="16">
        <v>7000</v>
      </c>
      <c r="Z140" s="16">
        <v>14000</v>
      </c>
      <c r="AA140" s="12" t="str">
        <f t="shared" si="37"/>
        <v>0/30</v>
      </c>
      <c r="AB140" s="12" t="str">
        <f t="shared" si="38"/>
        <v>80,0,80,100,80,100</v>
      </c>
      <c r="AC140" s="12">
        <f t="shared" si="39"/>
        <v>4</v>
      </c>
      <c r="AD140" s="12" t="str">
        <f t="shared" si="40"/>
        <v>2000/7000/14000</v>
      </c>
      <c r="AE140" s="12" t="str">
        <f t="shared" si="41"/>
        <v/>
      </c>
      <c r="AF140" s="12" t="str">
        <f t="shared" si="42"/>
        <v/>
      </c>
      <c r="AG140" s="12" t="str">
        <f t="shared" si="43"/>
        <v/>
      </c>
      <c r="AH140" s="12" t="str">
        <f t="shared" si="44"/>
        <v/>
      </c>
      <c r="AI140" s="12" t="str">
        <f t="shared" si="45"/>
        <v>10/5</v>
      </c>
    </row>
    <row r="141" spans="1:35" s="8" customFormat="1" ht="21.95" customHeight="1">
      <c r="A141" s="9">
        <v>139</v>
      </c>
      <c r="B141" s="17">
        <v>139</v>
      </c>
      <c r="C141" s="6">
        <v>30</v>
      </c>
      <c r="D141" s="6">
        <v>0</v>
      </c>
      <c r="E141" s="5">
        <v>100</v>
      </c>
      <c r="F141" s="5">
        <v>50</v>
      </c>
      <c r="G141" s="5">
        <v>50</v>
      </c>
      <c r="H141" s="5">
        <v>50</v>
      </c>
      <c r="I141" s="5">
        <v>100</v>
      </c>
      <c r="J141" s="5">
        <v>100</v>
      </c>
      <c r="K141" s="15" t="s">
        <v>55</v>
      </c>
      <c r="L141" s="6">
        <v>3</v>
      </c>
      <c r="M141" s="6">
        <v>0</v>
      </c>
      <c r="N141" s="6">
        <v>0</v>
      </c>
      <c r="O141" s="5">
        <v>0</v>
      </c>
      <c r="P141" s="5">
        <v>0</v>
      </c>
      <c r="Q141" s="5">
        <v>0</v>
      </c>
      <c r="R141" s="5">
        <v>0</v>
      </c>
      <c r="S141" s="5">
        <v>0</v>
      </c>
      <c r="T141" s="5">
        <v>0</v>
      </c>
      <c r="U141" s="6">
        <v>5</v>
      </c>
      <c r="V141" s="5">
        <v>10</v>
      </c>
      <c r="W141" s="5">
        <v>5</v>
      </c>
      <c r="X141" s="16">
        <v>2000</v>
      </c>
      <c r="Y141" s="16">
        <v>7000</v>
      </c>
      <c r="Z141" s="16">
        <v>14000</v>
      </c>
      <c r="AA141" s="12" t="str">
        <f t="shared" si="37"/>
        <v>0/30</v>
      </c>
      <c r="AB141" s="12" t="str">
        <f t="shared" si="38"/>
        <v>100,50,50,50,100,100</v>
      </c>
      <c r="AC141" s="12">
        <f t="shared" si="39"/>
        <v>4</v>
      </c>
      <c r="AD141" s="12" t="str">
        <f t="shared" si="40"/>
        <v>2000/7000/14000</v>
      </c>
      <c r="AE141" s="12" t="str">
        <f t="shared" si="41"/>
        <v/>
      </c>
      <c r="AF141" s="12" t="str">
        <f t="shared" si="42"/>
        <v/>
      </c>
      <c r="AG141" s="12" t="str">
        <f t="shared" si="43"/>
        <v/>
      </c>
      <c r="AH141" s="12" t="str">
        <f t="shared" si="44"/>
        <v/>
      </c>
      <c r="AI141" s="12" t="str">
        <f t="shared" si="45"/>
        <v>10/5</v>
      </c>
    </row>
    <row r="142" spans="1:35" s="8" customFormat="1" ht="21.95" customHeight="1">
      <c r="A142" s="9">
        <v>140</v>
      </c>
      <c r="B142" s="17">
        <v>140</v>
      </c>
      <c r="C142" s="6">
        <v>32</v>
      </c>
      <c r="D142" s="6">
        <v>0</v>
      </c>
      <c r="E142" s="5">
        <v>100</v>
      </c>
      <c r="F142" s="5">
        <v>80</v>
      </c>
      <c r="G142" s="5">
        <v>80</v>
      </c>
      <c r="H142" s="5">
        <v>0</v>
      </c>
      <c r="I142" s="5">
        <v>80</v>
      </c>
      <c r="J142" s="5">
        <v>100</v>
      </c>
      <c r="K142" s="15" t="s">
        <v>51</v>
      </c>
      <c r="L142" s="6">
        <v>3</v>
      </c>
      <c r="M142" s="6">
        <v>0</v>
      </c>
      <c r="N142" s="6">
        <v>0</v>
      </c>
      <c r="O142" s="5">
        <v>0</v>
      </c>
      <c r="P142" s="5">
        <v>0</v>
      </c>
      <c r="Q142" s="5">
        <v>0</v>
      </c>
      <c r="R142" s="5">
        <v>0</v>
      </c>
      <c r="S142" s="5">
        <v>0</v>
      </c>
      <c r="T142" s="5">
        <v>0</v>
      </c>
      <c r="U142" s="6">
        <v>0</v>
      </c>
      <c r="V142" s="5">
        <v>10</v>
      </c>
      <c r="W142" s="5">
        <v>5</v>
      </c>
      <c r="X142" s="16">
        <v>2000</v>
      </c>
      <c r="Y142" s="16">
        <v>7000</v>
      </c>
      <c r="Z142" s="16">
        <v>14000</v>
      </c>
      <c r="AA142" s="12" t="str">
        <f t="shared" si="37"/>
        <v>0/32</v>
      </c>
      <c r="AB142" s="12" t="str">
        <f t="shared" si="38"/>
        <v>100,80,80,0,80,100</v>
      </c>
      <c r="AC142" s="12">
        <f t="shared" si="39"/>
        <v>0</v>
      </c>
      <c r="AD142" s="12" t="str">
        <f t="shared" si="40"/>
        <v>2000/7000/14000</v>
      </c>
      <c r="AE142" s="12" t="str">
        <f t="shared" si="41"/>
        <v/>
      </c>
      <c r="AF142" s="12" t="str">
        <f t="shared" si="42"/>
        <v/>
      </c>
      <c r="AG142" s="12" t="str">
        <f t="shared" si="43"/>
        <v/>
      </c>
      <c r="AH142" s="12" t="str">
        <f t="shared" si="44"/>
        <v/>
      </c>
      <c r="AI142" s="12" t="str">
        <f t="shared" si="45"/>
        <v>10/5</v>
      </c>
    </row>
    <row r="143" spans="1:35" s="8" customFormat="1" ht="21.95" customHeight="1">
      <c r="A143" s="9">
        <v>141</v>
      </c>
      <c r="B143" s="17">
        <v>141</v>
      </c>
      <c r="C143" s="6">
        <v>30</v>
      </c>
      <c r="D143" s="6">
        <v>0</v>
      </c>
      <c r="E143" s="5">
        <v>80</v>
      </c>
      <c r="F143" s="5">
        <v>100</v>
      </c>
      <c r="G143" s="5">
        <v>100</v>
      </c>
      <c r="H143" s="5">
        <v>100</v>
      </c>
      <c r="I143" s="5">
        <v>0</v>
      </c>
      <c r="J143" s="5">
        <v>80</v>
      </c>
      <c r="K143" s="15" t="s">
        <v>53</v>
      </c>
      <c r="L143" s="6">
        <v>3</v>
      </c>
      <c r="M143" s="6">
        <v>0</v>
      </c>
      <c r="N143" s="6">
        <v>0</v>
      </c>
      <c r="O143" s="5">
        <v>16</v>
      </c>
      <c r="P143" s="5">
        <v>0</v>
      </c>
      <c r="Q143" s="5">
        <v>0</v>
      </c>
      <c r="R143" s="5">
        <v>0</v>
      </c>
      <c r="S143" s="5">
        <v>0</v>
      </c>
      <c r="T143" s="5">
        <v>18</v>
      </c>
      <c r="U143" s="6">
        <v>0</v>
      </c>
      <c r="V143" s="5">
        <v>10</v>
      </c>
      <c r="W143" s="5">
        <v>5</v>
      </c>
      <c r="X143" s="16">
        <v>2000</v>
      </c>
      <c r="Y143" s="16">
        <v>7000</v>
      </c>
      <c r="Z143" s="16">
        <v>14000</v>
      </c>
      <c r="AA143" s="12" t="str">
        <f t="shared" ref="AA143:AA161" si="46">IF(C143=0,CONCATENATE("1/",D143),CONCATENATE("0/",C143))</f>
        <v>0/30</v>
      </c>
      <c r="AB143" s="12" t="str">
        <f t="shared" ref="AB143:AB161" si="47">CONCATENATE(E143,",",F143,",",G143,",",H143,",",I143,",",J143)</f>
        <v>80,100,100,100,0,80</v>
      </c>
      <c r="AC143" s="12">
        <f t="shared" ref="AC143:AC161" si="48">VLOOKUP(K143,$I$1005:$J$1012,2,FALSE)</f>
        <v>2</v>
      </c>
      <c r="AD143" s="12" t="str">
        <f t="shared" ref="AD143:AD161" si="49">CONCATENATE(X143,"/",Y143,"/",Z143)</f>
        <v>2000/7000/14000</v>
      </c>
      <c r="AE143" s="12" t="str">
        <f t="shared" ref="AE143:AE161" si="50">CONCATENATE(IF(M143=0,"","0/"),IF(N143=0,"","1/"))</f>
        <v/>
      </c>
      <c r="AF143" s="12" t="str">
        <f t="shared" ref="AF143:AF161" si="51">CONCATENATE(IF(M143=0,"",CONCATENATE(M143,"/")),IF(N143=0,"",CONCATENATE(N143,"/")))</f>
        <v/>
      </c>
      <c r="AG143" s="12" t="str">
        <f t="shared" ref="AG143:AG161" si="52">CONCATENATE(IF(O143=0,"","0/"),IF(P143=0,"","1/"),IF(Q143=0,"","2/"),IF(R143=0,"","3/"),IF(S143=0,"","4/"),IF(T143=0,"","5/"))</f>
        <v>0/5/</v>
      </c>
      <c r="AH143" s="12" t="str">
        <f t="shared" ref="AH143:AH161" si="53">CONCATENATE(IF(O143=0,"",CONCATENATE(O143,"/")),IF(P143=0,"",CONCATENATE(P143,"/")),IF(Q143=0,"",CONCATENATE(Q143,"/")),IF(R143=0,"",CONCATENATE(R143,"/")),IF(S143=0,"",CONCATENATE(S143,"/")),IF(T143=0,"",CONCATENATE(T143,"/")))</f>
        <v>16/18/</v>
      </c>
      <c r="AI143" s="12" t="str">
        <f t="shared" ref="AI143:AI161" si="54">CONCATENATE(V143,"/",W143)</f>
        <v>10/5</v>
      </c>
    </row>
    <row r="144" spans="1:35" s="8" customFormat="1" ht="21.95" customHeight="1">
      <c r="A144" s="9">
        <v>142</v>
      </c>
      <c r="B144" s="17">
        <v>142</v>
      </c>
      <c r="C144" s="6">
        <v>30</v>
      </c>
      <c r="D144" s="6">
        <v>0</v>
      </c>
      <c r="E144" s="5">
        <v>100</v>
      </c>
      <c r="F144" s="5">
        <v>100</v>
      </c>
      <c r="G144" s="5">
        <v>100</v>
      </c>
      <c r="H144" s="5">
        <v>100</v>
      </c>
      <c r="I144" s="5">
        <v>100</v>
      </c>
      <c r="J144" s="5">
        <v>0</v>
      </c>
      <c r="K144" s="15" t="s">
        <v>52</v>
      </c>
      <c r="L144" s="6">
        <v>3</v>
      </c>
      <c r="M144" s="6">
        <v>6</v>
      </c>
      <c r="N144" s="6">
        <v>0</v>
      </c>
      <c r="O144" s="5">
        <v>0</v>
      </c>
      <c r="P144" s="5">
        <v>0</v>
      </c>
      <c r="Q144" s="5">
        <v>0</v>
      </c>
      <c r="R144" s="5">
        <v>0</v>
      </c>
      <c r="S144" s="5">
        <v>0</v>
      </c>
      <c r="T144" s="5">
        <v>0</v>
      </c>
      <c r="U144" s="6">
        <v>0</v>
      </c>
      <c r="V144" s="5">
        <v>10</v>
      </c>
      <c r="W144" s="5">
        <v>5</v>
      </c>
      <c r="X144" s="16">
        <v>2000</v>
      </c>
      <c r="Y144" s="16">
        <v>7000</v>
      </c>
      <c r="Z144" s="16">
        <v>14000</v>
      </c>
      <c r="AA144" s="12" t="str">
        <f t="shared" si="46"/>
        <v>0/30</v>
      </c>
      <c r="AB144" s="12" t="str">
        <f t="shared" si="47"/>
        <v>100,100,100,100,100,0</v>
      </c>
      <c r="AC144" s="12">
        <f t="shared" si="48"/>
        <v>1</v>
      </c>
      <c r="AD144" s="12" t="str">
        <f t="shared" si="49"/>
        <v>2000/7000/14000</v>
      </c>
      <c r="AE144" s="12" t="str">
        <f t="shared" si="50"/>
        <v>0/</v>
      </c>
      <c r="AF144" s="12" t="str">
        <f t="shared" si="51"/>
        <v>6/</v>
      </c>
      <c r="AG144" s="12" t="str">
        <f t="shared" si="52"/>
        <v/>
      </c>
      <c r="AH144" s="12" t="str">
        <f t="shared" si="53"/>
        <v/>
      </c>
      <c r="AI144" s="12" t="str">
        <f t="shared" si="54"/>
        <v>10/5</v>
      </c>
    </row>
    <row r="145" spans="1:35" s="8" customFormat="1" ht="21.95" customHeight="1">
      <c r="A145" s="9">
        <v>143</v>
      </c>
      <c r="B145" s="17">
        <v>143</v>
      </c>
      <c r="C145" s="6">
        <v>30</v>
      </c>
      <c r="D145" s="6">
        <v>0</v>
      </c>
      <c r="E145" s="5">
        <v>0</v>
      </c>
      <c r="F145" s="5">
        <v>100</v>
      </c>
      <c r="G145" s="5">
        <v>100</v>
      </c>
      <c r="H145" s="5">
        <v>100</v>
      </c>
      <c r="I145" s="5">
        <v>100</v>
      </c>
      <c r="J145" s="5">
        <v>100</v>
      </c>
      <c r="K145" s="15" t="s">
        <v>52</v>
      </c>
      <c r="L145" s="6">
        <v>3</v>
      </c>
      <c r="M145" s="6">
        <v>0</v>
      </c>
      <c r="N145" s="6">
        <v>6</v>
      </c>
      <c r="O145" s="5">
        <v>0</v>
      </c>
      <c r="P145" s="5">
        <v>0</v>
      </c>
      <c r="Q145" s="5">
        <v>0</v>
      </c>
      <c r="R145" s="5">
        <v>0</v>
      </c>
      <c r="S145" s="5">
        <v>0</v>
      </c>
      <c r="T145" s="5">
        <v>0</v>
      </c>
      <c r="U145" s="6">
        <v>0</v>
      </c>
      <c r="V145" s="5">
        <v>10</v>
      </c>
      <c r="W145" s="5">
        <v>5</v>
      </c>
      <c r="X145" s="16">
        <v>2000</v>
      </c>
      <c r="Y145" s="16">
        <v>7000</v>
      </c>
      <c r="Z145" s="16">
        <v>14000</v>
      </c>
      <c r="AA145" s="12" t="str">
        <f t="shared" si="46"/>
        <v>0/30</v>
      </c>
      <c r="AB145" s="12" t="str">
        <f t="shared" si="47"/>
        <v>0,100,100,100,100,100</v>
      </c>
      <c r="AC145" s="12">
        <f t="shared" si="48"/>
        <v>1</v>
      </c>
      <c r="AD145" s="12" t="str">
        <f t="shared" si="49"/>
        <v>2000/7000/14000</v>
      </c>
      <c r="AE145" s="12" t="str">
        <f t="shared" si="50"/>
        <v>1/</v>
      </c>
      <c r="AF145" s="12" t="str">
        <f t="shared" si="51"/>
        <v>6/</v>
      </c>
      <c r="AG145" s="12" t="str">
        <f t="shared" si="52"/>
        <v/>
      </c>
      <c r="AH145" s="12" t="str">
        <f t="shared" si="53"/>
        <v/>
      </c>
      <c r="AI145" s="12" t="str">
        <f t="shared" si="54"/>
        <v>10/5</v>
      </c>
    </row>
    <row r="146" spans="1:35" s="8" customFormat="1" ht="21.95" customHeight="1">
      <c r="A146" s="9">
        <v>144</v>
      </c>
      <c r="B146" s="17">
        <v>144</v>
      </c>
      <c r="C146" s="6">
        <v>0</v>
      </c>
      <c r="D146" s="6">
        <v>120</v>
      </c>
      <c r="E146" s="5">
        <v>100</v>
      </c>
      <c r="F146" s="5">
        <v>0</v>
      </c>
      <c r="G146" s="5">
        <v>100</v>
      </c>
      <c r="H146" s="5">
        <v>100</v>
      </c>
      <c r="I146" s="5">
        <v>100</v>
      </c>
      <c r="J146" s="5">
        <v>100</v>
      </c>
      <c r="K146" s="15" t="s">
        <v>54</v>
      </c>
      <c r="L146" s="6">
        <v>3</v>
      </c>
      <c r="M146" s="6">
        <v>0</v>
      </c>
      <c r="N146" s="6">
        <v>0</v>
      </c>
      <c r="O146" s="5">
        <v>0</v>
      </c>
      <c r="P146" s="5">
        <v>0</v>
      </c>
      <c r="Q146" s="5">
        <v>0</v>
      </c>
      <c r="R146" s="5">
        <v>0</v>
      </c>
      <c r="S146" s="5">
        <v>0</v>
      </c>
      <c r="T146" s="5">
        <v>0</v>
      </c>
      <c r="U146" s="6">
        <v>0</v>
      </c>
      <c r="V146" s="5">
        <v>10</v>
      </c>
      <c r="W146" s="5">
        <v>5</v>
      </c>
      <c r="X146" s="16">
        <v>2000</v>
      </c>
      <c r="Y146" s="16">
        <v>7000</v>
      </c>
      <c r="Z146" s="16">
        <v>14000</v>
      </c>
      <c r="AA146" s="12" t="str">
        <f t="shared" si="46"/>
        <v>1/120</v>
      </c>
      <c r="AB146" s="12" t="str">
        <f t="shared" si="47"/>
        <v>100,0,100,100,100,100</v>
      </c>
      <c r="AC146" s="12">
        <f t="shared" si="48"/>
        <v>3</v>
      </c>
      <c r="AD146" s="12" t="str">
        <f t="shared" si="49"/>
        <v>2000/7000/14000</v>
      </c>
      <c r="AE146" s="12" t="str">
        <f t="shared" si="50"/>
        <v/>
      </c>
      <c r="AF146" s="12" t="str">
        <f t="shared" si="51"/>
        <v/>
      </c>
      <c r="AG146" s="12" t="str">
        <f t="shared" si="52"/>
        <v/>
      </c>
      <c r="AH146" s="12" t="str">
        <f t="shared" si="53"/>
        <v/>
      </c>
      <c r="AI146" s="12" t="str">
        <f t="shared" si="54"/>
        <v>10/5</v>
      </c>
    </row>
    <row r="147" spans="1:35" s="8" customFormat="1" ht="21.95" customHeight="1">
      <c r="A147" s="9">
        <v>145</v>
      </c>
      <c r="B147" s="17">
        <v>145</v>
      </c>
      <c r="C147" s="6">
        <v>0</v>
      </c>
      <c r="D147" s="6">
        <v>120</v>
      </c>
      <c r="E147" s="5">
        <v>100</v>
      </c>
      <c r="F147" s="5">
        <v>100</v>
      </c>
      <c r="G147" s="5">
        <v>0</v>
      </c>
      <c r="H147" s="5">
        <v>100</v>
      </c>
      <c r="I147" s="5">
        <v>100</v>
      </c>
      <c r="J147" s="5">
        <v>100</v>
      </c>
      <c r="K147" s="15" t="s">
        <v>54</v>
      </c>
      <c r="L147" s="6">
        <v>3</v>
      </c>
      <c r="M147" s="6">
        <v>0</v>
      </c>
      <c r="N147" s="6">
        <v>0</v>
      </c>
      <c r="O147" s="5">
        <v>0</v>
      </c>
      <c r="P147" s="5">
        <v>0</v>
      </c>
      <c r="Q147" s="5">
        <v>0</v>
      </c>
      <c r="R147" s="5">
        <v>0</v>
      </c>
      <c r="S147" s="5">
        <v>0</v>
      </c>
      <c r="T147" s="5">
        <v>0</v>
      </c>
      <c r="U147" s="6">
        <v>0</v>
      </c>
      <c r="V147" s="5">
        <v>10</v>
      </c>
      <c r="W147" s="5">
        <v>5</v>
      </c>
      <c r="X147" s="16">
        <v>2000</v>
      </c>
      <c r="Y147" s="16">
        <v>7000</v>
      </c>
      <c r="Z147" s="16">
        <v>14000</v>
      </c>
      <c r="AA147" s="12" t="str">
        <f t="shared" si="46"/>
        <v>1/120</v>
      </c>
      <c r="AB147" s="12" t="str">
        <f t="shared" si="47"/>
        <v>100,100,0,100,100,100</v>
      </c>
      <c r="AC147" s="12">
        <f t="shared" si="48"/>
        <v>3</v>
      </c>
      <c r="AD147" s="12" t="str">
        <f t="shared" si="49"/>
        <v>2000/7000/14000</v>
      </c>
      <c r="AE147" s="12" t="str">
        <f t="shared" si="50"/>
        <v/>
      </c>
      <c r="AF147" s="12" t="str">
        <f t="shared" si="51"/>
        <v/>
      </c>
      <c r="AG147" s="12" t="str">
        <f t="shared" si="52"/>
        <v/>
      </c>
      <c r="AH147" s="12" t="str">
        <f t="shared" si="53"/>
        <v/>
      </c>
      <c r="AI147" s="12" t="str">
        <f t="shared" si="54"/>
        <v>10/5</v>
      </c>
    </row>
    <row r="148" spans="1:35" s="8" customFormat="1" ht="21.95" customHeight="1">
      <c r="A148" s="9">
        <v>146</v>
      </c>
      <c r="B148" s="17">
        <v>146</v>
      </c>
      <c r="C148" s="6">
        <v>30</v>
      </c>
      <c r="D148" s="6">
        <v>0</v>
      </c>
      <c r="E148" s="5">
        <v>100</v>
      </c>
      <c r="F148" s="5">
        <v>100</v>
      </c>
      <c r="G148" s="5">
        <v>100</v>
      </c>
      <c r="H148" s="5">
        <v>0</v>
      </c>
      <c r="I148" s="5">
        <v>100</v>
      </c>
      <c r="J148" s="5">
        <v>100</v>
      </c>
      <c r="K148" s="15" t="s">
        <v>55</v>
      </c>
      <c r="L148" s="6">
        <v>3</v>
      </c>
      <c r="M148" s="6">
        <v>0</v>
      </c>
      <c r="N148" s="6">
        <v>0</v>
      </c>
      <c r="O148" s="5">
        <v>0</v>
      </c>
      <c r="P148" s="5">
        <v>0</v>
      </c>
      <c r="Q148" s="5">
        <v>0</v>
      </c>
      <c r="R148" s="5">
        <v>0</v>
      </c>
      <c r="S148" s="5">
        <v>0</v>
      </c>
      <c r="T148" s="5">
        <v>0</v>
      </c>
      <c r="U148" s="6">
        <v>5</v>
      </c>
      <c r="V148" s="5">
        <v>10</v>
      </c>
      <c r="W148" s="5">
        <v>5</v>
      </c>
      <c r="X148" s="16">
        <v>2000</v>
      </c>
      <c r="Y148" s="16">
        <v>7000</v>
      </c>
      <c r="Z148" s="16">
        <v>14000</v>
      </c>
      <c r="AA148" s="12" t="str">
        <f t="shared" si="46"/>
        <v>0/30</v>
      </c>
      <c r="AB148" s="12" t="str">
        <f t="shared" si="47"/>
        <v>100,100,100,0,100,100</v>
      </c>
      <c r="AC148" s="12">
        <f t="shared" si="48"/>
        <v>4</v>
      </c>
      <c r="AD148" s="12" t="str">
        <f t="shared" si="49"/>
        <v>2000/7000/14000</v>
      </c>
      <c r="AE148" s="12" t="str">
        <f t="shared" si="50"/>
        <v/>
      </c>
      <c r="AF148" s="12" t="str">
        <f t="shared" si="51"/>
        <v/>
      </c>
      <c r="AG148" s="12" t="str">
        <f t="shared" si="52"/>
        <v/>
      </c>
      <c r="AH148" s="12" t="str">
        <f t="shared" si="53"/>
        <v/>
      </c>
      <c r="AI148" s="12" t="str">
        <f t="shared" si="54"/>
        <v>10/5</v>
      </c>
    </row>
    <row r="149" spans="1:35" s="8" customFormat="1" ht="21.95" customHeight="1">
      <c r="A149" s="9">
        <v>147</v>
      </c>
      <c r="B149" s="17">
        <v>147</v>
      </c>
      <c r="C149" s="6">
        <v>30</v>
      </c>
      <c r="D149" s="6">
        <v>0</v>
      </c>
      <c r="E149" s="5">
        <v>100</v>
      </c>
      <c r="F149" s="5">
        <v>100</v>
      </c>
      <c r="G149" s="5">
        <v>100</v>
      </c>
      <c r="H149" s="5">
        <v>100</v>
      </c>
      <c r="I149" s="5">
        <v>0</v>
      </c>
      <c r="J149" s="5">
        <v>100</v>
      </c>
      <c r="K149" s="15" t="s">
        <v>55</v>
      </c>
      <c r="L149" s="6">
        <v>3</v>
      </c>
      <c r="M149" s="6">
        <v>0</v>
      </c>
      <c r="N149" s="6">
        <v>0</v>
      </c>
      <c r="O149" s="5">
        <v>0</v>
      </c>
      <c r="P149" s="5">
        <v>0</v>
      </c>
      <c r="Q149" s="5">
        <v>0</v>
      </c>
      <c r="R149" s="5">
        <v>0</v>
      </c>
      <c r="S149" s="5">
        <v>0</v>
      </c>
      <c r="T149" s="5">
        <v>0</v>
      </c>
      <c r="U149" s="6">
        <v>5</v>
      </c>
      <c r="V149" s="5">
        <v>10</v>
      </c>
      <c r="W149" s="5">
        <v>5</v>
      </c>
      <c r="X149" s="16">
        <v>2000</v>
      </c>
      <c r="Y149" s="16">
        <v>7000</v>
      </c>
      <c r="Z149" s="16">
        <v>14000</v>
      </c>
      <c r="AA149" s="12" t="str">
        <f t="shared" si="46"/>
        <v>0/30</v>
      </c>
      <c r="AB149" s="12" t="str">
        <f t="shared" si="47"/>
        <v>100,100,100,100,0,100</v>
      </c>
      <c r="AC149" s="12">
        <f t="shared" si="48"/>
        <v>4</v>
      </c>
      <c r="AD149" s="12" t="str">
        <f t="shared" si="49"/>
        <v>2000/7000/14000</v>
      </c>
      <c r="AE149" s="12" t="str">
        <f t="shared" si="50"/>
        <v/>
      </c>
      <c r="AF149" s="12" t="str">
        <f t="shared" si="51"/>
        <v/>
      </c>
      <c r="AG149" s="12" t="str">
        <f t="shared" si="52"/>
        <v/>
      </c>
      <c r="AH149" s="12" t="str">
        <f t="shared" si="53"/>
        <v/>
      </c>
      <c r="AI149" s="12" t="str">
        <f t="shared" si="54"/>
        <v>10/5</v>
      </c>
    </row>
    <row r="150" spans="1:35" s="8" customFormat="1" ht="21.95" customHeight="1">
      <c r="A150" s="9">
        <v>148</v>
      </c>
      <c r="B150" s="17">
        <v>148</v>
      </c>
      <c r="C150" s="6">
        <v>30</v>
      </c>
      <c r="D150" s="6">
        <v>0</v>
      </c>
      <c r="E150" s="5">
        <v>100</v>
      </c>
      <c r="F150" s="5">
        <v>100</v>
      </c>
      <c r="G150" s="5">
        <v>100</v>
      </c>
      <c r="H150" s="5">
        <v>100</v>
      </c>
      <c r="I150" s="5">
        <v>100</v>
      </c>
      <c r="J150" s="5">
        <v>0</v>
      </c>
      <c r="K150" s="15" t="s">
        <v>56</v>
      </c>
      <c r="L150" s="6">
        <v>3</v>
      </c>
      <c r="M150" s="6">
        <v>0</v>
      </c>
      <c r="N150" s="6">
        <v>0</v>
      </c>
      <c r="O150" s="5">
        <v>0</v>
      </c>
      <c r="P150" s="5">
        <v>0</v>
      </c>
      <c r="Q150" s="5">
        <v>0</v>
      </c>
      <c r="R150" s="5">
        <v>0</v>
      </c>
      <c r="S150" s="5">
        <v>0</v>
      </c>
      <c r="T150" s="5">
        <v>0</v>
      </c>
      <c r="U150" s="6">
        <v>0</v>
      </c>
      <c r="V150" s="5">
        <v>10</v>
      </c>
      <c r="W150" s="5">
        <v>5</v>
      </c>
      <c r="X150" s="16">
        <v>2000</v>
      </c>
      <c r="Y150" s="16">
        <v>7000</v>
      </c>
      <c r="Z150" s="16">
        <v>14000</v>
      </c>
      <c r="AA150" s="12" t="str">
        <f t="shared" si="46"/>
        <v>0/30</v>
      </c>
      <c r="AB150" s="12" t="str">
        <f t="shared" si="47"/>
        <v>100,100,100,100,100,0</v>
      </c>
      <c r="AC150" s="12">
        <f t="shared" si="48"/>
        <v>5</v>
      </c>
      <c r="AD150" s="12" t="str">
        <f t="shared" si="49"/>
        <v>2000/7000/14000</v>
      </c>
      <c r="AE150" s="12" t="str">
        <f t="shared" si="50"/>
        <v/>
      </c>
      <c r="AF150" s="12" t="str">
        <f t="shared" si="51"/>
        <v/>
      </c>
      <c r="AG150" s="12" t="str">
        <f t="shared" si="52"/>
        <v/>
      </c>
      <c r="AH150" s="12" t="str">
        <f t="shared" si="53"/>
        <v/>
      </c>
      <c r="AI150" s="12" t="str">
        <f t="shared" si="54"/>
        <v>10/5</v>
      </c>
    </row>
    <row r="151" spans="1:35" s="8" customFormat="1" ht="21.95" customHeight="1">
      <c r="A151" s="9">
        <v>149</v>
      </c>
      <c r="B151" s="17">
        <v>149</v>
      </c>
      <c r="C151" s="6">
        <v>0</v>
      </c>
      <c r="D151" s="6">
        <v>120</v>
      </c>
      <c r="E151" s="5">
        <v>0</v>
      </c>
      <c r="F151" s="5">
        <v>100</v>
      </c>
      <c r="G151" s="5">
        <v>100</v>
      </c>
      <c r="H151" s="5">
        <v>100</v>
      </c>
      <c r="I151" s="5">
        <v>100</v>
      </c>
      <c r="J151" s="5">
        <v>100</v>
      </c>
      <c r="K151" s="15" t="s">
        <v>56</v>
      </c>
      <c r="L151" s="6">
        <v>3</v>
      </c>
      <c r="M151" s="6">
        <v>0</v>
      </c>
      <c r="N151" s="6">
        <v>0</v>
      </c>
      <c r="O151" s="5">
        <v>0</v>
      </c>
      <c r="P151" s="5">
        <v>0</v>
      </c>
      <c r="Q151" s="5">
        <v>0</v>
      </c>
      <c r="R151" s="5">
        <v>0</v>
      </c>
      <c r="S151" s="5">
        <v>0</v>
      </c>
      <c r="T151" s="5">
        <v>0</v>
      </c>
      <c r="U151" s="6">
        <v>0</v>
      </c>
      <c r="V151" s="5">
        <v>10</v>
      </c>
      <c r="W151" s="5">
        <v>5</v>
      </c>
      <c r="X151" s="16">
        <v>2000</v>
      </c>
      <c r="Y151" s="16">
        <v>7000</v>
      </c>
      <c r="Z151" s="16">
        <v>14000</v>
      </c>
      <c r="AA151" s="12" t="str">
        <f t="shared" si="46"/>
        <v>1/120</v>
      </c>
      <c r="AB151" s="12" t="str">
        <f t="shared" si="47"/>
        <v>0,100,100,100,100,100</v>
      </c>
      <c r="AC151" s="12">
        <f t="shared" si="48"/>
        <v>5</v>
      </c>
      <c r="AD151" s="12" t="str">
        <f t="shared" si="49"/>
        <v>2000/7000/14000</v>
      </c>
      <c r="AE151" s="12" t="str">
        <f t="shared" si="50"/>
        <v/>
      </c>
      <c r="AF151" s="12" t="str">
        <f t="shared" si="51"/>
        <v/>
      </c>
      <c r="AG151" s="12" t="str">
        <f t="shared" si="52"/>
        <v/>
      </c>
      <c r="AH151" s="12" t="str">
        <f t="shared" si="53"/>
        <v/>
      </c>
      <c r="AI151" s="12" t="str">
        <f t="shared" si="54"/>
        <v>10/5</v>
      </c>
    </row>
    <row r="152" spans="1:35" s="8" customFormat="1" ht="21.95" customHeight="1">
      <c r="A152" s="9">
        <v>150</v>
      </c>
      <c r="B152" s="17">
        <v>150</v>
      </c>
      <c r="C152" s="6">
        <v>0</v>
      </c>
      <c r="D152" s="6">
        <v>120</v>
      </c>
      <c r="E152" s="5">
        <v>0</v>
      </c>
      <c r="F152" s="5">
        <v>100</v>
      </c>
      <c r="G152" s="5">
        <v>100</v>
      </c>
      <c r="H152" s="5">
        <v>100</v>
      </c>
      <c r="I152" s="5">
        <v>100</v>
      </c>
      <c r="J152" s="5">
        <v>100</v>
      </c>
      <c r="K152" s="15" t="s">
        <v>56</v>
      </c>
      <c r="L152" s="6">
        <v>3</v>
      </c>
      <c r="M152" s="6">
        <v>0</v>
      </c>
      <c r="N152" s="6">
        <v>0</v>
      </c>
      <c r="O152" s="5">
        <v>0</v>
      </c>
      <c r="P152" s="5">
        <v>0</v>
      </c>
      <c r="Q152" s="5">
        <v>0</v>
      </c>
      <c r="R152" s="5">
        <v>0</v>
      </c>
      <c r="S152" s="5">
        <v>0</v>
      </c>
      <c r="T152" s="5">
        <v>0</v>
      </c>
      <c r="U152" s="6">
        <v>0</v>
      </c>
      <c r="V152" s="5">
        <v>10</v>
      </c>
      <c r="W152" s="5">
        <v>5</v>
      </c>
      <c r="X152" s="16">
        <v>2000</v>
      </c>
      <c r="Y152" s="16">
        <v>7000</v>
      </c>
      <c r="Z152" s="16">
        <v>14000</v>
      </c>
      <c r="AA152" s="12" t="str">
        <f t="shared" si="46"/>
        <v>1/120</v>
      </c>
      <c r="AB152" s="12" t="str">
        <f t="shared" si="47"/>
        <v>0,100,100,100,100,100</v>
      </c>
      <c r="AC152" s="12">
        <f t="shared" si="48"/>
        <v>5</v>
      </c>
      <c r="AD152" s="12" t="str">
        <f t="shared" si="49"/>
        <v>2000/7000/14000</v>
      </c>
      <c r="AE152" s="12" t="str">
        <f t="shared" si="50"/>
        <v/>
      </c>
      <c r="AF152" s="12" t="str">
        <f t="shared" si="51"/>
        <v/>
      </c>
      <c r="AG152" s="12" t="str">
        <f t="shared" si="52"/>
        <v/>
      </c>
      <c r="AH152" s="12" t="str">
        <f t="shared" si="53"/>
        <v/>
      </c>
      <c r="AI152" s="12" t="str">
        <f t="shared" si="54"/>
        <v>10/5</v>
      </c>
    </row>
    <row r="153" spans="1:35" s="8" customFormat="1" ht="21.95" customHeight="1">
      <c r="A153" s="9">
        <v>151</v>
      </c>
      <c r="B153" s="17">
        <v>151</v>
      </c>
      <c r="C153" s="6">
        <v>30</v>
      </c>
      <c r="D153" s="6">
        <v>0</v>
      </c>
      <c r="E153" s="5">
        <v>100</v>
      </c>
      <c r="F153" s="5">
        <v>0</v>
      </c>
      <c r="G153" s="5">
        <v>80</v>
      </c>
      <c r="H153" s="5">
        <v>80</v>
      </c>
      <c r="I153" s="5">
        <v>100</v>
      </c>
      <c r="J153" s="5">
        <v>100</v>
      </c>
      <c r="K153" s="15" t="s">
        <v>53</v>
      </c>
      <c r="L153" s="6">
        <v>3</v>
      </c>
      <c r="M153" s="6">
        <v>0</v>
      </c>
      <c r="N153" s="6">
        <v>0</v>
      </c>
      <c r="O153" s="5">
        <v>0</v>
      </c>
      <c r="P153" s="5">
        <v>0</v>
      </c>
      <c r="Q153" s="5">
        <v>20</v>
      </c>
      <c r="R153" s="5">
        <v>24</v>
      </c>
      <c r="S153" s="5">
        <v>0</v>
      </c>
      <c r="T153" s="5">
        <v>0</v>
      </c>
      <c r="U153" s="6">
        <v>0</v>
      </c>
      <c r="V153" s="5">
        <v>10</v>
      </c>
      <c r="W153" s="5">
        <v>5</v>
      </c>
      <c r="X153" s="16">
        <v>2000</v>
      </c>
      <c r="Y153" s="16">
        <v>7000</v>
      </c>
      <c r="Z153" s="16">
        <v>14000</v>
      </c>
      <c r="AA153" s="12" t="str">
        <f t="shared" si="46"/>
        <v>0/30</v>
      </c>
      <c r="AB153" s="12" t="str">
        <f t="shared" si="47"/>
        <v>100,0,80,80,100,100</v>
      </c>
      <c r="AC153" s="12">
        <f t="shared" si="48"/>
        <v>2</v>
      </c>
      <c r="AD153" s="12" t="str">
        <f t="shared" si="49"/>
        <v>2000/7000/14000</v>
      </c>
      <c r="AE153" s="12" t="str">
        <f t="shared" si="50"/>
        <v/>
      </c>
      <c r="AF153" s="12" t="str">
        <f t="shared" si="51"/>
        <v/>
      </c>
      <c r="AG153" s="12" t="str">
        <f t="shared" si="52"/>
        <v>2/3/</v>
      </c>
      <c r="AH153" s="12" t="str">
        <f t="shared" si="53"/>
        <v>20/24/</v>
      </c>
      <c r="AI153" s="12" t="str">
        <f t="shared" si="54"/>
        <v>10/5</v>
      </c>
    </row>
    <row r="154" spans="1:35" s="8" customFormat="1" ht="21.95" customHeight="1">
      <c r="A154" s="9">
        <v>152</v>
      </c>
      <c r="B154" s="17">
        <v>152</v>
      </c>
      <c r="C154" s="6">
        <v>30</v>
      </c>
      <c r="D154" s="6">
        <v>0</v>
      </c>
      <c r="E154" s="5">
        <v>100</v>
      </c>
      <c r="F154" s="5">
        <v>100</v>
      </c>
      <c r="G154" s="5">
        <v>0</v>
      </c>
      <c r="H154" s="5">
        <v>80</v>
      </c>
      <c r="I154" s="5">
        <v>80</v>
      </c>
      <c r="J154" s="5">
        <v>100</v>
      </c>
      <c r="K154" s="15" t="s">
        <v>53</v>
      </c>
      <c r="L154" s="6">
        <v>3</v>
      </c>
      <c r="M154" s="6">
        <v>0</v>
      </c>
      <c r="N154" s="6">
        <v>0</v>
      </c>
      <c r="O154" s="5">
        <v>0</v>
      </c>
      <c r="P154" s="5">
        <v>0</v>
      </c>
      <c r="Q154" s="5">
        <v>0</v>
      </c>
      <c r="R154" s="5">
        <v>18</v>
      </c>
      <c r="S154" s="5">
        <v>32</v>
      </c>
      <c r="T154" s="5">
        <v>0</v>
      </c>
      <c r="U154" s="6">
        <v>0</v>
      </c>
      <c r="V154" s="5">
        <v>10</v>
      </c>
      <c r="W154" s="5">
        <v>5</v>
      </c>
      <c r="X154" s="16">
        <v>2000</v>
      </c>
      <c r="Y154" s="16">
        <v>7000</v>
      </c>
      <c r="Z154" s="16">
        <v>14000</v>
      </c>
      <c r="AA154" s="12" t="str">
        <f t="shared" si="46"/>
        <v>0/30</v>
      </c>
      <c r="AB154" s="12" t="str">
        <f t="shared" si="47"/>
        <v>100,100,0,80,80,100</v>
      </c>
      <c r="AC154" s="12">
        <f t="shared" si="48"/>
        <v>2</v>
      </c>
      <c r="AD154" s="12" t="str">
        <f t="shared" si="49"/>
        <v>2000/7000/14000</v>
      </c>
      <c r="AE154" s="12" t="str">
        <f t="shared" si="50"/>
        <v/>
      </c>
      <c r="AF154" s="12" t="str">
        <f t="shared" si="51"/>
        <v/>
      </c>
      <c r="AG154" s="12" t="str">
        <f t="shared" si="52"/>
        <v>3/4/</v>
      </c>
      <c r="AH154" s="12" t="str">
        <f t="shared" si="53"/>
        <v>18/32/</v>
      </c>
      <c r="AI154" s="12" t="str">
        <f t="shared" si="54"/>
        <v>10/5</v>
      </c>
    </row>
    <row r="155" spans="1:35" s="8" customFormat="1" ht="21.95" customHeight="1">
      <c r="A155" s="9">
        <v>153</v>
      </c>
      <c r="B155" s="17">
        <v>153</v>
      </c>
      <c r="C155" s="6">
        <v>30</v>
      </c>
      <c r="D155" s="6">
        <v>0</v>
      </c>
      <c r="E155" s="5">
        <v>100</v>
      </c>
      <c r="F155" s="5">
        <v>100</v>
      </c>
      <c r="G155" s="5">
        <v>100</v>
      </c>
      <c r="H155" s="5">
        <v>0</v>
      </c>
      <c r="I155" s="5">
        <v>100</v>
      </c>
      <c r="J155" s="5">
        <v>100</v>
      </c>
      <c r="K155" s="15" t="s">
        <v>52</v>
      </c>
      <c r="L155" s="6">
        <v>3</v>
      </c>
      <c r="M155" s="6">
        <v>6</v>
      </c>
      <c r="N155" s="6">
        <v>0</v>
      </c>
      <c r="O155" s="5">
        <v>0</v>
      </c>
      <c r="P155" s="5">
        <v>0</v>
      </c>
      <c r="Q155" s="5">
        <v>0</v>
      </c>
      <c r="R155" s="5">
        <v>0</v>
      </c>
      <c r="S155" s="5">
        <v>0</v>
      </c>
      <c r="T155" s="5">
        <v>0</v>
      </c>
      <c r="U155" s="6">
        <v>0</v>
      </c>
      <c r="V155" s="5">
        <v>10</v>
      </c>
      <c r="W155" s="5">
        <v>5</v>
      </c>
      <c r="X155" s="16">
        <v>2000</v>
      </c>
      <c r="Y155" s="16">
        <v>7000</v>
      </c>
      <c r="Z155" s="16">
        <v>14000</v>
      </c>
      <c r="AA155" s="12" t="str">
        <f t="shared" si="46"/>
        <v>0/30</v>
      </c>
      <c r="AB155" s="12" t="str">
        <f t="shared" si="47"/>
        <v>100,100,100,0,100,100</v>
      </c>
      <c r="AC155" s="12">
        <f t="shared" si="48"/>
        <v>1</v>
      </c>
      <c r="AD155" s="12" t="str">
        <f t="shared" si="49"/>
        <v>2000/7000/14000</v>
      </c>
      <c r="AE155" s="12" t="str">
        <f t="shared" si="50"/>
        <v>0/</v>
      </c>
      <c r="AF155" s="12" t="str">
        <f t="shared" si="51"/>
        <v>6/</v>
      </c>
      <c r="AG155" s="12" t="str">
        <f t="shared" si="52"/>
        <v/>
      </c>
      <c r="AH155" s="12" t="str">
        <f t="shared" si="53"/>
        <v/>
      </c>
      <c r="AI155" s="12" t="str">
        <f t="shared" si="54"/>
        <v>10/5</v>
      </c>
    </row>
    <row r="156" spans="1:35" s="8" customFormat="1" ht="21.95" customHeight="1">
      <c r="A156" s="9">
        <v>154</v>
      </c>
      <c r="B156" s="17">
        <v>154</v>
      </c>
      <c r="C156" s="6">
        <v>30</v>
      </c>
      <c r="D156" s="6">
        <v>0</v>
      </c>
      <c r="E156" s="5">
        <v>100</v>
      </c>
      <c r="F156" s="5">
        <v>100</v>
      </c>
      <c r="G156" s="5">
        <v>100</v>
      </c>
      <c r="H156" s="5">
        <v>100</v>
      </c>
      <c r="I156" s="5">
        <v>0</v>
      </c>
      <c r="J156" s="5">
        <v>100</v>
      </c>
      <c r="K156" s="15" t="s">
        <v>52</v>
      </c>
      <c r="L156" s="6">
        <v>3</v>
      </c>
      <c r="M156" s="6">
        <v>2</v>
      </c>
      <c r="N156" s="6">
        <v>4</v>
      </c>
      <c r="O156" s="5">
        <v>0</v>
      </c>
      <c r="P156" s="5">
        <v>0</v>
      </c>
      <c r="Q156" s="5">
        <v>0</v>
      </c>
      <c r="R156" s="5">
        <v>0</v>
      </c>
      <c r="S156" s="5">
        <v>0</v>
      </c>
      <c r="T156" s="5">
        <v>0</v>
      </c>
      <c r="U156" s="6">
        <v>0</v>
      </c>
      <c r="V156" s="5">
        <v>10</v>
      </c>
      <c r="W156" s="5">
        <v>5</v>
      </c>
      <c r="X156" s="16">
        <v>2000</v>
      </c>
      <c r="Y156" s="16">
        <v>7000</v>
      </c>
      <c r="Z156" s="16">
        <v>14000</v>
      </c>
      <c r="AA156" s="12" t="str">
        <f t="shared" si="46"/>
        <v>0/30</v>
      </c>
      <c r="AB156" s="12" t="str">
        <f t="shared" si="47"/>
        <v>100,100,100,100,0,100</v>
      </c>
      <c r="AC156" s="12">
        <f t="shared" si="48"/>
        <v>1</v>
      </c>
      <c r="AD156" s="12" t="str">
        <f t="shared" si="49"/>
        <v>2000/7000/14000</v>
      </c>
      <c r="AE156" s="12" t="str">
        <f t="shared" si="50"/>
        <v>0/1/</v>
      </c>
      <c r="AF156" s="12" t="str">
        <f t="shared" si="51"/>
        <v>2/4/</v>
      </c>
      <c r="AG156" s="12" t="str">
        <f t="shared" si="52"/>
        <v/>
      </c>
      <c r="AH156" s="12" t="str">
        <f t="shared" si="53"/>
        <v/>
      </c>
      <c r="AI156" s="12" t="str">
        <f t="shared" si="54"/>
        <v>10/5</v>
      </c>
    </row>
    <row r="157" spans="1:35" s="8" customFormat="1" ht="21.95" customHeight="1">
      <c r="A157" s="9">
        <v>155</v>
      </c>
      <c r="B157" s="17">
        <v>155</v>
      </c>
      <c r="C157" s="6">
        <v>0</v>
      </c>
      <c r="D157" s="6">
        <v>120</v>
      </c>
      <c r="E157" s="5">
        <v>100</v>
      </c>
      <c r="F157" s="5">
        <v>100</v>
      </c>
      <c r="G157" s="5">
        <v>100</v>
      </c>
      <c r="H157" s="5">
        <v>100</v>
      </c>
      <c r="I157" s="5">
        <v>100</v>
      </c>
      <c r="J157" s="5">
        <v>0</v>
      </c>
      <c r="K157" s="15" t="s">
        <v>54</v>
      </c>
      <c r="L157" s="6">
        <v>3</v>
      </c>
      <c r="M157" s="6">
        <v>0</v>
      </c>
      <c r="N157" s="6">
        <v>0</v>
      </c>
      <c r="O157" s="5">
        <v>0</v>
      </c>
      <c r="P157" s="5">
        <v>0</v>
      </c>
      <c r="Q157" s="5">
        <v>0</v>
      </c>
      <c r="R157" s="5">
        <v>0</v>
      </c>
      <c r="S157" s="5">
        <v>0</v>
      </c>
      <c r="T157" s="5">
        <v>0</v>
      </c>
      <c r="U157" s="6">
        <v>0</v>
      </c>
      <c r="V157" s="5">
        <v>10</v>
      </c>
      <c r="W157" s="5">
        <v>5</v>
      </c>
      <c r="X157" s="16">
        <v>2000</v>
      </c>
      <c r="Y157" s="16">
        <v>7000</v>
      </c>
      <c r="Z157" s="16">
        <v>14000</v>
      </c>
      <c r="AA157" s="12" t="str">
        <f t="shared" si="46"/>
        <v>1/120</v>
      </c>
      <c r="AB157" s="12" t="str">
        <f t="shared" si="47"/>
        <v>100,100,100,100,100,0</v>
      </c>
      <c r="AC157" s="12">
        <f t="shared" si="48"/>
        <v>3</v>
      </c>
      <c r="AD157" s="12" t="str">
        <f t="shared" si="49"/>
        <v>2000/7000/14000</v>
      </c>
      <c r="AE157" s="12" t="str">
        <f t="shared" si="50"/>
        <v/>
      </c>
      <c r="AF157" s="12" t="str">
        <f t="shared" si="51"/>
        <v/>
      </c>
      <c r="AG157" s="12" t="str">
        <f t="shared" si="52"/>
        <v/>
      </c>
      <c r="AH157" s="12" t="str">
        <f t="shared" si="53"/>
        <v/>
      </c>
      <c r="AI157" s="12" t="str">
        <f t="shared" si="54"/>
        <v>10/5</v>
      </c>
    </row>
    <row r="158" spans="1:35" s="8" customFormat="1" ht="21.95" customHeight="1">
      <c r="A158" s="9">
        <v>156</v>
      </c>
      <c r="B158" s="17">
        <v>156</v>
      </c>
      <c r="C158" s="6">
        <v>0</v>
      </c>
      <c r="D158" s="6">
        <v>120</v>
      </c>
      <c r="E158" s="5">
        <v>0</v>
      </c>
      <c r="F158" s="5">
        <v>100</v>
      </c>
      <c r="G158" s="5">
        <v>100</v>
      </c>
      <c r="H158" s="5">
        <v>100</v>
      </c>
      <c r="I158" s="5">
        <v>100</v>
      </c>
      <c r="J158" s="5">
        <v>100</v>
      </c>
      <c r="K158" s="15" t="s">
        <v>54</v>
      </c>
      <c r="L158" s="6">
        <v>3</v>
      </c>
      <c r="M158" s="6">
        <v>0</v>
      </c>
      <c r="N158" s="6">
        <v>0</v>
      </c>
      <c r="O158" s="5">
        <v>0</v>
      </c>
      <c r="P158" s="5">
        <v>0</v>
      </c>
      <c r="Q158" s="5">
        <v>0</v>
      </c>
      <c r="R158" s="5">
        <v>0</v>
      </c>
      <c r="S158" s="5">
        <v>0</v>
      </c>
      <c r="T158" s="5">
        <v>0</v>
      </c>
      <c r="U158" s="6">
        <v>0</v>
      </c>
      <c r="V158" s="5">
        <v>10</v>
      </c>
      <c r="W158" s="5">
        <v>5</v>
      </c>
      <c r="X158" s="16">
        <v>2000</v>
      </c>
      <c r="Y158" s="16">
        <v>7000</v>
      </c>
      <c r="Z158" s="16">
        <v>14000</v>
      </c>
      <c r="AA158" s="12" t="str">
        <f t="shared" si="46"/>
        <v>1/120</v>
      </c>
      <c r="AB158" s="12" t="str">
        <f t="shared" si="47"/>
        <v>0,100,100,100,100,100</v>
      </c>
      <c r="AC158" s="12">
        <f t="shared" si="48"/>
        <v>3</v>
      </c>
      <c r="AD158" s="12" t="str">
        <f t="shared" si="49"/>
        <v>2000/7000/14000</v>
      </c>
      <c r="AE158" s="12" t="str">
        <f t="shared" si="50"/>
        <v/>
      </c>
      <c r="AF158" s="12" t="str">
        <f t="shared" si="51"/>
        <v/>
      </c>
      <c r="AG158" s="12" t="str">
        <f t="shared" si="52"/>
        <v/>
      </c>
      <c r="AH158" s="12" t="str">
        <f t="shared" si="53"/>
        <v/>
      </c>
      <c r="AI158" s="12" t="str">
        <f t="shared" si="54"/>
        <v>10/5</v>
      </c>
    </row>
    <row r="159" spans="1:35" s="8" customFormat="1" ht="21.95" customHeight="1">
      <c r="A159" s="9">
        <v>157</v>
      </c>
      <c r="B159" s="17">
        <v>157</v>
      </c>
      <c r="C159" s="6">
        <v>30</v>
      </c>
      <c r="D159" s="6">
        <v>0</v>
      </c>
      <c r="E159" s="5">
        <v>100</v>
      </c>
      <c r="F159" s="5">
        <v>0</v>
      </c>
      <c r="G159" s="5">
        <v>100</v>
      </c>
      <c r="H159" s="5">
        <v>100</v>
      </c>
      <c r="I159" s="5">
        <v>100</v>
      </c>
      <c r="J159" s="5">
        <v>100</v>
      </c>
      <c r="K159" s="15" t="s">
        <v>55</v>
      </c>
      <c r="L159" s="6">
        <v>3</v>
      </c>
      <c r="M159" s="6">
        <v>0</v>
      </c>
      <c r="N159" s="6">
        <v>0</v>
      </c>
      <c r="O159" s="5">
        <v>0</v>
      </c>
      <c r="P159" s="5">
        <v>0</v>
      </c>
      <c r="Q159" s="5">
        <v>0</v>
      </c>
      <c r="R159" s="5">
        <v>0</v>
      </c>
      <c r="S159" s="5">
        <v>0</v>
      </c>
      <c r="T159" s="5">
        <v>0</v>
      </c>
      <c r="U159" s="6">
        <v>5</v>
      </c>
      <c r="V159" s="5">
        <v>10</v>
      </c>
      <c r="W159" s="5">
        <v>5</v>
      </c>
      <c r="X159" s="16">
        <v>2000</v>
      </c>
      <c r="Y159" s="16">
        <v>7000</v>
      </c>
      <c r="Z159" s="16">
        <v>14000</v>
      </c>
      <c r="AA159" s="12" t="str">
        <f t="shared" si="46"/>
        <v>0/30</v>
      </c>
      <c r="AB159" s="12" t="str">
        <f t="shared" si="47"/>
        <v>100,0,100,100,100,100</v>
      </c>
      <c r="AC159" s="12">
        <f t="shared" si="48"/>
        <v>4</v>
      </c>
      <c r="AD159" s="12" t="str">
        <f t="shared" si="49"/>
        <v>2000/7000/14000</v>
      </c>
      <c r="AE159" s="12" t="str">
        <f t="shared" si="50"/>
        <v/>
      </c>
      <c r="AF159" s="12" t="str">
        <f t="shared" si="51"/>
        <v/>
      </c>
      <c r="AG159" s="12" t="str">
        <f t="shared" si="52"/>
        <v/>
      </c>
      <c r="AH159" s="12" t="str">
        <f t="shared" si="53"/>
        <v/>
      </c>
      <c r="AI159" s="12" t="str">
        <f t="shared" si="54"/>
        <v>10/5</v>
      </c>
    </row>
    <row r="160" spans="1:35" s="8" customFormat="1" ht="21.95" customHeight="1">
      <c r="A160" s="9">
        <v>158</v>
      </c>
      <c r="B160" s="17">
        <v>158</v>
      </c>
      <c r="C160" s="6">
        <v>30</v>
      </c>
      <c r="D160" s="6">
        <v>0</v>
      </c>
      <c r="E160" s="5">
        <v>100</v>
      </c>
      <c r="F160" s="5">
        <v>100</v>
      </c>
      <c r="G160" s="5">
        <v>0</v>
      </c>
      <c r="H160" s="5">
        <v>100</v>
      </c>
      <c r="I160" s="5">
        <v>100</v>
      </c>
      <c r="J160" s="5">
        <v>100</v>
      </c>
      <c r="K160" s="15" t="s">
        <v>55</v>
      </c>
      <c r="L160" s="6">
        <v>3</v>
      </c>
      <c r="M160" s="6">
        <v>0</v>
      </c>
      <c r="N160" s="6">
        <v>0</v>
      </c>
      <c r="O160" s="5">
        <v>0</v>
      </c>
      <c r="P160" s="5">
        <v>0</v>
      </c>
      <c r="Q160" s="5">
        <v>0</v>
      </c>
      <c r="R160" s="5">
        <v>0</v>
      </c>
      <c r="S160" s="5">
        <v>0</v>
      </c>
      <c r="T160" s="5">
        <v>0</v>
      </c>
      <c r="U160" s="6">
        <v>5</v>
      </c>
      <c r="V160" s="5">
        <v>10</v>
      </c>
      <c r="W160" s="5">
        <v>5</v>
      </c>
      <c r="X160" s="16">
        <v>2000</v>
      </c>
      <c r="Y160" s="16">
        <v>7000</v>
      </c>
      <c r="Z160" s="16">
        <v>14000</v>
      </c>
      <c r="AA160" s="12" t="str">
        <f t="shared" si="46"/>
        <v>0/30</v>
      </c>
      <c r="AB160" s="12" t="str">
        <f t="shared" si="47"/>
        <v>100,100,0,100,100,100</v>
      </c>
      <c r="AC160" s="12">
        <f t="shared" si="48"/>
        <v>4</v>
      </c>
      <c r="AD160" s="12" t="str">
        <f t="shared" si="49"/>
        <v>2000/7000/14000</v>
      </c>
      <c r="AE160" s="12" t="str">
        <f t="shared" si="50"/>
        <v/>
      </c>
      <c r="AF160" s="12" t="str">
        <f t="shared" si="51"/>
        <v/>
      </c>
      <c r="AG160" s="12" t="str">
        <f t="shared" si="52"/>
        <v/>
      </c>
      <c r="AH160" s="12" t="str">
        <f t="shared" si="53"/>
        <v/>
      </c>
      <c r="AI160" s="12" t="str">
        <f t="shared" si="54"/>
        <v>10/5</v>
      </c>
    </row>
    <row r="161" spans="1:35" s="8" customFormat="1" ht="21.95" customHeight="1">
      <c r="A161" s="9">
        <v>159</v>
      </c>
      <c r="B161" s="17">
        <v>159</v>
      </c>
      <c r="C161" s="6">
        <v>32</v>
      </c>
      <c r="D161" s="6">
        <v>0</v>
      </c>
      <c r="E161" s="5">
        <v>100</v>
      </c>
      <c r="F161" s="5">
        <v>100</v>
      </c>
      <c r="G161" s="5">
        <v>100</v>
      </c>
      <c r="H161" s="5">
        <v>0</v>
      </c>
      <c r="I161" s="5">
        <v>100</v>
      </c>
      <c r="J161" s="5">
        <v>100</v>
      </c>
      <c r="K161" s="15" t="s">
        <v>51</v>
      </c>
      <c r="L161" s="6">
        <v>3</v>
      </c>
      <c r="M161" s="6">
        <v>0</v>
      </c>
      <c r="N161" s="6">
        <v>0</v>
      </c>
      <c r="O161" s="5">
        <v>0</v>
      </c>
      <c r="P161" s="5">
        <v>0</v>
      </c>
      <c r="Q161" s="5">
        <v>0</v>
      </c>
      <c r="R161" s="5">
        <v>0</v>
      </c>
      <c r="S161" s="5">
        <v>0</v>
      </c>
      <c r="T161" s="5">
        <v>0</v>
      </c>
      <c r="U161" s="6">
        <v>0</v>
      </c>
      <c r="V161" s="5">
        <v>10</v>
      </c>
      <c r="W161" s="5">
        <v>5</v>
      </c>
      <c r="X161" s="16">
        <v>2000</v>
      </c>
      <c r="Y161" s="16">
        <v>7000</v>
      </c>
      <c r="Z161" s="16">
        <v>14000</v>
      </c>
      <c r="AA161" s="12" t="str">
        <f t="shared" si="46"/>
        <v>0/32</v>
      </c>
      <c r="AB161" s="12" t="str">
        <f t="shared" si="47"/>
        <v>100,100,100,0,100,100</v>
      </c>
      <c r="AC161" s="12">
        <f t="shared" si="48"/>
        <v>0</v>
      </c>
      <c r="AD161" s="12" t="str">
        <f t="shared" si="49"/>
        <v>2000/7000/14000</v>
      </c>
      <c r="AE161" s="12" t="str">
        <f t="shared" si="50"/>
        <v/>
      </c>
      <c r="AF161" s="12" t="str">
        <f t="shared" si="51"/>
        <v/>
      </c>
      <c r="AG161" s="12" t="str">
        <f t="shared" si="52"/>
        <v/>
      </c>
      <c r="AH161" s="12" t="str">
        <f t="shared" si="53"/>
        <v/>
      </c>
      <c r="AI161" s="12" t="str">
        <f t="shared" si="54"/>
        <v>10/5</v>
      </c>
    </row>
    <row r="162" spans="1:35" s="8" customFormat="1" ht="21.95" customHeight="1">
      <c r="A162" s="9">
        <v>160</v>
      </c>
      <c r="B162" s="17">
        <v>160</v>
      </c>
      <c r="C162" s="6">
        <v>30</v>
      </c>
      <c r="D162" s="6">
        <v>0</v>
      </c>
      <c r="E162" s="5">
        <v>80</v>
      </c>
      <c r="F162" s="5">
        <v>100</v>
      </c>
      <c r="G162" s="5">
        <v>100</v>
      </c>
      <c r="H162" s="5">
        <v>100</v>
      </c>
      <c r="I162" s="5">
        <v>0</v>
      </c>
      <c r="J162" s="5">
        <v>80</v>
      </c>
      <c r="K162" s="15" t="s">
        <v>53</v>
      </c>
      <c r="L162" s="6">
        <v>3</v>
      </c>
      <c r="M162" s="6">
        <v>0</v>
      </c>
      <c r="N162" s="6">
        <v>0</v>
      </c>
      <c r="O162" s="5">
        <v>16</v>
      </c>
      <c r="P162" s="5">
        <v>0</v>
      </c>
      <c r="Q162" s="5">
        <v>0</v>
      </c>
      <c r="R162" s="5">
        <v>0</v>
      </c>
      <c r="S162" s="5">
        <v>0</v>
      </c>
      <c r="T162" s="5">
        <v>18</v>
      </c>
      <c r="U162" s="6">
        <v>0</v>
      </c>
      <c r="V162" s="5">
        <v>10</v>
      </c>
      <c r="W162" s="5">
        <v>5</v>
      </c>
      <c r="X162" s="16">
        <v>2000</v>
      </c>
      <c r="Y162" s="16">
        <v>7000</v>
      </c>
      <c r="Z162" s="16">
        <v>14000</v>
      </c>
      <c r="AA162" s="12" t="str">
        <f t="shared" ref="AA162:AA225" si="55">IF(C162=0,CONCATENATE("1/",D162),CONCATENATE("0/",C162))</f>
        <v>0/30</v>
      </c>
      <c r="AB162" s="12" t="str">
        <f t="shared" ref="AB162:AB225" si="56">CONCATENATE(E162,",",F162,",",G162,",",H162,",",I162,",",J162)</f>
        <v>80,100,100,100,0,80</v>
      </c>
      <c r="AC162" s="12">
        <f t="shared" ref="AC162:AC225" si="57">VLOOKUP(K162,$I$1005:$J$1012,2,FALSE)</f>
        <v>2</v>
      </c>
      <c r="AD162" s="12" t="str">
        <f t="shared" ref="AD162:AD225" si="58">CONCATENATE(X162,"/",Y162,"/",Z162)</f>
        <v>2000/7000/14000</v>
      </c>
      <c r="AE162" s="12" t="str">
        <f t="shared" ref="AE162:AE225" si="59">CONCATENATE(IF(M162=0,"","0/"),IF(N162=0,"","1/"))</f>
        <v/>
      </c>
      <c r="AF162" s="12" t="str">
        <f t="shared" ref="AF162:AF225" si="60">CONCATENATE(IF(M162=0,"",CONCATENATE(M162,"/")),IF(N162=0,"",CONCATENATE(N162,"/")))</f>
        <v/>
      </c>
      <c r="AG162" s="12" t="str">
        <f t="shared" ref="AG162:AG225" si="61">CONCATENATE(IF(O162=0,"","0/"),IF(P162=0,"","1/"),IF(Q162=0,"","2/"),IF(R162=0,"","3/"),IF(S162=0,"","4/"),IF(T162=0,"","5/"))</f>
        <v>0/5/</v>
      </c>
      <c r="AH162" s="12" t="str">
        <f t="shared" ref="AH162:AH225" si="62">CONCATENATE(IF(O162=0,"",CONCATENATE(O162,"/")),IF(P162=0,"",CONCATENATE(P162,"/")),IF(Q162=0,"",CONCATENATE(Q162,"/")),IF(R162=0,"",CONCATENATE(R162,"/")),IF(S162=0,"",CONCATENATE(S162,"/")),IF(T162=0,"",CONCATENATE(T162,"/")))</f>
        <v>16/18/</v>
      </c>
      <c r="AI162" s="12" t="str">
        <f t="shared" ref="AI162:AI225" si="63">CONCATENATE(V162,"/",W162)</f>
        <v>10/5</v>
      </c>
    </row>
    <row r="163" spans="1:35" s="8" customFormat="1" ht="21.95" customHeight="1">
      <c r="A163" s="9">
        <v>161</v>
      </c>
      <c r="B163" s="17">
        <v>161</v>
      </c>
      <c r="C163" s="6">
        <v>30</v>
      </c>
      <c r="D163" s="6">
        <v>0</v>
      </c>
      <c r="E163" s="5">
        <v>100</v>
      </c>
      <c r="F163" s="5">
        <v>100</v>
      </c>
      <c r="G163" s="5">
        <v>100</v>
      </c>
      <c r="H163" s="5">
        <v>100</v>
      </c>
      <c r="I163" s="5">
        <v>100</v>
      </c>
      <c r="J163" s="5">
        <v>0</v>
      </c>
      <c r="K163" s="15" t="s">
        <v>52</v>
      </c>
      <c r="L163" s="6">
        <v>3</v>
      </c>
      <c r="M163" s="6">
        <v>6</v>
      </c>
      <c r="N163" s="6">
        <v>0</v>
      </c>
      <c r="O163" s="5">
        <v>0</v>
      </c>
      <c r="P163" s="5">
        <v>0</v>
      </c>
      <c r="Q163" s="5">
        <v>0</v>
      </c>
      <c r="R163" s="5">
        <v>0</v>
      </c>
      <c r="S163" s="5">
        <v>0</v>
      </c>
      <c r="T163" s="5">
        <v>0</v>
      </c>
      <c r="U163" s="6">
        <v>0</v>
      </c>
      <c r="V163" s="5">
        <v>10</v>
      </c>
      <c r="W163" s="5">
        <v>5</v>
      </c>
      <c r="X163" s="16">
        <v>2000</v>
      </c>
      <c r="Y163" s="16">
        <v>7000</v>
      </c>
      <c r="Z163" s="16">
        <v>14000</v>
      </c>
      <c r="AA163" s="12" t="str">
        <f t="shared" si="55"/>
        <v>0/30</v>
      </c>
      <c r="AB163" s="12" t="str">
        <f t="shared" si="56"/>
        <v>100,100,100,100,100,0</v>
      </c>
      <c r="AC163" s="12">
        <f t="shared" si="57"/>
        <v>1</v>
      </c>
      <c r="AD163" s="12" t="str">
        <f t="shared" si="58"/>
        <v>2000/7000/14000</v>
      </c>
      <c r="AE163" s="12" t="str">
        <f t="shared" si="59"/>
        <v>0/</v>
      </c>
      <c r="AF163" s="12" t="str">
        <f t="shared" si="60"/>
        <v>6/</v>
      </c>
      <c r="AG163" s="12" t="str">
        <f t="shared" si="61"/>
        <v/>
      </c>
      <c r="AH163" s="12" t="str">
        <f t="shared" si="62"/>
        <v/>
      </c>
      <c r="AI163" s="12" t="str">
        <f t="shared" si="63"/>
        <v>10/5</v>
      </c>
    </row>
    <row r="164" spans="1:35" s="8" customFormat="1" ht="21.95" customHeight="1">
      <c r="A164" s="9">
        <v>162</v>
      </c>
      <c r="B164" s="17">
        <v>162</v>
      </c>
      <c r="C164" s="6">
        <v>30</v>
      </c>
      <c r="D164" s="6">
        <v>0</v>
      </c>
      <c r="E164" s="5">
        <v>0</v>
      </c>
      <c r="F164" s="5">
        <v>100</v>
      </c>
      <c r="G164" s="5">
        <v>100</v>
      </c>
      <c r="H164" s="5">
        <v>100</v>
      </c>
      <c r="I164" s="5">
        <v>100</v>
      </c>
      <c r="J164" s="5">
        <v>100</v>
      </c>
      <c r="K164" s="15" t="s">
        <v>52</v>
      </c>
      <c r="L164" s="6">
        <v>3</v>
      </c>
      <c r="M164" s="6">
        <v>0</v>
      </c>
      <c r="N164" s="6">
        <v>6</v>
      </c>
      <c r="O164" s="5">
        <v>0</v>
      </c>
      <c r="P164" s="5">
        <v>0</v>
      </c>
      <c r="Q164" s="5">
        <v>0</v>
      </c>
      <c r="R164" s="5">
        <v>0</v>
      </c>
      <c r="S164" s="5">
        <v>0</v>
      </c>
      <c r="T164" s="5">
        <v>0</v>
      </c>
      <c r="U164" s="6">
        <v>0</v>
      </c>
      <c r="V164" s="5">
        <v>10</v>
      </c>
      <c r="W164" s="5">
        <v>5</v>
      </c>
      <c r="X164" s="16">
        <v>2000</v>
      </c>
      <c r="Y164" s="16">
        <v>7000</v>
      </c>
      <c r="Z164" s="16">
        <v>14000</v>
      </c>
      <c r="AA164" s="12" t="str">
        <f t="shared" si="55"/>
        <v>0/30</v>
      </c>
      <c r="AB164" s="12" t="str">
        <f t="shared" si="56"/>
        <v>0,100,100,100,100,100</v>
      </c>
      <c r="AC164" s="12">
        <f t="shared" si="57"/>
        <v>1</v>
      </c>
      <c r="AD164" s="12" t="str">
        <f t="shared" si="58"/>
        <v>2000/7000/14000</v>
      </c>
      <c r="AE164" s="12" t="str">
        <f t="shared" si="59"/>
        <v>1/</v>
      </c>
      <c r="AF164" s="12" t="str">
        <f t="shared" si="60"/>
        <v>6/</v>
      </c>
      <c r="AG164" s="12" t="str">
        <f t="shared" si="61"/>
        <v/>
      </c>
      <c r="AH164" s="12" t="str">
        <f t="shared" si="62"/>
        <v/>
      </c>
      <c r="AI164" s="12" t="str">
        <f t="shared" si="63"/>
        <v>10/5</v>
      </c>
    </row>
    <row r="165" spans="1:35" s="8" customFormat="1" ht="21.95" customHeight="1">
      <c r="A165" s="9">
        <v>163</v>
      </c>
      <c r="B165" s="17">
        <v>163</v>
      </c>
      <c r="C165" s="6">
        <v>0</v>
      </c>
      <c r="D165" s="6">
        <v>120</v>
      </c>
      <c r="E165" s="5">
        <v>100</v>
      </c>
      <c r="F165" s="5">
        <v>0</v>
      </c>
      <c r="G165" s="5">
        <v>100</v>
      </c>
      <c r="H165" s="5">
        <v>100</v>
      </c>
      <c r="I165" s="5">
        <v>100</v>
      </c>
      <c r="J165" s="5">
        <v>100</v>
      </c>
      <c r="K165" s="15" t="s">
        <v>54</v>
      </c>
      <c r="L165" s="6">
        <v>3</v>
      </c>
      <c r="M165" s="6">
        <v>0</v>
      </c>
      <c r="N165" s="6">
        <v>0</v>
      </c>
      <c r="O165" s="5">
        <v>0</v>
      </c>
      <c r="P165" s="5">
        <v>0</v>
      </c>
      <c r="Q165" s="5">
        <v>0</v>
      </c>
      <c r="R165" s="5">
        <v>0</v>
      </c>
      <c r="S165" s="5">
        <v>0</v>
      </c>
      <c r="T165" s="5">
        <v>0</v>
      </c>
      <c r="U165" s="6">
        <v>0</v>
      </c>
      <c r="V165" s="5">
        <v>10</v>
      </c>
      <c r="W165" s="5">
        <v>5</v>
      </c>
      <c r="X165" s="16">
        <v>2000</v>
      </c>
      <c r="Y165" s="16">
        <v>7000</v>
      </c>
      <c r="Z165" s="16">
        <v>14000</v>
      </c>
      <c r="AA165" s="12" t="str">
        <f t="shared" si="55"/>
        <v>1/120</v>
      </c>
      <c r="AB165" s="12" t="str">
        <f t="shared" si="56"/>
        <v>100,0,100,100,100,100</v>
      </c>
      <c r="AC165" s="12">
        <f t="shared" si="57"/>
        <v>3</v>
      </c>
      <c r="AD165" s="12" t="str">
        <f t="shared" si="58"/>
        <v>2000/7000/14000</v>
      </c>
      <c r="AE165" s="12" t="str">
        <f t="shared" si="59"/>
        <v/>
      </c>
      <c r="AF165" s="12" t="str">
        <f t="shared" si="60"/>
        <v/>
      </c>
      <c r="AG165" s="12" t="str">
        <f t="shared" si="61"/>
        <v/>
      </c>
      <c r="AH165" s="12" t="str">
        <f t="shared" si="62"/>
        <v/>
      </c>
      <c r="AI165" s="12" t="str">
        <f t="shared" si="63"/>
        <v>10/5</v>
      </c>
    </row>
    <row r="166" spans="1:35" s="8" customFormat="1" ht="21.95" customHeight="1">
      <c r="A166" s="9">
        <v>164</v>
      </c>
      <c r="B166" s="17">
        <v>164</v>
      </c>
      <c r="C166" s="6">
        <v>0</v>
      </c>
      <c r="D166" s="6">
        <v>120</v>
      </c>
      <c r="E166" s="5">
        <v>100</v>
      </c>
      <c r="F166" s="5">
        <v>100</v>
      </c>
      <c r="G166" s="5">
        <v>0</v>
      </c>
      <c r="H166" s="5">
        <v>100</v>
      </c>
      <c r="I166" s="5">
        <v>100</v>
      </c>
      <c r="J166" s="5">
        <v>100</v>
      </c>
      <c r="K166" s="15" t="s">
        <v>54</v>
      </c>
      <c r="L166" s="6">
        <v>3</v>
      </c>
      <c r="M166" s="6">
        <v>0</v>
      </c>
      <c r="N166" s="6">
        <v>0</v>
      </c>
      <c r="O166" s="5">
        <v>0</v>
      </c>
      <c r="P166" s="5">
        <v>0</v>
      </c>
      <c r="Q166" s="5">
        <v>0</v>
      </c>
      <c r="R166" s="5">
        <v>0</v>
      </c>
      <c r="S166" s="5">
        <v>0</v>
      </c>
      <c r="T166" s="5">
        <v>0</v>
      </c>
      <c r="U166" s="6">
        <v>0</v>
      </c>
      <c r="V166" s="5">
        <v>10</v>
      </c>
      <c r="W166" s="5">
        <v>5</v>
      </c>
      <c r="X166" s="16">
        <v>2000</v>
      </c>
      <c r="Y166" s="16">
        <v>7000</v>
      </c>
      <c r="Z166" s="16">
        <v>14000</v>
      </c>
      <c r="AA166" s="12" t="str">
        <f t="shared" si="55"/>
        <v>1/120</v>
      </c>
      <c r="AB166" s="12" t="str">
        <f t="shared" si="56"/>
        <v>100,100,0,100,100,100</v>
      </c>
      <c r="AC166" s="12">
        <f t="shared" si="57"/>
        <v>3</v>
      </c>
      <c r="AD166" s="12" t="str">
        <f t="shared" si="58"/>
        <v>2000/7000/14000</v>
      </c>
      <c r="AE166" s="12" t="str">
        <f t="shared" si="59"/>
        <v/>
      </c>
      <c r="AF166" s="12" t="str">
        <f t="shared" si="60"/>
        <v/>
      </c>
      <c r="AG166" s="12" t="str">
        <f t="shared" si="61"/>
        <v/>
      </c>
      <c r="AH166" s="12" t="str">
        <f t="shared" si="62"/>
        <v/>
      </c>
      <c r="AI166" s="12" t="str">
        <f t="shared" si="63"/>
        <v>10/5</v>
      </c>
    </row>
    <row r="167" spans="1:35" s="8" customFormat="1" ht="21.95" customHeight="1">
      <c r="A167" s="9">
        <v>165</v>
      </c>
      <c r="B167" s="17">
        <v>165</v>
      </c>
      <c r="C167" s="6">
        <v>0</v>
      </c>
      <c r="D167" s="6">
        <v>120</v>
      </c>
      <c r="E167" s="5">
        <v>100</v>
      </c>
      <c r="F167" s="5">
        <v>100</v>
      </c>
      <c r="G167" s="5">
        <v>100</v>
      </c>
      <c r="H167" s="5">
        <v>100</v>
      </c>
      <c r="I167" s="5">
        <v>0</v>
      </c>
      <c r="J167" s="5">
        <v>100</v>
      </c>
      <c r="K167" s="15" t="s">
        <v>52</v>
      </c>
      <c r="L167" s="6">
        <v>3</v>
      </c>
      <c r="M167" s="6">
        <v>2</v>
      </c>
      <c r="N167" s="6">
        <v>4</v>
      </c>
      <c r="O167" s="5">
        <v>0</v>
      </c>
      <c r="P167" s="5">
        <v>0</v>
      </c>
      <c r="Q167" s="5">
        <v>0</v>
      </c>
      <c r="R167" s="5">
        <v>0</v>
      </c>
      <c r="S167" s="5">
        <v>0</v>
      </c>
      <c r="T167" s="5">
        <v>0</v>
      </c>
      <c r="U167" s="6">
        <v>0</v>
      </c>
      <c r="V167" s="5">
        <v>10</v>
      </c>
      <c r="W167" s="5">
        <v>5</v>
      </c>
      <c r="X167" s="16">
        <v>2000</v>
      </c>
      <c r="Y167" s="16">
        <v>7000</v>
      </c>
      <c r="Z167" s="16">
        <v>14000</v>
      </c>
      <c r="AA167" s="12" t="str">
        <f t="shared" si="55"/>
        <v>1/120</v>
      </c>
      <c r="AB167" s="12" t="str">
        <f t="shared" si="56"/>
        <v>100,100,100,100,0,100</v>
      </c>
      <c r="AC167" s="12">
        <f t="shared" si="57"/>
        <v>1</v>
      </c>
      <c r="AD167" s="12" t="str">
        <f t="shared" si="58"/>
        <v>2000/7000/14000</v>
      </c>
      <c r="AE167" s="12" t="str">
        <f t="shared" si="59"/>
        <v>0/1/</v>
      </c>
      <c r="AF167" s="12" t="str">
        <f t="shared" si="60"/>
        <v>2/4/</v>
      </c>
      <c r="AG167" s="12" t="str">
        <f t="shared" si="61"/>
        <v/>
      </c>
      <c r="AH167" s="12" t="str">
        <f t="shared" si="62"/>
        <v/>
      </c>
      <c r="AI167" s="12" t="str">
        <f t="shared" si="63"/>
        <v>10/5</v>
      </c>
    </row>
    <row r="168" spans="1:35" s="8" customFormat="1" ht="21.95" customHeight="1">
      <c r="A168" s="9">
        <v>166</v>
      </c>
      <c r="B168" s="17">
        <v>166</v>
      </c>
      <c r="C168" s="6">
        <v>30</v>
      </c>
      <c r="D168" s="6">
        <v>0</v>
      </c>
      <c r="E168" s="5">
        <v>100</v>
      </c>
      <c r="F168" s="5">
        <v>100</v>
      </c>
      <c r="G168" s="5">
        <v>100</v>
      </c>
      <c r="H168" s="5">
        <v>100</v>
      </c>
      <c r="I168" s="5">
        <v>100</v>
      </c>
      <c r="J168" s="5">
        <v>0</v>
      </c>
      <c r="K168" s="15" t="s">
        <v>54</v>
      </c>
      <c r="L168" s="6">
        <v>3</v>
      </c>
      <c r="M168" s="6">
        <v>0</v>
      </c>
      <c r="N168" s="6">
        <v>0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6">
        <v>0</v>
      </c>
      <c r="V168" s="5">
        <v>10</v>
      </c>
      <c r="W168" s="5">
        <v>5</v>
      </c>
      <c r="X168" s="16">
        <v>2000</v>
      </c>
      <c r="Y168" s="16">
        <v>7000</v>
      </c>
      <c r="Z168" s="16">
        <v>14000</v>
      </c>
      <c r="AA168" s="12" t="str">
        <f t="shared" si="55"/>
        <v>0/30</v>
      </c>
      <c r="AB168" s="12" t="str">
        <f t="shared" si="56"/>
        <v>100,100,100,100,100,0</v>
      </c>
      <c r="AC168" s="12">
        <f t="shared" si="57"/>
        <v>3</v>
      </c>
      <c r="AD168" s="12" t="str">
        <f t="shared" si="58"/>
        <v>2000/7000/14000</v>
      </c>
      <c r="AE168" s="12" t="str">
        <f t="shared" si="59"/>
        <v/>
      </c>
      <c r="AF168" s="12" t="str">
        <f t="shared" si="60"/>
        <v/>
      </c>
      <c r="AG168" s="12" t="str">
        <f t="shared" si="61"/>
        <v/>
      </c>
      <c r="AH168" s="12" t="str">
        <f t="shared" si="62"/>
        <v/>
      </c>
      <c r="AI168" s="12" t="str">
        <f t="shared" si="63"/>
        <v>10/5</v>
      </c>
    </row>
    <row r="169" spans="1:35" s="8" customFormat="1" ht="21.95" customHeight="1">
      <c r="A169" s="9">
        <v>167</v>
      </c>
      <c r="B169" s="17">
        <v>167</v>
      </c>
      <c r="C169" s="6">
        <v>30</v>
      </c>
      <c r="D169" s="6">
        <v>0</v>
      </c>
      <c r="E169" s="5">
        <v>0</v>
      </c>
      <c r="F169" s="5">
        <v>100</v>
      </c>
      <c r="G169" s="5">
        <v>100</v>
      </c>
      <c r="H169" s="5">
        <v>100</v>
      </c>
      <c r="I169" s="5">
        <v>100</v>
      </c>
      <c r="J169" s="5">
        <v>100</v>
      </c>
      <c r="K169" s="15" t="s">
        <v>54</v>
      </c>
      <c r="L169" s="6">
        <v>3</v>
      </c>
      <c r="M169" s="6">
        <v>0</v>
      </c>
      <c r="N169" s="6">
        <v>0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6">
        <v>0</v>
      </c>
      <c r="V169" s="5">
        <v>10</v>
      </c>
      <c r="W169" s="5">
        <v>5</v>
      </c>
      <c r="X169" s="16">
        <v>2000</v>
      </c>
      <c r="Y169" s="16">
        <v>7000</v>
      </c>
      <c r="Z169" s="16">
        <v>14000</v>
      </c>
      <c r="AA169" s="12" t="str">
        <f t="shared" si="55"/>
        <v>0/30</v>
      </c>
      <c r="AB169" s="12" t="str">
        <f t="shared" si="56"/>
        <v>0,100,100,100,100,100</v>
      </c>
      <c r="AC169" s="12">
        <f t="shared" si="57"/>
        <v>3</v>
      </c>
      <c r="AD169" s="12" t="str">
        <f t="shared" si="58"/>
        <v>2000/7000/14000</v>
      </c>
      <c r="AE169" s="12" t="str">
        <f t="shared" si="59"/>
        <v/>
      </c>
      <c r="AF169" s="12" t="str">
        <f t="shared" si="60"/>
        <v/>
      </c>
      <c r="AG169" s="12" t="str">
        <f t="shared" si="61"/>
        <v/>
      </c>
      <c r="AH169" s="12" t="str">
        <f t="shared" si="62"/>
        <v/>
      </c>
      <c r="AI169" s="12" t="str">
        <f t="shared" si="63"/>
        <v>10/5</v>
      </c>
    </row>
    <row r="170" spans="1:35" s="8" customFormat="1" ht="21.95" customHeight="1">
      <c r="A170" s="9">
        <v>168</v>
      </c>
      <c r="B170" s="17">
        <v>168</v>
      </c>
      <c r="C170" s="6">
        <v>30</v>
      </c>
      <c r="D170" s="6">
        <v>0</v>
      </c>
      <c r="E170" s="5">
        <v>100</v>
      </c>
      <c r="F170" s="5">
        <v>0</v>
      </c>
      <c r="G170" s="5">
        <v>100</v>
      </c>
      <c r="H170" s="5">
        <v>100</v>
      </c>
      <c r="I170" s="5">
        <v>100</v>
      </c>
      <c r="J170" s="5">
        <v>100</v>
      </c>
      <c r="K170" s="15" t="s">
        <v>55</v>
      </c>
      <c r="L170" s="6">
        <v>3</v>
      </c>
      <c r="M170" s="6">
        <v>0</v>
      </c>
      <c r="N170" s="6">
        <v>0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6">
        <v>5</v>
      </c>
      <c r="V170" s="5">
        <v>10</v>
      </c>
      <c r="W170" s="5">
        <v>5</v>
      </c>
      <c r="X170" s="16">
        <v>2000</v>
      </c>
      <c r="Y170" s="16">
        <v>7000</v>
      </c>
      <c r="Z170" s="16">
        <v>14000</v>
      </c>
      <c r="AA170" s="12" t="str">
        <f t="shared" si="55"/>
        <v>0/30</v>
      </c>
      <c r="AB170" s="12" t="str">
        <f t="shared" si="56"/>
        <v>100,0,100,100,100,100</v>
      </c>
      <c r="AC170" s="12">
        <f t="shared" si="57"/>
        <v>4</v>
      </c>
      <c r="AD170" s="12" t="str">
        <f t="shared" si="58"/>
        <v>2000/7000/14000</v>
      </c>
      <c r="AE170" s="12" t="str">
        <f t="shared" si="59"/>
        <v/>
      </c>
      <c r="AF170" s="12" t="str">
        <f t="shared" si="60"/>
        <v/>
      </c>
      <c r="AG170" s="12" t="str">
        <f t="shared" si="61"/>
        <v/>
      </c>
      <c r="AH170" s="12" t="str">
        <f t="shared" si="62"/>
        <v/>
      </c>
      <c r="AI170" s="12" t="str">
        <f t="shared" si="63"/>
        <v>10/5</v>
      </c>
    </row>
    <row r="171" spans="1:35" s="8" customFormat="1" ht="21.95" customHeight="1">
      <c r="A171" s="9">
        <v>169</v>
      </c>
      <c r="B171" s="17">
        <v>169</v>
      </c>
      <c r="C171" s="6">
        <v>30</v>
      </c>
      <c r="D171" s="6">
        <v>0</v>
      </c>
      <c r="E171" s="5">
        <v>100</v>
      </c>
      <c r="F171" s="5">
        <v>100</v>
      </c>
      <c r="G171" s="5">
        <v>0</v>
      </c>
      <c r="H171" s="5">
        <v>100</v>
      </c>
      <c r="I171" s="5">
        <v>100</v>
      </c>
      <c r="J171" s="5">
        <v>100</v>
      </c>
      <c r="K171" s="15" t="s">
        <v>55</v>
      </c>
      <c r="L171" s="6">
        <v>3</v>
      </c>
      <c r="M171" s="6">
        <v>0</v>
      </c>
      <c r="N171" s="6">
        <v>0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6">
        <v>5</v>
      </c>
      <c r="V171" s="5">
        <v>10</v>
      </c>
      <c r="W171" s="5">
        <v>5</v>
      </c>
      <c r="X171" s="16">
        <v>2000</v>
      </c>
      <c r="Y171" s="16">
        <v>7000</v>
      </c>
      <c r="Z171" s="16">
        <v>14000</v>
      </c>
      <c r="AA171" s="12" t="str">
        <f t="shared" si="55"/>
        <v>0/30</v>
      </c>
      <c r="AB171" s="12" t="str">
        <f t="shared" si="56"/>
        <v>100,100,0,100,100,100</v>
      </c>
      <c r="AC171" s="12">
        <f t="shared" si="57"/>
        <v>4</v>
      </c>
      <c r="AD171" s="12" t="str">
        <f t="shared" si="58"/>
        <v>2000/7000/14000</v>
      </c>
      <c r="AE171" s="12" t="str">
        <f t="shared" si="59"/>
        <v/>
      </c>
      <c r="AF171" s="12" t="str">
        <f t="shared" si="60"/>
        <v/>
      </c>
      <c r="AG171" s="12" t="str">
        <f t="shared" si="61"/>
        <v/>
      </c>
      <c r="AH171" s="12" t="str">
        <f t="shared" si="62"/>
        <v/>
      </c>
      <c r="AI171" s="12" t="str">
        <f t="shared" si="63"/>
        <v>10/5</v>
      </c>
    </row>
    <row r="172" spans="1:35" s="8" customFormat="1" ht="21.95" customHeight="1">
      <c r="A172" s="9">
        <v>170</v>
      </c>
      <c r="B172" s="17">
        <v>170</v>
      </c>
      <c r="C172" s="6">
        <v>32</v>
      </c>
      <c r="D172" s="6">
        <v>0</v>
      </c>
      <c r="E172" s="5">
        <v>100</v>
      </c>
      <c r="F172" s="5">
        <v>100</v>
      </c>
      <c r="G172" s="5">
        <v>100</v>
      </c>
      <c r="H172" s="5">
        <v>0</v>
      </c>
      <c r="I172" s="5">
        <v>100</v>
      </c>
      <c r="J172" s="5">
        <v>100</v>
      </c>
      <c r="K172" s="15" t="s">
        <v>51</v>
      </c>
      <c r="L172" s="6">
        <v>3</v>
      </c>
      <c r="M172" s="6">
        <v>0</v>
      </c>
      <c r="N172" s="6">
        <v>0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6">
        <v>0</v>
      </c>
      <c r="V172" s="5">
        <v>10</v>
      </c>
      <c r="W172" s="5">
        <v>5</v>
      </c>
      <c r="X172" s="16">
        <v>2000</v>
      </c>
      <c r="Y172" s="16">
        <v>7000</v>
      </c>
      <c r="Z172" s="16">
        <v>14000</v>
      </c>
      <c r="AA172" s="12" t="str">
        <f t="shared" si="55"/>
        <v>0/32</v>
      </c>
      <c r="AB172" s="12" t="str">
        <f t="shared" si="56"/>
        <v>100,100,100,0,100,100</v>
      </c>
      <c r="AC172" s="12">
        <f t="shared" si="57"/>
        <v>0</v>
      </c>
      <c r="AD172" s="12" t="str">
        <f t="shared" si="58"/>
        <v>2000/7000/14000</v>
      </c>
      <c r="AE172" s="12" t="str">
        <f t="shared" si="59"/>
        <v/>
      </c>
      <c r="AF172" s="12" t="str">
        <f t="shared" si="60"/>
        <v/>
      </c>
      <c r="AG172" s="12" t="str">
        <f t="shared" si="61"/>
        <v/>
      </c>
      <c r="AH172" s="12" t="str">
        <f t="shared" si="62"/>
        <v/>
      </c>
      <c r="AI172" s="12" t="str">
        <f t="shared" si="63"/>
        <v>10/5</v>
      </c>
    </row>
    <row r="173" spans="1:35" s="8" customFormat="1" ht="21.95" customHeight="1">
      <c r="A173" s="9">
        <v>171</v>
      </c>
      <c r="B173" s="17">
        <v>171</v>
      </c>
      <c r="C173" s="6">
        <v>30</v>
      </c>
      <c r="D173" s="6">
        <v>0</v>
      </c>
      <c r="E173" s="5">
        <v>100</v>
      </c>
      <c r="F173" s="5">
        <v>100</v>
      </c>
      <c r="G173" s="5">
        <v>0</v>
      </c>
      <c r="H173" s="5">
        <v>100</v>
      </c>
      <c r="I173" s="5">
        <v>100</v>
      </c>
      <c r="J173" s="5">
        <v>100</v>
      </c>
      <c r="K173" s="15" t="s">
        <v>56</v>
      </c>
      <c r="L173" s="6">
        <v>3</v>
      </c>
      <c r="M173" s="6">
        <v>0</v>
      </c>
      <c r="N173" s="6">
        <v>0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6">
        <v>0</v>
      </c>
      <c r="V173" s="5">
        <v>10</v>
      </c>
      <c r="W173" s="5">
        <v>5</v>
      </c>
      <c r="X173" s="16">
        <v>2000</v>
      </c>
      <c r="Y173" s="16">
        <v>7000</v>
      </c>
      <c r="Z173" s="16">
        <v>14000</v>
      </c>
      <c r="AA173" s="12" t="str">
        <f t="shared" si="55"/>
        <v>0/30</v>
      </c>
      <c r="AB173" s="12" t="str">
        <f t="shared" si="56"/>
        <v>100,100,0,100,100,100</v>
      </c>
      <c r="AC173" s="12">
        <f t="shared" si="57"/>
        <v>5</v>
      </c>
      <c r="AD173" s="12" t="str">
        <f t="shared" si="58"/>
        <v>2000/7000/14000</v>
      </c>
      <c r="AE173" s="12" t="str">
        <f t="shared" si="59"/>
        <v/>
      </c>
      <c r="AF173" s="12" t="str">
        <f t="shared" si="60"/>
        <v/>
      </c>
      <c r="AG173" s="12" t="str">
        <f t="shared" si="61"/>
        <v/>
      </c>
      <c r="AH173" s="12" t="str">
        <f t="shared" si="62"/>
        <v/>
      </c>
      <c r="AI173" s="12" t="str">
        <f t="shared" si="63"/>
        <v>10/5</v>
      </c>
    </row>
    <row r="174" spans="1:35" s="8" customFormat="1" ht="21.95" customHeight="1">
      <c r="A174" s="9">
        <v>172</v>
      </c>
      <c r="B174" s="17">
        <v>172</v>
      </c>
      <c r="C174" s="6">
        <v>30</v>
      </c>
      <c r="D174" s="6">
        <v>0</v>
      </c>
      <c r="E174" s="5">
        <v>100</v>
      </c>
      <c r="F174" s="5">
        <v>100</v>
      </c>
      <c r="G174" s="5">
        <v>100</v>
      </c>
      <c r="H174" s="5">
        <v>0</v>
      </c>
      <c r="I174" s="5">
        <v>100</v>
      </c>
      <c r="J174" s="5">
        <v>100</v>
      </c>
      <c r="K174" s="15" t="s">
        <v>53</v>
      </c>
      <c r="L174" s="6">
        <v>3</v>
      </c>
      <c r="M174" s="6">
        <v>0</v>
      </c>
      <c r="N174" s="6">
        <v>0</v>
      </c>
      <c r="O174" s="5">
        <v>0</v>
      </c>
      <c r="P174" s="5">
        <v>0</v>
      </c>
      <c r="Q174" s="5">
        <v>0</v>
      </c>
      <c r="R174" s="5">
        <v>0</v>
      </c>
      <c r="S174" s="5">
        <v>18</v>
      </c>
      <c r="T174" s="5">
        <v>16</v>
      </c>
      <c r="U174" s="6">
        <v>0</v>
      </c>
      <c r="V174" s="5">
        <v>10</v>
      </c>
      <c r="W174" s="5">
        <v>5</v>
      </c>
      <c r="X174" s="16">
        <v>2000</v>
      </c>
      <c r="Y174" s="16">
        <v>7000</v>
      </c>
      <c r="Z174" s="16">
        <v>14000</v>
      </c>
      <c r="AA174" s="12" t="str">
        <f t="shared" si="55"/>
        <v>0/30</v>
      </c>
      <c r="AB174" s="12" t="str">
        <f t="shared" si="56"/>
        <v>100,100,100,0,100,100</v>
      </c>
      <c r="AC174" s="12">
        <f t="shared" si="57"/>
        <v>2</v>
      </c>
      <c r="AD174" s="12" t="str">
        <f t="shared" si="58"/>
        <v>2000/7000/14000</v>
      </c>
      <c r="AE174" s="12" t="str">
        <f t="shared" si="59"/>
        <v/>
      </c>
      <c r="AF174" s="12" t="str">
        <f t="shared" si="60"/>
        <v/>
      </c>
      <c r="AG174" s="12" t="str">
        <f t="shared" si="61"/>
        <v>4/5/</v>
      </c>
      <c r="AH174" s="12" t="str">
        <f t="shared" si="62"/>
        <v>18/16/</v>
      </c>
      <c r="AI174" s="12" t="str">
        <f t="shared" si="63"/>
        <v>10/5</v>
      </c>
    </row>
    <row r="175" spans="1:35" s="8" customFormat="1" ht="21.95" customHeight="1">
      <c r="A175" s="9">
        <v>173</v>
      </c>
      <c r="B175" s="17">
        <v>173</v>
      </c>
      <c r="C175" s="6">
        <v>30</v>
      </c>
      <c r="D175" s="6">
        <v>0</v>
      </c>
      <c r="E175" s="5">
        <v>100</v>
      </c>
      <c r="F175" s="5">
        <v>100</v>
      </c>
      <c r="G175" s="5">
        <v>100</v>
      </c>
      <c r="H175" s="5">
        <v>100</v>
      </c>
      <c r="I175" s="5">
        <v>0</v>
      </c>
      <c r="J175" s="5">
        <v>100</v>
      </c>
      <c r="K175" s="15" t="s">
        <v>53</v>
      </c>
      <c r="L175" s="6">
        <v>3</v>
      </c>
      <c r="M175" s="6">
        <v>0</v>
      </c>
      <c r="N175" s="6">
        <v>0</v>
      </c>
      <c r="O175" s="5">
        <v>16</v>
      </c>
      <c r="P175" s="5">
        <v>0</v>
      </c>
      <c r="Q175" s="5">
        <v>0</v>
      </c>
      <c r="R175" s="5">
        <v>0</v>
      </c>
      <c r="S175" s="5">
        <v>0</v>
      </c>
      <c r="T175" s="5">
        <v>18</v>
      </c>
      <c r="U175" s="6">
        <v>0</v>
      </c>
      <c r="V175" s="5">
        <v>10</v>
      </c>
      <c r="W175" s="5">
        <v>5</v>
      </c>
      <c r="X175" s="16">
        <v>2000</v>
      </c>
      <c r="Y175" s="16">
        <v>7000</v>
      </c>
      <c r="Z175" s="16">
        <v>14000</v>
      </c>
      <c r="AA175" s="12" t="str">
        <f t="shared" si="55"/>
        <v>0/30</v>
      </c>
      <c r="AB175" s="12" t="str">
        <f t="shared" si="56"/>
        <v>100,100,100,100,0,100</v>
      </c>
      <c r="AC175" s="12">
        <f t="shared" si="57"/>
        <v>2</v>
      </c>
      <c r="AD175" s="12" t="str">
        <f t="shared" si="58"/>
        <v>2000/7000/14000</v>
      </c>
      <c r="AE175" s="12" t="str">
        <f t="shared" si="59"/>
        <v/>
      </c>
      <c r="AF175" s="12" t="str">
        <f t="shared" si="60"/>
        <v/>
      </c>
      <c r="AG175" s="12" t="str">
        <f t="shared" si="61"/>
        <v>0/5/</v>
      </c>
      <c r="AH175" s="12" t="str">
        <f t="shared" si="62"/>
        <v>16/18/</v>
      </c>
      <c r="AI175" s="12" t="str">
        <f t="shared" si="63"/>
        <v>10/5</v>
      </c>
    </row>
    <row r="176" spans="1:35" s="8" customFormat="1" ht="21.95" customHeight="1">
      <c r="A176" s="9">
        <v>174</v>
      </c>
      <c r="B176" s="17">
        <v>174</v>
      </c>
      <c r="C176" s="6">
        <v>30</v>
      </c>
      <c r="D176" s="6">
        <v>0</v>
      </c>
      <c r="E176" s="5">
        <v>100</v>
      </c>
      <c r="F176" s="5">
        <v>100</v>
      </c>
      <c r="G176" s="5">
        <v>100</v>
      </c>
      <c r="H176" s="5">
        <v>100</v>
      </c>
      <c r="I176" s="5">
        <v>100</v>
      </c>
      <c r="J176" s="5">
        <v>0</v>
      </c>
      <c r="K176" s="15" t="s">
        <v>52</v>
      </c>
      <c r="L176" s="6">
        <v>3</v>
      </c>
      <c r="M176" s="6">
        <v>6</v>
      </c>
      <c r="N176" s="6">
        <v>0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6">
        <v>0</v>
      </c>
      <c r="V176" s="5">
        <v>10</v>
      </c>
      <c r="W176" s="5">
        <v>5</v>
      </c>
      <c r="X176" s="16">
        <v>2000</v>
      </c>
      <c r="Y176" s="16">
        <v>7000</v>
      </c>
      <c r="Z176" s="16">
        <v>14000</v>
      </c>
      <c r="AA176" s="12" t="str">
        <f t="shared" si="55"/>
        <v>0/30</v>
      </c>
      <c r="AB176" s="12" t="str">
        <f t="shared" si="56"/>
        <v>100,100,100,100,100,0</v>
      </c>
      <c r="AC176" s="12">
        <f t="shared" si="57"/>
        <v>1</v>
      </c>
      <c r="AD176" s="12" t="str">
        <f t="shared" si="58"/>
        <v>2000/7000/14000</v>
      </c>
      <c r="AE176" s="12" t="str">
        <f t="shared" si="59"/>
        <v>0/</v>
      </c>
      <c r="AF176" s="12" t="str">
        <f t="shared" si="60"/>
        <v>6/</v>
      </c>
      <c r="AG176" s="12" t="str">
        <f t="shared" si="61"/>
        <v/>
      </c>
      <c r="AH176" s="12" t="str">
        <f t="shared" si="62"/>
        <v/>
      </c>
      <c r="AI176" s="12" t="str">
        <f t="shared" si="63"/>
        <v>10/5</v>
      </c>
    </row>
    <row r="177" spans="1:35" s="8" customFormat="1" ht="21.95" customHeight="1">
      <c r="A177" s="9">
        <v>175</v>
      </c>
      <c r="B177" s="17">
        <v>175</v>
      </c>
      <c r="C177" s="6">
        <v>30</v>
      </c>
      <c r="D177" s="6">
        <v>0</v>
      </c>
      <c r="E177" s="5">
        <v>0</v>
      </c>
      <c r="F177" s="5">
        <v>100</v>
      </c>
      <c r="G177" s="5">
        <v>100</v>
      </c>
      <c r="H177" s="5">
        <v>100</v>
      </c>
      <c r="I177" s="5">
        <v>100</v>
      </c>
      <c r="J177" s="5">
        <v>100</v>
      </c>
      <c r="K177" s="15" t="s">
        <v>52</v>
      </c>
      <c r="L177" s="6">
        <v>3</v>
      </c>
      <c r="M177" s="6">
        <v>0</v>
      </c>
      <c r="N177" s="6">
        <v>6</v>
      </c>
      <c r="O177" s="5">
        <v>0</v>
      </c>
      <c r="P177" s="5">
        <v>0</v>
      </c>
      <c r="Q177" s="5">
        <v>0</v>
      </c>
      <c r="R177" s="5">
        <v>0</v>
      </c>
      <c r="S177" s="5">
        <v>0</v>
      </c>
      <c r="T177" s="5">
        <v>0</v>
      </c>
      <c r="U177" s="6">
        <v>0</v>
      </c>
      <c r="V177" s="5">
        <v>10</v>
      </c>
      <c r="W177" s="5">
        <v>5</v>
      </c>
      <c r="X177" s="16">
        <v>2000</v>
      </c>
      <c r="Y177" s="16">
        <v>7000</v>
      </c>
      <c r="Z177" s="16">
        <v>14000</v>
      </c>
      <c r="AA177" s="12" t="str">
        <f t="shared" si="55"/>
        <v>0/30</v>
      </c>
      <c r="AB177" s="12" t="str">
        <f t="shared" si="56"/>
        <v>0,100,100,100,100,100</v>
      </c>
      <c r="AC177" s="12">
        <f t="shared" si="57"/>
        <v>1</v>
      </c>
      <c r="AD177" s="12" t="str">
        <f t="shared" si="58"/>
        <v>2000/7000/14000</v>
      </c>
      <c r="AE177" s="12" t="str">
        <f t="shared" si="59"/>
        <v>1/</v>
      </c>
      <c r="AF177" s="12" t="str">
        <f t="shared" si="60"/>
        <v>6/</v>
      </c>
      <c r="AG177" s="12" t="str">
        <f t="shared" si="61"/>
        <v/>
      </c>
      <c r="AH177" s="12" t="str">
        <f t="shared" si="62"/>
        <v/>
      </c>
      <c r="AI177" s="12" t="str">
        <f t="shared" si="63"/>
        <v>10/5</v>
      </c>
    </row>
    <row r="178" spans="1:35" s="8" customFormat="1" ht="21.95" customHeight="1">
      <c r="A178" s="9">
        <v>176</v>
      </c>
      <c r="B178" s="17">
        <v>176</v>
      </c>
      <c r="C178" s="6">
        <v>0</v>
      </c>
      <c r="D178" s="6">
        <v>120</v>
      </c>
      <c r="E178" s="5">
        <v>100</v>
      </c>
      <c r="F178" s="5">
        <v>0</v>
      </c>
      <c r="G178" s="5">
        <v>100</v>
      </c>
      <c r="H178" s="5">
        <v>100</v>
      </c>
      <c r="I178" s="5">
        <v>100</v>
      </c>
      <c r="J178" s="5">
        <v>100</v>
      </c>
      <c r="K178" s="15" t="s">
        <v>54</v>
      </c>
      <c r="L178" s="6">
        <v>3</v>
      </c>
      <c r="M178" s="6">
        <v>0</v>
      </c>
      <c r="N178" s="6">
        <v>0</v>
      </c>
      <c r="O178" s="5">
        <v>0</v>
      </c>
      <c r="P178" s="5">
        <v>0</v>
      </c>
      <c r="Q178" s="5">
        <v>0</v>
      </c>
      <c r="R178" s="5">
        <v>0</v>
      </c>
      <c r="S178" s="5">
        <v>0</v>
      </c>
      <c r="T178" s="5">
        <v>0</v>
      </c>
      <c r="U178" s="6">
        <v>0</v>
      </c>
      <c r="V178" s="5">
        <v>10</v>
      </c>
      <c r="W178" s="5">
        <v>5</v>
      </c>
      <c r="X178" s="16">
        <v>2000</v>
      </c>
      <c r="Y178" s="16">
        <v>7000</v>
      </c>
      <c r="Z178" s="16">
        <v>14000</v>
      </c>
      <c r="AA178" s="12" t="str">
        <f t="shared" si="55"/>
        <v>1/120</v>
      </c>
      <c r="AB178" s="12" t="str">
        <f t="shared" si="56"/>
        <v>100,0,100,100,100,100</v>
      </c>
      <c r="AC178" s="12">
        <f t="shared" si="57"/>
        <v>3</v>
      </c>
      <c r="AD178" s="12" t="str">
        <f t="shared" si="58"/>
        <v>2000/7000/14000</v>
      </c>
      <c r="AE178" s="12" t="str">
        <f t="shared" si="59"/>
        <v/>
      </c>
      <c r="AF178" s="12" t="str">
        <f t="shared" si="60"/>
        <v/>
      </c>
      <c r="AG178" s="12" t="str">
        <f t="shared" si="61"/>
        <v/>
      </c>
      <c r="AH178" s="12" t="str">
        <f t="shared" si="62"/>
        <v/>
      </c>
      <c r="AI178" s="12" t="str">
        <f t="shared" si="63"/>
        <v>10/5</v>
      </c>
    </row>
    <row r="179" spans="1:35" s="8" customFormat="1" ht="21.95" customHeight="1">
      <c r="A179" s="9">
        <v>177</v>
      </c>
      <c r="B179" s="17">
        <v>177</v>
      </c>
      <c r="C179" s="6">
        <v>0</v>
      </c>
      <c r="D179" s="6">
        <v>120</v>
      </c>
      <c r="E179" s="5">
        <v>100</v>
      </c>
      <c r="F179" s="5">
        <v>100</v>
      </c>
      <c r="G179" s="5">
        <v>0</v>
      </c>
      <c r="H179" s="5">
        <v>100</v>
      </c>
      <c r="I179" s="5">
        <v>100</v>
      </c>
      <c r="J179" s="5">
        <v>100</v>
      </c>
      <c r="K179" s="15" t="s">
        <v>56</v>
      </c>
      <c r="L179" s="6">
        <v>3</v>
      </c>
      <c r="M179" s="6">
        <v>0</v>
      </c>
      <c r="N179" s="6">
        <v>0</v>
      </c>
      <c r="O179" s="5">
        <v>0</v>
      </c>
      <c r="P179" s="5">
        <v>0</v>
      </c>
      <c r="Q179" s="5">
        <v>0</v>
      </c>
      <c r="R179" s="5">
        <v>0</v>
      </c>
      <c r="S179" s="5">
        <v>0</v>
      </c>
      <c r="T179" s="5">
        <v>0</v>
      </c>
      <c r="U179" s="6">
        <v>0</v>
      </c>
      <c r="V179" s="5">
        <v>10</v>
      </c>
      <c r="W179" s="5">
        <v>5</v>
      </c>
      <c r="X179" s="16">
        <v>2000</v>
      </c>
      <c r="Y179" s="16">
        <v>7000</v>
      </c>
      <c r="Z179" s="16">
        <v>14000</v>
      </c>
      <c r="AA179" s="12" t="str">
        <f t="shared" si="55"/>
        <v>1/120</v>
      </c>
      <c r="AB179" s="12" t="str">
        <f t="shared" si="56"/>
        <v>100,100,0,100,100,100</v>
      </c>
      <c r="AC179" s="12">
        <f t="shared" si="57"/>
        <v>5</v>
      </c>
      <c r="AD179" s="12" t="str">
        <f t="shared" si="58"/>
        <v>2000/7000/14000</v>
      </c>
      <c r="AE179" s="12" t="str">
        <f t="shared" si="59"/>
        <v/>
      </c>
      <c r="AF179" s="12" t="str">
        <f t="shared" si="60"/>
        <v/>
      </c>
      <c r="AG179" s="12" t="str">
        <f t="shared" si="61"/>
        <v/>
      </c>
      <c r="AH179" s="12" t="str">
        <f t="shared" si="62"/>
        <v/>
      </c>
      <c r="AI179" s="12" t="str">
        <f t="shared" si="63"/>
        <v>10/5</v>
      </c>
    </row>
    <row r="180" spans="1:35" s="8" customFormat="1" ht="21.95" customHeight="1">
      <c r="A180" s="9">
        <v>178</v>
      </c>
      <c r="B180" s="17">
        <v>178</v>
      </c>
      <c r="C180" s="6">
        <v>0</v>
      </c>
      <c r="D180" s="6">
        <v>120</v>
      </c>
      <c r="E180" s="5">
        <v>100</v>
      </c>
      <c r="F180" s="5">
        <v>100</v>
      </c>
      <c r="G180" s="5">
        <v>100</v>
      </c>
      <c r="H180" s="5">
        <v>0</v>
      </c>
      <c r="I180" s="5">
        <v>100</v>
      </c>
      <c r="J180" s="5">
        <v>100</v>
      </c>
      <c r="K180" s="15" t="s">
        <v>53</v>
      </c>
      <c r="L180" s="6">
        <v>3</v>
      </c>
      <c r="M180" s="6">
        <v>0</v>
      </c>
      <c r="N180" s="6">
        <v>0</v>
      </c>
      <c r="O180" s="5">
        <v>0</v>
      </c>
      <c r="P180" s="5">
        <v>0</v>
      </c>
      <c r="Q180" s="5">
        <v>0</v>
      </c>
      <c r="R180" s="5">
        <v>0</v>
      </c>
      <c r="S180" s="5">
        <v>18</v>
      </c>
      <c r="T180" s="5">
        <v>16</v>
      </c>
      <c r="U180" s="6">
        <v>0</v>
      </c>
      <c r="V180" s="5">
        <v>10</v>
      </c>
      <c r="W180" s="5">
        <v>5</v>
      </c>
      <c r="X180" s="16">
        <v>2000</v>
      </c>
      <c r="Y180" s="16">
        <v>7000</v>
      </c>
      <c r="Z180" s="16">
        <v>14000</v>
      </c>
      <c r="AA180" s="12" t="str">
        <f t="shared" si="55"/>
        <v>1/120</v>
      </c>
      <c r="AB180" s="12" t="str">
        <f t="shared" si="56"/>
        <v>100,100,100,0,100,100</v>
      </c>
      <c r="AC180" s="12">
        <f t="shared" si="57"/>
        <v>2</v>
      </c>
      <c r="AD180" s="12" t="str">
        <f t="shared" si="58"/>
        <v>2000/7000/14000</v>
      </c>
      <c r="AE180" s="12" t="str">
        <f t="shared" si="59"/>
        <v/>
      </c>
      <c r="AF180" s="12" t="str">
        <f t="shared" si="60"/>
        <v/>
      </c>
      <c r="AG180" s="12" t="str">
        <f t="shared" si="61"/>
        <v>4/5/</v>
      </c>
      <c r="AH180" s="12" t="str">
        <f t="shared" si="62"/>
        <v>18/16/</v>
      </c>
      <c r="AI180" s="12" t="str">
        <f t="shared" si="63"/>
        <v>10/5</v>
      </c>
    </row>
    <row r="181" spans="1:35" s="8" customFormat="1" ht="21.95" customHeight="1">
      <c r="A181" s="9">
        <v>179</v>
      </c>
      <c r="B181" s="17">
        <v>179</v>
      </c>
      <c r="C181" s="6">
        <v>30</v>
      </c>
      <c r="D181" s="6">
        <v>0</v>
      </c>
      <c r="E181" s="5">
        <v>100</v>
      </c>
      <c r="F181" s="5">
        <v>100</v>
      </c>
      <c r="G181" s="5">
        <v>100</v>
      </c>
      <c r="H181" s="5">
        <v>100</v>
      </c>
      <c r="I181" s="5">
        <v>0</v>
      </c>
      <c r="J181" s="5">
        <v>100</v>
      </c>
      <c r="K181" s="15" t="s">
        <v>53</v>
      </c>
      <c r="L181" s="6">
        <v>3</v>
      </c>
      <c r="M181" s="6">
        <v>0</v>
      </c>
      <c r="N181" s="6">
        <v>0</v>
      </c>
      <c r="O181" s="5">
        <v>16</v>
      </c>
      <c r="P181" s="5">
        <v>0</v>
      </c>
      <c r="Q181" s="5">
        <v>0</v>
      </c>
      <c r="R181" s="5">
        <v>0</v>
      </c>
      <c r="S181" s="5">
        <v>0</v>
      </c>
      <c r="T181" s="5">
        <v>18</v>
      </c>
      <c r="U181" s="6">
        <v>0</v>
      </c>
      <c r="V181" s="5">
        <v>10</v>
      </c>
      <c r="W181" s="5">
        <v>5</v>
      </c>
      <c r="X181" s="16">
        <v>2000</v>
      </c>
      <c r="Y181" s="16">
        <v>7000</v>
      </c>
      <c r="Z181" s="16">
        <v>14000</v>
      </c>
      <c r="AA181" s="12" t="str">
        <f t="shared" si="55"/>
        <v>0/30</v>
      </c>
      <c r="AB181" s="12" t="str">
        <f t="shared" si="56"/>
        <v>100,100,100,100,0,100</v>
      </c>
      <c r="AC181" s="12">
        <f t="shared" si="57"/>
        <v>2</v>
      </c>
      <c r="AD181" s="12" t="str">
        <f t="shared" si="58"/>
        <v>2000/7000/14000</v>
      </c>
      <c r="AE181" s="12" t="str">
        <f t="shared" si="59"/>
        <v/>
      </c>
      <c r="AF181" s="12" t="str">
        <f t="shared" si="60"/>
        <v/>
      </c>
      <c r="AG181" s="12" t="str">
        <f t="shared" si="61"/>
        <v>0/5/</v>
      </c>
      <c r="AH181" s="12" t="str">
        <f t="shared" si="62"/>
        <v>16/18/</v>
      </c>
      <c r="AI181" s="12" t="str">
        <f t="shared" si="63"/>
        <v>10/5</v>
      </c>
    </row>
    <row r="182" spans="1:35" s="8" customFormat="1" ht="21.95" customHeight="1">
      <c r="A182" s="9">
        <v>180</v>
      </c>
      <c r="B182" s="17">
        <v>180</v>
      </c>
      <c r="C182" s="6">
        <v>30</v>
      </c>
      <c r="D182" s="6">
        <v>0</v>
      </c>
      <c r="E182" s="5">
        <v>100</v>
      </c>
      <c r="F182" s="5">
        <v>100</v>
      </c>
      <c r="G182" s="5">
        <v>100</v>
      </c>
      <c r="H182" s="5">
        <v>100</v>
      </c>
      <c r="I182" s="5">
        <v>100</v>
      </c>
      <c r="J182" s="5">
        <v>0</v>
      </c>
      <c r="K182" s="15" t="s">
        <v>52</v>
      </c>
      <c r="L182" s="6">
        <v>3</v>
      </c>
      <c r="M182" s="6">
        <v>6</v>
      </c>
      <c r="N182" s="6">
        <v>0</v>
      </c>
      <c r="O182" s="5">
        <v>0</v>
      </c>
      <c r="P182" s="5">
        <v>0</v>
      </c>
      <c r="Q182" s="5">
        <v>0</v>
      </c>
      <c r="R182" s="5">
        <v>0</v>
      </c>
      <c r="S182" s="5">
        <v>0</v>
      </c>
      <c r="T182" s="5">
        <v>0</v>
      </c>
      <c r="U182" s="6">
        <v>0</v>
      </c>
      <c r="V182" s="5">
        <v>10</v>
      </c>
      <c r="W182" s="5">
        <v>5</v>
      </c>
      <c r="X182" s="16">
        <v>2000</v>
      </c>
      <c r="Y182" s="16">
        <v>7000</v>
      </c>
      <c r="Z182" s="16">
        <v>14000</v>
      </c>
      <c r="AA182" s="12" t="str">
        <f t="shared" si="55"/>
        <v>0/30</v>
      </c>
      <c r="AB182" s="12" t="str">
        <f t="shared" si="56"/>
        <v>100,100,100,100,100,0</v>
      </c>
      <c r="AC182" s="12">
        <f t="shared" si="57"/>
        <v>1</v>
      </c>
      <c r="AD182" s="12" t="str">
        <f t="shared" si="58"/>
        <v>2000/7000/14000</v>
      </c>
      <c r="AE182" s="12" t="str">
        <f t="shared" si="59"/>
        <v>0/</v>
      </c>
      <c r="AF182" s="12" t="str">
        <f t="shared" si="60"/>
        <v>6/</v>
      </c>
      <c r="AG182" s="12" t="str">
        <f t="shared" si="61"/>
        <v/>
      </c>
      <c r="AH182" s="12" t="str">
        <f t="shared" si="62"/>
        <v/>
      </c>
      <c r="AI182" s="12" t="str">
        <f t="shared" si="63"/>
        <v>10/5</v>
      </c>
    </row>
    <row r="183" spans="1:35" s="8" customFormat="1" ht="21.95" customHeight="1">
      <c r="A183" s="9">
        <v>181</v>
      </c>
      <c r="B183" s="17">
        <v>181</v>
      </c>
      <c r="C183" s="6">
        <v>30</v>
      </c>
      <c r="D183" s="6">
        <v>0</v>
      </c>
      <c r="E183" s="5">
        <v>0</v>
      </c>
      <c r="F183" s="5">
        <v>100</v>
      </c>
      <c r="G183" s="5">
        <v>100</v>
      </c>
      <c r="H183" s="5">
        <v>100</v>
      </c>
      <c r="I183" s="5">
        <v>100</v>
      </c>
      <c r="J183" s="5">
        <v>100</v>
      </c>
      <c r="K183" s="15" t="s">
        <v>52</v>
      </c>
      <c r="L183" s="6">
        <v>3</v>
      </c>
      <c r="M183" s="6">
        <v>0</v>
      </c>
      <c r="N183" s="6">
        <v>6</v>
      </c>
      <c r="O183" s="5">
        <v>0</v>
      </c>
      <c r="P183" s="5">
        <v>0</v>
      </c>
      <c r="Q183" s="5">
        <v>0</v>
      </c>
      <c r="R183" s="5">
        <v>0</v>
      </c>
      <c r="S183" s="5">
        <v>0</v>
      </c>
      <c r="T183" s="5">
        <v>0</v>
      </c>
      <c r="U183" s="6">
        <v>0</v>
      </c>
      <c r="V183" s="5">
        <v>10</v>
      </c>
      <c r="W183" s="5">
        <v>5</v>
      </c>
      <c r="X183" s="16">
        <v>2000</v>
      </c>
      <c r="Y183" s="16">
        <v>7000</v>
      </c>
      <c r="Z183" s="16">
        <v>14000</v>
      </c>
      <c r="AA183" s="12" t="str">
        <f t="shared" si="55"/>
        <v>0/30</v>
      </c>
      <c r="AB183" s="12" t="str">
        <f t="shared" si="56"/>
        <v>0,100,100,100,100,100</v>
      </c>
      <c r="AC183" s="12">
        <f t="shared" si="57"/>
        <v>1</v>
      </c>
      <c r="AD183" s="12" t="str">
        <f t="shared" si="58"/>
        <v>2000/7000/14000</v>
      </c>
      <c r="AE183" s="12" t="str">
        <f t="shared" si="59"/>
        <v>1/</v>
      </c>
      <c r="AF183" s="12" t="str">
        <f t="shared" si="60"/>
        <v>6/</v>
      </c>
      <c r="AG183" s="12" t="str">
        <f t="shared" si="61"/>
        <v/>
      </c>
      <c r="AH183" s="12" t="str">
        <f t="shared" si="62"/>
        <v/>
      </c>
      <c r="AI183" s="12" t="str">
        <f t="shared" si="63"/>
        <v>10/5</v>
      </c>
    </row>
    <row r="184" spans="1:35" s="8" customFormat="1" ht="21.95" customHeight="1">
      <c r="A184" s="9">
        <v>182</v>
      </c>
      <c r="B184" s="17">
        <v>182</v>
      </c>
      <c r="C184" s="6">
        <v>0</v>
      </c>
      <c r="D184" s="6">
        <v>120</v>
      </c>
      <c r="E184" s="5">
        <v>100</v>
      </c>
      <c r="F184" s="5">
        <v>0</v>
      </c>
      <c r="G184" s="5">
        <v>100</v>
      </c>
      <c r="H184" s="5">
        <v>100</v>
      </c>
      <c r="I184" s="5">
        <v>100</v>
      </c>
      <c r="J184" s="5">
        <v>100</v>
      </c>
      <c r="K184" s="15" t="s">
        <v>54</v>
      </c>
      <c r="L184" s="6">
        <v>3</v>
      </c>
      <c r="M184" s="6">
        <v>0</v>
      </c>
      <c r="N184" s="6">
        <v>0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6">
        <v>0</v>
      </c>
      <c r="V184" s="5">
        <v>10</v>
      </c>
      <c r="W184" s="5">
        <v>5</v>
      </c>
      <c r="X184" s="16">
        <v>2000</v>
      </c>
      <c r="Y184" s="16">
        <v>7000</v>
      </c>
      <c r="Z184" s="16">
        <v>14000</v>
      </c>
      <c r="AA184" s="12" t="str">
        <f t="shared" si="55"/>
        <v>1/120</v>
      </c>
      <c r="AB184" s="12" t="str">
        <f t="shared" si="56"/>
        <v>100,0,100,100,100,100</v>
      </c>
      <c r="AC184" s="12">
        <f t="shared" si="57"/>
        <v>3</v>
      </c>
      <c r="AD184" s="12" t="str">
        <f t="shared" si="58"/>
        <v>2000/7000/14000</v>
      </c>
      <c r="AE184" s="12" t="str">
        <f t="shared" si="59"/>
        <v/>
      </c>
      <c r="AF184" s="12" t="str">
        <f t="shared" si="60"/>
        <v/>
      </c>
      <c r="AG184" s="12" t="str">
        <f t="shared" si="61"/>
        <v/>
      </c>
      <c r="AH184" s="12" t="str">
        <f t="shared" si="62"/>
        <v/>
      </c>
      <c r="AI184" s="12" t="str">
        <f t="shared" si="63"/>
        <v>10/5</v>
      </c>
    </row>
    <row r="185" spans="1:35" s="8" customFormat="1" ht="21.95" customHeight="1">
      <c r="A185" s="9">
        <v>183</v>
      </c>
      <c r="B185" s="17">
        <v>183</v>
      </c>
      <c r="C185" s="6">
        <v>0</v>
      </c>
      <c r="D185" s="6">
        <v>120</v>
      </c>
      <c r="E185" s="5">
        <v>100</v>
      </c>
      <c r="F185" s="5">
        <v>100</v>
      </c>
      <c r="G185" s="5">
        <v>0</v>
      </c>
      <c r="H185" s="5">
        <v>100</v>
      </c>
      <c r="I185" s="5">
        <v>100</v>
      </c>
      <c r="J185" s="5">
        <v>100</v>
      </c>
      <c r="K185" s="15" t="s">
        <v>54</v>
      </c>
      <c r="L185" s="6">
        <v>3</v>
      </c>
      <c r="M185" s="6">
        <v>0</v>
      </c>
      <c r="N185" s="6">
        <v>0</v>
      </c>
      <c r="O185" s="5">
        <v>0</v>
      </c>
      <c r="P185" s="5">
        <v>0</v>
      </c>
      <c r="Q185" s="5">
        <v>0</v>
      </c>
      <c r="R185" s="5">
        <v>0</v>
      </c>
      <c r="S185" s="5">
        <v>0</v>
      </c>
      <c r="T185" s="5">
        <v>0</v>
      </c>
      <c r="U185" s="6">
        <v>0</v>
      </c>
      <c r="V185" s="5">
        <v>10</v>
      </c>
      <c r="W185" s="5">
        <v>5</v>
      </c>
      <c r="X185" s="16">
        <v>2000</v>
      </c>
      <c r="Y185" s="16">
        <v>7000</v>
      </c>
      <c r="Z185" s="16">
        <v>14000</v>
      </c>
      <c r="AA185" s="12" t="str">
        <f t="shared" si="55"/>
        <v>1/120</v>
      </c>
      <c r="AB185" s="12" t="str">
        <f t="shared" si="56"/>
        <v>100,100,0,100,100,100</v>
      </c>
      <c r="AC185" s="12">
        <f t="shared" si="57"/>
        <v>3</v>
      </c>
      <c r="AD185" s="12" t="str">
        <f t="shared" si="58"/>
        <v>2000/7000/14000</v>
      </c>
      <c r="AE185" s="12" t="str">
        <f t="shared" si="59"/>
        <v/>
      </c>
      <c r="AF185" s="12" t="str">
        <f t="shared" si="60"/>
        <v/>
      </c>
      <c r="AG185" s="12" t="str">
        <f t="shared" si="61"/>
        <v/>
      </c>
      <c r="AH185" s="12" t="str">
        <f t="shared" si="62"/>
        <v/>
      </c>
      <c r="AI185" s="12" t="str">
        <f t="shared" si="63"/>
        <v>10/5</v>
      </c>
    </row>
    <row r="186" spans="1:35" s="8" customFormat="1" ht="21.95" customHeight="1">
      <c r="A186" s="9">
        <v>184</v>
      </c>
      <c r="B186" s="17">
        <v>184</v>
      </c>
      <c r="C186" s="6">
        <v>30</v>
      </c>
      <c r="D186" s="6">
        <v>0</v>
      </c>
      <c r="E186" s="5">
        <v>100</v>
      </c>
      <c r="F186" s="5">
        <v>100</v>
      </c>
      <c r="G186" s="5">
        <v>100</v>
      </c>
      <c r="H186" s="5">
        <v>0</v>
      </c>
      <c r="I186" s="5">
        <v>100</v>
      </c>
      <c r="J186" s="5">
        <v>100</v>
      </c>
      <c r="K186" s="15" t="s">
        <v>55</v>
      </c>
      <c r="L186" s="6">
        <v>3</v>
      </c>
      <c r="M186" s="6">
        <v>0</v>
      </c>
      <c r="N186" s="6">
        <v>0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6">
        <v>5</v>
      </c>
      <c r="V186" s="5">
        <v>10</v>
      </c>
      <c r="W186" s="5">
        <v>5</v>
      </c>
      <c r="X186" s="16">
        <v>2000</v>
      </c>
      <c r="Y186" s="16">
        <v>7000</v>
      </c>
      <c r="Z186" s="16">
        <v>14000</v>
      </c>
      <c r="AA186" s="12" t="str">
        <f t="shared" si="55"/>
        <v>0/30</v>
      </c>
      <c r="AB186" s="12" t="str">
        <f t="shared" si="56"/>
        <v>100,100,100,0,100,100</v>
      </c>
      <c r="AC186" s="12">
        <f t="shared" si="57"/>
        <v>4</v>
      </c>
      <c r="AD186" s="12" t="str">
        <f t="shared" si="58"/>
        <v>2000/7000/14000</v>
      </c>
      <c r="AE186" s="12" t="str">
        <f t="shared" si="59"/>
        <v/>
      </c>
      <c r="AF186" s="12" t="str">
        <f t="shared" si="60"/>
        <v/>
      </c>
      <c r="AG186" s="12" t="str">
        <f t="shared" si="61"/>
        <v/>
      </c>
      <c r="AH186" s="12" t="str">
        <f t="shared" si="62"/>
        <v/>
      </c>
      <c r="AI186" s="12" t="str">
        <f t="shared" si="63"/>
        <v>10/5</v>
      </c>
    </row>
    <row r="187" spans="1:35" s="8" customFormat="1" ht="21.95" customHeight="1">
      <c r="A187" s="9">
        <v>185</v>
      </c>
      <c r="B187" s="17">
        <v>185</v>
      </c>
      <c r="C187" s="6">
        <v>30</v>
      </c>
      <c r="D187" s="6">
        <v>0</v>
      </c>
      <c r="E187" s="5">
        <v>100</v>
      </c>
      <c r="F187" s="5">
        <v>100</v>
      </c>
      <c r="G187" s="5">
        <v>100</v>
      </c>
      <c r="H187" s="5">
        <v>100</v>
      </c>
      <c r="I187" s="5">
        <v>0</v>
      </c>
      <c r="J187" s="5">
        <v>100</v>
      </c>
      <c r="K187" s="15" t="s">
        <v>55</v>
      </c>
      <c r="L187" s="6">
        <v>3</v>
      </c>
      <c r="M187" s="6">
        <v>0</v>
      </c>
      <c r="N187" s="6">
        <v>0</v>
      </c>
      <c r="O187" s="5">
        <v>0</v>
      </c>
      <c r="P187" s="5">
        <v>0</v>
      </c>
      <c r="Q187" s="5">
        <v>0</v>
      </c>
      <c r="R187" s="5">
        <v>0</v>
      </c>
      <c r="S187" s="5">
        <v>0</v>
      </c>
      <c r="T187" s="5">
        <v>0</v>
      </c>
      <c r="U187" s="6">
        <v>5</v>
      </c>
      <c r="V187" s="5">
        <v>10</v>
      </c>
      <c r="W187" s="5">
        <v>5</v>
      </c>
      <c r="X187" s="16">
        <v>2000</v>
      </c>
      <c r="Y187" s="16">
        <v>7000</v>
      </c>
      <c r="Z187" s="16">
        <v>14000</v>
      </c>
      <c r="AA187" s="12" t="str">
        <f t="shared" si="55"/>
        <v>0/30</v>
      </c>
      <c r="AB187" s="12" t="str">
        <f t="shared" si="56"/>
        <v>100,100,100,100,0,100</v>
      </c>
      <c r="AC187" s="12">
        <f t="shared" si="57"/>
        <v>4</v>
      </c>
      <c r="AD187" s="12" t="str">
        <f t="shared" si="58"/>
        <v>2000/7000/14000</v>
      </c>
      <c r="AE187" s="12" t="str">
        <f t="shared" si="59"/>
        <v/>
      </c>
      <c r="AF187" s="12" t="str">
        <f t="shared" si="60"/>
        <v/>
      </c>
      <c r="AG187" s="12" t="str">
        <f t="shared" si="61"/>
        <v/>
      </c>
      <c r="AH187" s="12" t="str">
        <f t="shared" si="62"/>
        <v/>
      </c>
      <c r="AI187" s="12" t="str">
        <f t="shared" si="63"/>
        <v>10/5</v>
      </c>
    </row>
    <row r="188" spans="1:35" s="8" customFormat="1" ht="21.95" customHeight="1">
      <c r="A188" s="9">
        <v>186</v>
      </c>
      <c r="B188" s="17">
        <v>186</v>
      </c>
      <c r="C188" s="6">
        <v>30</v>
      </c>
      <c r="D188" s="6">
        <v>0</v>
      </c>
      <c r="E188" s="5">
        <v>100</v>
      </c>
      <c r="F188" s="5">
        <v>100</v>
      </c>
      <c r="G188" s="5">
        <v>100</v>
      </c>
      <c r="H188" s="5">
        <v>100</v>
      </c>
      <c r="I188" s="5">
        <v>100</v>
      </c>
      <c r="J188" s="5">
        <v>0</v>
      </c>
      <c r="K188" s="15" t="s">
        <v>56</v>
      </c>
      <c r="L188" s="6">
        <v>3</v>
      </c>
      <c r="M188" s="6">
        <v>0</v>
      </c>
      <c r="N188" s="6">
        <v>0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6">
        <v>0</v>
      </c>
      <c r="V188" s="5">
        <v>10</v>
      </c>
      <c r="W188" s="5">
        <v>5</v>
      </c>
      <c r="X188" s="16">
        <v>2000</v>
      </c>
      <c r="Y188" s="16">
        <v>7000</v>
      </c>
      <c r="Z188" s="16">
        <v>14000</v>
      </c>
      <c r="AA188" s="12" t="str">
        <f t="shared" si="55"/>
        <v>0/30</v>
      </c>
      <c r="AB188" s="12" t="str">
        <f t="shared" si="56"/>
        <v>100,100,100,100,100,0</v>
      </c>
      <c r="AC188" s="12">
        <f t="shared" si="57"/>
        <v>5</v>
      </c>
      <c r="AD188" s="12" t="str">
        <f t="shared" si="58"/>
        <v>2000/7000/14000</v>
      </c>
      <c r="AE188" s="12" t="str">
        <f t="shared" si="59"/>
        <v/>
      </c>
      <c r="AF188" s="12" t="str">
        <f t="shared" si="60"/>
        <v/>
      </c>
      <c r="AG188" s="12" t="str">
        <f t="shared" si="61"/>
        <v/>
      </c>
      <c r="AH188" s="12" t="str">
        <f t="shared" si="62"/>
        <v/>
      </c>
      <c r="AI188" s="12" t="str">
        <f t="shared" si="63"/>
        <v>10/5</v>
      </c>
    </row>
    <row r="189" spans="1:35" s="8" customFormat="1" ht="21.95" customHeight="1">
      <c r="A189" s="9">
        <v>187</v>
      </c>
      <c r="B189" s="17">
        <v>187</v>
      </c>
      <c r="C189" s="6">
        <v>30</v>
      </c>
      <c r="D189" s="6">
        <v>0</v>
      </c>
      <c r="E189" s="5">
        <v>0</v>
      </c>
      <c r="F189" s="5">
        <v>100</v>
      </c>
      <c r="G189" s="5">
        <v>100</v>
      </c>
      <c r="H189" s="5">
        <v>100</v>
      </c>
      <c r="I189" s="5">
        <v>100</v>
      </c>
      <c r="J189" s="5">
        <v>100</v>
      </c>
      <c r="K189" s="15" t="s">
        <v>56</v>
      </c>
      <c r="L189" s="6">
        <v>3</v>
      </c>
      <c r="M189" s="6">
        <v>0</v>
      </c>
      <c r="N189" s="6">
        <v>0</v>
      </c>
      <c r="O189" s="5">
        <v>0</v>
      </c>
      <c r="P189" s="5">
        <v>0</v>
      </c>
      <c r="Q189" s="5">
        <v>0</v>
      </c>
      <c r="R189" s="5">
        <v>0</v>
      </c>
      <c r="S189" s="5">
        <v>0</v>
      </c>
      <c r="T189" s="5">
        <v>0</v>
      </c>
      <c r="U189" s="6">
        <v>0</v>
      </c>
      <c r="V189" s="5">
        <v>10</v>
      </c>
      <c r="W189" s="5">
        <v>5</v>
      </c>
      <c r="X189" s="16">
        <v>2000</v>
      </c>
      <c r="Y189" s="16">
        <v>7000</v>
      </c>
      <c r="Z189" s="16">
        <v>14000</v>
      </c>
      <c r="AA189" s="12" t="str">
        <f t="shared" si="55"/>
        <v>0/30</v>
      </c>
      <c r="AB189" s="12" t="str">
        <f t="shared" si="56"/>
        <v>0,100,100,100,100,100</v>
      </c>
      <c r="AC189" s="12">
        <f t="shared" si="57"/>
        <v>5</v>
      </c>
      <c r="AD189" s="12" t="str">
        <f t="shared" si="58"/>
        <v>2000/7000/14000</v>
      </c>
      <c r="AE189" s="12" t="str">
        <f t="shared" si="59"/>
        <v/>
      </c>
      <c r="AF189" s="12" t="str">
        <f t="shared" si="60"/>
        <v/>
      </c>
      <c r="AG189" s="12" t="str">
        <f t="shared" si="61"/>
        <v/>
      </c>
      <c r="AH189" s="12" t="str">
        <f t="shared" si="62"/>
        <v/>
      </c>
      <c r="AI189" s="12" t="str">
        <f t="shared" si="63"/>
        <v>10/5</v>
      </c>
    </row>
    <row r="190" spans="1:35" s="8" customFormat="1" ht="21.95" customHeight="1">
      <c r="A190" s="9">
        <v>188</v>
      </c>
      <c r="B190" s="17">
        <v>188</v>
      </c>
      <c r="C190" s="6">
        <v>30</v>
      </c>
      <c r="D190" s="6">
        <v>0</v>
      </c>
      <c r="E190" s="5">
        <v>100</v>
      </c>
      <c r="F190" s="5">
        <v>0</v>
      </c>
      <c r="G190" s="5">
        <v>100</v>
      </c>
      <c r="H190" s="5">
        <v>100</v>
      </c>
      <c r="I190" s="5">
        <v>100</v>
      </c>
      <c r="J190" s="5">
        <v>100</v>
      </c>
      <c r="K190" s="15" t="s">
        <v>53</v>
      </c>
      <c r="L190" s="6">
        <v>3</v>
      </c>
      <c r="M190" s="6">
        <v>0</v>
      </c>
      <c r="N190" s="6">
        <v>0</v>
      </c>
      <c r="O190" s="5">
        <v>0</v>
      </c>
      <c r="P190" s="5">
        <v>0</v>
      </c>
      <c r="Q190" s="5">
        <v>20</v>
      </c>
      <c r="R190" s="5">
        <v>24</v>
      </c>
      <c r="S190" s="5">
        <v>0</v>
      </c>
      <c r="T190" s="5">
        <v>0</v>
      </c>
      <c r="U190" s="6">
        <v>0</v>
      </c>
      <c r="V190" s="5">
        <v>10</v>
      </c>
      <c r="W190" s="5">
        <v>5</v>
      </c>
      <c r="X190" s="16">
        <v>2000</v>
      </c>
      <c r="Y190" s="16">
        <v>7000</v>
      </c>
      <c r="Z190" s="16">
        <v>14000</v>
      </c>
      <c r="AA190" s="12" t="str">
        <f t="shared" si="55"/>
        <v>0/30</v>
      </c>
      <c r="AB190" s="12" t="str">
        <f t="shared" si="56"/>
        <v>100,0,100,100,100,100</v>
      </c>
      <c r="AC190" s="12">
        <f t="shared" si="57"/>
        <v>2</v>
      </c>
      <c r="AD190" s="12" t="str">
        <f t="shared" si="58"/>
        <v>2000/7000/14000</v>
      </c>
      <c r="AE190" s="12" t="str">
        <f t="shared" si="59"/>
        <v/>
      </c>
      <c r="AF190" s="12" t="str">
        <f t="shared" si="60"/>
        <v/>
      </c>
      <c r="AG190" s="12" t="str">
        <f t="shared" si="61"/>
        <v>2/3/</v>
      </c>
      <c r="AH190" s="12" t="str">
        <f t="shared" si="62"/>
        <v>20/24/</v>
      </c>
      <c r="AI190" s="12" t="str">
        <f t="shared" si="63"/>
        <v>10/5</v>
      </c>
    </row>
    <row r="191" spans="1:35" s="8" customFormat="1" ht="21.95" customHeight="1">
      <c r="A191" s="9">
        <v>189</v>
      </c>
      <c r="B191" s="17">
        <v>189</v>
      </c>
      <c r="C191" s="6">
        <v>30</v>
      </c>
      <c r="D191" s="6">
        <v>0</v>
      </c>
      <c r="E191" s="5">
        <v>100</v>
      </c>
      <c r="F191" s="5">
        <v>100</v>
      </c>
      <c r="G191" s="5">
        <v>0</v>
      </c>
      <c r="H191" s="5">
        <v>100</v>
      </c>
      <c r="I191" s="5">
        <v>100</v>
      </c>
      <c r="J191" s="5">
        <v>100</v>
      </c>
      <c r="K191" s="15" t="s">
        <v>53</v>
      </c>
      <c r="L191" s="6">
        <v>3</v>
      </c>
      <c r="M191" s="6">
        <v>0</v>
      </c>
      <c r="N191" s="6">
        <v>0</v>
      </c>
      <c r="O191" s="5">
        <v>0</v>
      </c>
      <c r="P191" s="5">
        <v>0</v>
      </c>
      <c r="Q191" s="5">
        <v>0</v>
      </c>
      <c r="R191" s="5">
        <v>18</v>
      </c>
      <c r="S191" s="5">
        <v>32</v>
      </c>
      <c r="T191" s="5">
        <v>0</v>
      </c>
      <c r="U191" s="6">
        <v>0</v>
      </c>
      <c r="V191" s="5">
        <v>10</v>
      </c>
      <c r="W191" s="5">
        <v>5</v>
      </c>
      <c r="X191" s="16">
        <v>2000</v>
      </c>
      <c r="Y191" s="16">
        <v>7000</v>
      </c>
      <c r="Z191" s="16">
        <v>14000</v>
      </c>
      <c r="AA191" s="12" t="str">
        <f t="shared" si="55"/>
        <v>0/30</v>
      </c>
      <c r="AB191" s="12" t="str">
        <f t="shared" si="56"/>
        <v>100,100,0,100,100,100</v>
      </c>
      <c r="AC191" s="12">
        <f t="shared" si="57"/>
        <v>2</v>
      </c>
      <c r="AD191" s="12" t="str">
        <f t="shared" si="58"/>
        <v>2000/7000/14000</v>
      </c>
      <c r="AE191" s="12" t="str">
        <f t="shared" si="59"/>
        <v/>
      </c>
      <c r="AF191" s="12" t="str">
        <f t="shared" si="60"/>
        <v/>
      </c>
      <c r="AG191" s="12" t="str">
        <f t="shared" si="61"/>
        <v>3/4/</v>
      </c>
      <c r="AH191" s="12" t="str">
        <f t="shared" si="62"/>
        <v>18/32/</v>
      </c>
      <c r="AI191" s="12" t="str">
        <f t="shared" si="63"/>
        <v>10/5</v>
      </c>
    </row>
    <row r="192" spans="1:35" s="8" customFormat="1" ht="21.95" customHeight="1">
      <c r="A192" s="9">
        <v>190</v>
      </c>
      <c r="B192" s="17">
        <v>190</v>
      </c>
      <c r="C192" s="6">
        <v>0</v>
      </c>
      <c r="D192" s="6">
        <v>120</v>
      </c>
      <c r="E192" s="5">
        <v>100</v>
      </c>
      <c r="F192" s="5">
        <v>100</v>
      </c>
      <c r="G192" s="5">
        <v>100</v>
      </c>
      <c r="H192" s="5">
        <v>0</v>
      </c>
      <c r="I192" s="5">
        <v>100</v>
      </c>
      <c r="J192" s="5">
        <v>100</v>
      </c>
      <c r="K192" s="15" t="s">
        <v>52</v>
      </c>
      <c r="L192" s="6">
        <v>3</v>
      </c>
      <c r="M192" s="6">
        <v>6</v>
      </c>
      <c r="N192" s="6">
        <v>0</v>
      </c>
      <c r="O192" s="5">
        <v>0</v>
      </c>
      <c r="P192" s="5">
        <v>0</v>
      </c>
      <c r="Q192" s="5">
        <v>0</v>
      </c>
      <c r="R192" s="5">
        <v>0</v>
      </c>
      <c r="S192" s="5">
        <v>0</v>
      </c>
      <c r="T192" s="5">
        <v>0</v>
      </c>
      <c r="U192" s="6">
        <v>0</v>
      </c>
      <c r="V192" s="5">
        <v>10</v>
      </c>
      <c r="W192" s="5">
        <v>5</v>
      </c>
      <c r="X192" s="16">
        <v>2000</v>
      </c>
      <c r="Y192" s="16">
        <v>7000</v>
      </c>
      <c r="Z192" s="16">
        <v>14000</v>
      </c>
      <c r="AA192" s="12" t="str">
        <f t="shared" si="55"/>
        <v>1/120</v>
      </c>
      <c r="AB192" s="12" t="str">
        <f t="shared" si="56"/>
        <v>100,100,100,0,100,100</v>
      </c>
      <c r="AC192" s="12">
        <f t="shared" si="57"/>
        <v>1</v>
      </c>
      <c r="AD192" s="12" t="str">
        <f t="shared" si="58"/>
        <v>2000/7000/14000</v>
      </c>
      <c r="AE192" s="12" t="str">
        <f t="shared" si="59"/>
        <v>0/</v>
      </c>
      <c r="AF192" s="12" t="str">
        <f t="shared" si="60"/>
        <v>6/</v>
      </c>
      <c r="AG192" s="12" t="str">
        <f t="shared" si="61"/>
        <v/>
      </c>
      <c r="AH192" s="12" t="str">
        <f t="shared" si="62"/>
        <v/>
      </c>
      <c r="AI192" s="12" t="str">
        <f t="shared" si="63"/>
        <v>10/5</v>
      </c>
    </row>
    <row r="193" spans="1:35" s="8" customFormat="1" ht="21.95" customHeight="1">
      <c r="A193" s="9">
        <v>191</v>
      </c>
      <c r="B193" s="17">
        <v>191</v>
      </c>
      <c r="C193" s="6">
        <v>0</v>
      </c>
      <c r="D193" s="6">
        <v>120</v>
      </c>
      <c r="E193" s="5">
        <v>100</v>
      </c>
      <c r="F193" s="5">
        <v>100</v>
      </c>
      <c r="G193" s="5">
        <v>100</v>
      </c>
      <c r="H193" s="5">
        <v>100</v>
      </c>
      <c r="I193" s="5">
        <v>0</v>
      </c>
      <c r="J193" s="5">
        <v>100</v>
      </c>
      <c r="K193" s="15" t="s">
        <v>52</v>
      </c>
      <c r="L193" s="6">
        <v>3</v>
      </c>
      <c r="M193" s="6">
        <v>2</v>
      </c>
      <c r="N193" s="6">
        <v>4</v>
      </c>
      <c r="O193" s="5">
        <v>0</v>
      </c>
      <c r="P193" s="5">
        <v>0</v>
      </c>
      <c r="Q193" s="5">
        <v>0</v>
      </c>
      <c r="R193" s="5">
        <v>0</v>
      </c>
      <c r="S193" s="5">
        <v>0</v>
      </c>
      <c r="T193" s="5">
        <v>0</v>
      </c>
      <c r="U193" s="6">
        <v>0</v>
      </c>
      <c r="V193" s="5">
        <v>10</v>
      </c>
      <c r="W193" s="5">
        <v>5</v>
      </c>
      <c r="X193" s="16">
        <v>2000</v>
      </c>
      <c r="Y193" s="16">
        <v>7000</v>
      </c>
      <c r="Z193" s="16">
        <v>14000</v>
      </c>
      <c r="AA193" s="12" t="str">
        <f t="shared" si="55"/>
        <v>1/120</v>
      </c>
      <c r="AB193" s="12" t="str">
        <f t="shared" si="56"/>
        <v>100,100,100,100,0,100</v>
      </c>
      <c r="AC193" s="12">
        <f t="shared" si="57"/>
        <v>1</v>
      </c>
      <c r="AD193" s="12" t="str">
        <f t="shared" si="58"/>
        <v>2000/7000/14000</v>
      </c>
      <c r="AE193" s="12" t="str">
        <f t="shared" si="59"/>
        <v>0/1/</v>
      </c>
      <c r="AF193" s="12" t="str">
        <f t="shared" si="60"/>
        <v>2/4/</v>
      </c>
      <c r="AG193" s="12" t="str">
        <f t="shared" si="61"/>
        <v/>
      </c>
      <c r="AH193" s="12" t="str">
        <f t="shared" si="62"/>
        <v/>
      </c>
      <c r="AI193" s="12" t="str">
        <f t="shared" si="63"/>
        <v>10/5</v>
      </c>
    </row>
    <row r="194" spans="1:35" s="8" customFormat="1" ht="21.95" customHeight="1">
      <c r="A194" s="9">
        <v>192</v>
      </c>
      <c r="B194" s="17">
        <v>192</v>
      </c>
      <c r="C194" s="6">
        <v>30</v>
      </c>
      <c r="D194" s="6">
        <v>0</v>
      </c>
      <c r="E194" s="5">
        <v>100</v>
      </c>
      <c r="F194" s="5">
        <v>100</v>
      </c>
      <c r="G194" s="5">
        <v>100</v>
      </c>
      <c r="H194" s="5">
        <v>100</v>
      </c>
      <c r="I194" s="5">
        <v>100</v>
      </c>
      <c r="J194" s="5">
        <v>0</v>
      </c>
      <c r="K194" s="15" t="s">
        <v>54</v>
      </c>
      <c r="L194" s="6">
        <v>3</v>
      </c>
      <c r="M194" s="6">
        <v>0</v>
      </c>
      <c r="N194" s="6">
        <v>0</v>
      </c>
      <c r="O194" s="5">
        <v>0</v>
      </c>
      <c r="P194" s="5">
        <v>0</v>
      </c>
      <c r="Q194" s="5">
        <v>0</v>
      </c>
      <c r="R194" s="5">
        <v>0</v>
      </c>
      <c r="S194" s="5">
        <v>0</v>
      </c>
      <c r="T194" s="5">
        <v>0</v>
      </c>
      <c r="U194" s="6">
        <v>0</v>
      </c>
      <c r="V194" s="5">
        <v>10</v>
      </c>
      <c r="W194" s="5">
        <v>5</v>
      </c>
      <c r="X194" s="16">
        <v>2000</v>
      </c>
      <c r="Y194" s="16">
        <v>7000</v>
      </c>
      <c r="Z194" s="16">
        <v>14000</v>
      </c>
      <c r="AA194" s="12" t="str">
        <f t="shared" si="55"/>
        <v>0/30</v>
      </c>
      <c r="AB194" s="12" t="str">
        <f t="shared" si="56"/>
        <v>100,100,100,100,100,0</v>
      </c>
      <c r="AC194" s="12">
        <f t="shared" si="57"/>
        <v>3</v>
      </c>
      <c r="AD194" s="12" t="str">
        <f t="shared" si="58"/>
        <v>2000/7000/14000</v>
      </c>
      <c r="AE194" s="12" t="str">
        <f t="shared" si="59"/>
        <v/>
      </c>
      <c r="AF194" s="12" t="str">
        <f t="shared" si="60"/>
        <v/>
      </c>
      <c r="AG194" s="12" t="str">
        <f t="shared" si="61"/>
        <v/>
      </c>
      <c r="AH194" s="12" t="str">
        <f t="shared" si="62"/>
        <v/>
      </c>
      <c r="AI194" s="12" t="str">
        <f t="shared" si="63"/>
        <v>10/5</v>
      </c>
    </row>
    <row r="195" spans="1:35" s="8" customFormat="1" ht="21.95" customHeight="1">
      <c r="A195" s="9">
        <v>193</v>
      </c>
      <c r="B195" s="17">
        <v>193</v>
      </c>
      <c r="C195" s="6">
        <v>30</v>
      </c>
      <c r="D195" s="6">
        <v>0</v>
      </c>
      <c r="E195" s="5">
        <v>0</v>
      </c>
      <c r="F195" s="5">
        <v>100</v>
      </c>
      <c r="G195" s="5">
        <v>100</v>
      </c>
      <c r="H195" s="5">
        <v>100</v>
      </c>
      <c r="I195" s="5">
        <v>100</v>
      </c>
      <c r="J195" s="5">
        <v>100</v>
      </c>
      <c r="K195" s="15" t="s">
        <v>54</v>
      </c>
      <c r="L195" s="6">
        <v>3</v>
      </c>
      <c r="M195" s="6">
        <v>0</v>
      </c>
      <c r="N195" s="6">
        <v>0</v>
      </c>
      <c r="O195" s="5">
        <v>0</v>
      </c>
      <c r="P195" s="5">
        <v>0</v>
      </c>
      <c r="Q195" s="5">
        <v>0</v>
      </c>
      <c r="R195" s="5">
        <v>0</v>
      </c>
      <c r="S195" s="5">
        <v>0</v>
      </c>
      <c r="T195" s="5">
        <v>0</v>
      </c>
      <c r="U195" s="6">
        <v>0</v>
      </c>
      <c r="V195" s="5">
        <v>10</v>
      </c>
      <c r="W195" s="5">
        <v>5</v>
      </c>
      <c r="X195" s="16">
        <v>2000</v>
      </c>
      <c r="Y195" s="16">
        <v>7000</v>
      </c>
      <c r="Z195" s="16">
        <v>14000</v>
      </c>
      <c r="AA195" s="12" t="str">
        <f t="shared" si="55"/>
        <v>0/30</v>
      </c>
      <c r="AB195" s="12" t="str">
        <f t="shared" si="56"/>
        <v>0,100,100,100,100,100</v>
      </c>
      <c r="AC195" s="12">
        <f t="shared" si="57"/>
        <v>3</v>
      </c>
      <c r="AD195" s="12" t="str">
        <f t="shared" si="58"/>
        <v>2000/7000/14000</v>
      </c>
      <c r="AE195" s="12" t="str">
        <f t="shared" si="59"/>
        <v/>
      </c>
      <c r="AF195" s="12" t="str">
        <f t="shared" si="60"/>
        <v/>
      </c>
      <c r="AG195" s="12" t="str">
        <f t="shared" si="61"/>
        <v/>
      </c>
      <c r="AH195" s="12" t="str">
        <f t="shared" si="62"/>
        <v/>
      </c>
      <c r="AI195" s="12" t="str">
        <f t="shared" si="63"/>
        <v>10/5</v>
      </c>
    </row>
    <row r="196" spans="1:35" s="8" customFormat="1" ht="21.95" customHeight="1">
      <c r="A196" s="9">
        <v>194</v>
      </c>
      <c r="B196" s="17">
        <v>194</v>
      </c>
      <c r="C196" s="6">
        <v>30</v>
      </c>
      <c r="D196" s="6">
        <v>0</v>
      </c>
      <c r="E196" s="5">
        <v>100</v>
      </c>
      <c r="F196" s="5">
        <v>0</v>
      </c>
      <c r="G196" s="5">
        <v>100</v>
      </c>
      <c r="H196" s="5">
        <v>100</v>
      </c>
      <c r="I196" s="5">
        <v>100</v>
      </c>
      <c r="J196" s="5">
        <v>100</v>
      </c>
      <c r="K196" s="15" t="s">
        <v>55</v>
      </c>
      <c r="L196" s="6">
        <v>3</v>
      </c>
      <c r="M196" s="6">
        <v>0</v>
      </c>
      <c r="N196" s="6">
        <v>0</v>
      </c>
      <c r="O196" s="5">
        <v>0</v>
      </c>
      <c r="P196" s="5">
        <v>0</v>
      </c>
      <c r="Q196" s="5">
        <v>0</v>
      </c>
      <c r="R196" s="5">
        <v>0</v>
      </c>
      <c r="S196" s="5">
        <v>0</v>
      </c>
      <c r="T196" s="5">
        <v>0</v>
      </c>
      <c r="U196" s="6">
        <v>5</v>
      </c>
      <c r="V196" s="5">
        <v>10</v>
      </c>
      <c r="W196" s="5">
        <v>5</v>
      </c>
      <c r="X196" s="16">
        <v>2000</v>
      </c>
      <c r="Y196" s="16">
        <v>7000</v>
      </c>
      <c r="Z196" s="16">
        <v>14000</v>
      </c>
      <c r="AA196" s="12" t="str">
        <f t="shared" si="55"/>
        <v>0/30</v>
      </c>
      <c r="AB196" s="12" t="str">
        <f t="shared" si="56"/>
        <v>100,0,100,100,100,100</v>
      </c>
      <c r="AC196" s="12">
        <f t="shared" si="57"/>
        <v>4</v>
      </c>
      <c r="AD196" s="12" t="str">
        <f t="shared" si="58"/>
        <v>2000/7000/14000</v>
      </c>
      <c r="AE196" s="12" t="str">
        <f t="shared" si="59"/>
        <v/>
      </c>
      <c r="AF196" s="12" t="str">
        <f t="shared" si="60"/>
        <v/>
      </c>
      <c r="AG196" s="12" t="str">
        <f t="shared" si="61"/>
        <v/>
      </c>
      <c r="AH196" s="12" t="str">
        <f t="shared" si="62"/>
        <v/>
      </c>
      <c r="AI196" s="12" t="str">
        <f t="shared" si="63"/>
        <v>10/5</v>
      </c>
    </row>
    <row r="197" spans="1:35" s="8" customFormat="1" ht="21.95" customHeight="1">
      <c r="A197" s="9">
        <v>195</v>
      </c>
      <c r="B197" s="17">
        <v>195</v>
      </c>
      <c r="C197" s="6">
        <v>30</v>
      </c>
      <c r="D197" s="6">
        <v>0</v>
      </c>
      <c r="E197" s="5">
        <v>100</v>
      </c>
      <c r="F197" s="5">
        <v>100</v>
      </c>
      <c r="G197" s="5">
        <v>0</v>
      </c>
      <c r="H197" s="5">
        <v>100</v>
      </c>
      <c r="I197" s="5">
        <v>100</v>
      </c>
      <c r="J197" s="5">
        <v>100</v>
      </c>
      <c r="K197" s="15" t="s">
        <v>55</v>
      </c>
      <c r="L197" s="6">
        <v>3</v>
      </c>
      <c r="M197" s="6">
        <v>0</v>
      </c>
      <c r="N197" s="6">
        <v>0</v>
      </c>
      <c r="O197" s="5">
        <v>0</v>
      </c>
      <c r="P197" s="5">
        <v>0</v>
      </c>
      <c r="Q197" s="5">
        <v>0</v>
      </c>
      <c r="R197" s="5">
        <v>0</v>
      </c>
      <c r="S197" s="5">
        <v>0</v>
      </c>
      <c r="T197" s="5">
        <v>0</v>
      </c>
      <c r="U197" s="6">
        <v>5</v>
      </c>
      <c r="V197" s="5">
        <v>10</v>
      </c>
      <c r="W197" s="5">
        <v>5</v>
      </c>
      <c r="X197" s="16">
        <v>2000</v>
      </c>
      <c r="Y197" s="16">
        <v>7000</v>
      </c>
      <c r="Z197" s="16">
        <v>14000</v>
      </c>
      <c r="AA197" s="12" t="str">
        <f t="shared" si="55"/>
        <v>0/30</v>
      </c>
      <c r="AB197" s="12" t="str">
        <f t="shared" si="56"/>
        <v>100,100,0,100,100,100</v>
      </c>
      <c r="AC197" s="12">
        <f t="shared" si="57"/>
        <v>4</v>
      </c>
      <c r="AD197" s="12" t="str">
        <f t="shared" si="58"/>
        <v>2000/7000/14000</v>
      </c>
      <c r="AE197" s="12" t="str">
        <f t="shared" si="59"/>
        <v/>
      </c>
      <c r="AF197" s="12" t="str">
        <f t="shared" si="60"/>
        <v/>
      </c>
      <c r="AG197" s="12" t="str">
        <f t="shared" si="61"/>
        <v/>
      </c>
      <c r="AH197" s="12" t="str">
        <f t="shared" si="62"/>
        <v/>
      </c>
      <c r="AI197" s="12" t="str">
        <f t="shared" si="63"/>
        <v>10/5</v>
      </c>
    </row>
    <row r="198" spans="1:35" s="8" customFormat="1" ht="21.95" customHeight="1">
      <c r="A198" s="9">
        <v>196</v>
      </c>
      <c r="B198" s="17">
        <v>196</v>
      </c>
      <c r="C198" s="6">
        <v>32</v>
      </c>
      <c r="D198" s="6">
        <v>0</v>
      </c>
      <c r="E198" s="5">
        <v>100</v>
      </c>
      <c r="F198" s="5">
        <v>100</v>
      </c>
      <c r="G198" s="5">
        <v>100</v>
      </c>
      <c r="H198" s="5">
        <v>0</v>
      </c>
      <c r="I198" s="5">
        <v>100</v>
      </c>
      <c r="J198" s="5">
        <v>100</v>
      </c>
      <c r="K198" s="15" t="s">
        <v>51</v>
      </c>
      <c r="L198" s="6">
        <v>3</v>
      </c>
      <c r="M198" s="6">
        <v>0</v>
      </c>
      <c r="N198" s="6">
        <v>0</v>
      </c>
      <c r="O198" s="5">
        <v>0</v>
      </c>
      <c r="P198" s="5">
        <v>0</v>
      </c>
      <c r="Q198" s="5">
        <v>0</v>
      </c>
      <c r="R198" s="5">
        <v>0</v>
      </c>
      <c r="S198" s="5">
        <v>0</v>
      </c>
      <c r="T198" s="5">
        <v>0</v>
      </c>
      <c r="U198" s="6">
        <v>0</v>
      </c>
      <c r="V198" s="5">
        <v>10</v>
      </c>
      <c r="W198" s="5">
        <v>5</v>
      </c>
      <c r="X198" s="16">
        <v>2000</v>
      </c>
      <c r="Y198" s="16">
        <v>7000</v>
      </c>
      <c r="Z198" s="16">
        <v>14000</v>
      </c>
      <c r="AA198" s="12" t="str">
        <f t="shared" si="55"/>
        <v>0/32</v>
      </c>
      <c r="AB198" s="12" t="str">
        <f t="shared" si="56"/>
        <v>100,100,100,0,100,100</v>
      </c>
      <c r="AC198" s="12">
        <f t="shared" si="57"/>
        <v>0</v>
      </c>
      <c r="AD198" s="12" t="str">
        <f t="shared" si="58"/>
        <v>2000/7000/14000</v>
      </c>
      <c r="AE198" s="12" t="str">
        <f t="shared" si="59"/>
        <v/>
      </c>
      <c r="AF198" s="12" t="str">
        <f t="shared" si="60"/>
        <v/>
      </c>
      <c r="AG198" s="12" t="str">
        <f t="shared" si="61"/>
        <v/>
      </c>
      <c r="AH198" s="12" t="str">
        <f t="shared" si="62"/>
        <v/>
      </c>
      <c r="AI198" s="12" t="str">
        <f t="shared" si="63"/>
        <v>10/5</v>
      </c>
    </row>
    <row r="199" spans="1:35" s="8" customFormat="1" ht="21.95" customHeight="1">
      <c r="A199" s="9">
        <v>197</v>
      </c>
      <c r="B199" s="17">
        <v>197</v>
      </c>
      <c r="C199" s="6">
        <v>30</v>
      </c>
      <c r="D199" s="6">
        <v>0</v>
      </c>
      <c r="E199" s="5">
        <v>100</v>
      </c>
      <c r="F199" s="5">
        <v>100</v>
      </c>
      <c r="G199" s="5">
        <v>0</v>
      </c>
      <c r="H199" s="5">
        <v>100</v>
      </c>
      <c r="I199" s="5">
        <v>100</v>
      </c>
      <c r="J199" s="5">
        <v>100</v>
      </c>
      <c r="K199" s="15" t="s">
        <v>56</v>
      </c>
      <c r="L199" s="6">
        <v>3</v>
      </c>
      <c r="M199" s="6">
        <v>0</v>
      </c>
      <c r="N199" s="6">
        <v>0</v>
      </c>
      <c r="O199" s="5">
        <v>0</v>
      </c>
      <c r="P199" s="5">
        <v>0</v>
      </c>
      <c r="Q199" s="5">
        <v>0</v>
      </c>
      <c r="R199" s="5">
        <v>0</v>
      </c>
      <c r="S199" s="5">
        <v>0</v>
      </c>
      <c r="T199" s="5">
        <v>0</v>
      </c>
      <c r="U199" s="6">
        <v>0</v>
      </c>
      <c r="V199" s="5">
        <v>10</v>
      </c>
      <c r="W199" s="5">
        <v>5</v>
      </c>
      <c r="X199" s="16">
        <v>2000</v>
      </c>
      <c r="Y199" s="16">
        <v>7000</v>
      </c>
      <c r="Z199" s="16">
        <v>14000</v>
      </c>
      <c r="AA199" s="12" t="str">
        <f t="shared" si="55"/>
        <v>0/30</v>
      </c>
      <c r="AB199" s="12" t="str">
        <f t="shared" si="56"/>
        <v>100,100,0,100,100,100</v>
      </c>
      <c r="AC199" s="12">
        <f t="shared" si="57"/>
        <v>5</v>
      </c>
      <c r="AD199" s="12" t="str">
        <f t="shared" si="58"/>
        <v>2000/7000/14000</v>
      </c>
      <c r="AE199" s="12" t="str">
        <f t="shared" si="59"/>
        <v/>
      </c>
      <c r="AF199" s="12" t="str">
        <f t="shared" si="60"/>
        <v/>
      </c>
      <c r="AG199" s="12" t="str">
        <f t="shared" si="61"/>
        <v/>
      </c>
      <c r="AH199" s="12" t="str">
        <f t="shared" si="62"/>
        <v/>
      </c>
      <c r="AI199" s="12" t="str">
        <f t="shared" si="63"/>
        <v>10/5</v>
      </c>
    </row>
    <row r="200" spans="1:35" s="8" customFormat="1" ht="21.95" customHeight="1">
      <c r="A200" s="9">
        <v>198</v>
      </c>
      <c r="B200" s="17">
        <v>198</v>
      </c>
      <c r="C200" s="6">
        <v>30</v>
      </c>
      <c r="D200" s="6">
        <v>0</v>
      </c>
      <c r="E200" s="5">
        <v>100</v>
      </c>
      <c r="F200" s="5">
        <v>100</v>
      </c>
      <c r="G200" s="5">
        <v>100</v>
      </c>
      <c r="H200" s="5">
        <v>0</v>
      </c>
      <c r="I200" s="5">
        <v>100</v>
      </c>
      <c r="J200" s="5">
        <v>100</v>
      </c>
      <c r="K200" s="15" t="s">
        <v>53</v>
      </c>
      <c r="L200" s="6">
        <v>3</v>
      </c>
      <c r="M200" s="6">
        <v>0</v>
      </c>
      <c r="N200" s="6">
        <v>0</v>
      </c>
      <c r="O200" s="5">
        <v>0</v>
      </c>
      <c r="P200" s="5">
        <v>0</v>
      </c>
      <c r="Q200" s="5">
        <v>0</v>
      </c>
      <c r="R200" s="5">
        <v>0</v>
      </c>
      <c r="S200" s="5">
        <v>18</v>
      </c>
      <c r="T200" s="5">
        <v>16</v>
      </c>
      <c r="U200" s="6">
        <v>0</v>
      </c>
      <c r="V200" s="5">
        <v>10</v>
      </c>
      <c r="W200" s="5">
        <v>5</v>
      </c>
      <c r="X200" s="16">
        <v>2000</v>
      </c>
      <c r="Y200" s="16">
        <v>7000</v>
      </c>
      <c r="Z200" s="16">
        <v>14000</v>
      </c>
      <c r="AA200" s="12" t="str">
        <f t="shared" si="55"/>
        <v>0/30</v>
      </c>
      <c r="AB200" s="12" t="str">
        <f t="shared" si="56"/>
        <v>100,100,100,0,100,100</v>
      </c>
      <c r="AC200" s="12">
        <f t="shared" si="57"/>
        <v>2</v>
      </c>
      <c r="AD200" s="12" t="str">
        <f t="shared" si="58"/>
        <v>2000/7000/14000</v>
      </c>
      <c r="AE200" s="12" t="str">
        <f t="shared" si="59"/>
        <v/>
      </c>
      <c r="AF200" s="12" t="str">
        <f t="shared" si="60"/>
        <v/>
      </c>
      <c r="AG200" s="12" t="str">
        <f t="shared" si="61"/>
        <v>4/5/</v>
      </c>
      <c r="AH200" s="12" t="str">
        <f t="shared" si="62"/>
        <v>18/16/</v>
      </c>
      <c r="AI200" s="12" t="str">
        <f t="shared" si="63"/>
        <v>10/5</v>
      </c>
    </row>
    <row r="201" spans="1:35" s="8" customFormat="1" ht="21.95" customHeight="1">
      <c r="A201" s="9">
        <v>199</v>
      </c>
      <c r="B201" s="17">
        <v>199</v>
      </c>
      <c r="C201" s="6">
        <v>30</v>
      </c>
      <c r="D201" s="6">
        <v>0</v>
      </c>
      <c r="E201" s="5">
        <v>100</v>
      </c>
      <c r="F201" s="5">
        <v>100</v>
      </c>
      <c r="G201" s="5">
        <v>100</v>
      </c>
      <c r="H201" s="5">
        <v>100</v>
      </c>
      <c r="I201" s="5">
        <v>0</v>
      </c>
      <c r="J201" s="5">
        <v>100</v>
      </c>
      <c r="K201" s="15" t="s">
        <v>53</v>
      </c>
      <c r="L201" s="6">
        <v>3</v>
      </c>
      <c r="M201" s="6">
        <v>0</v>
      </c>
      <c r="N201" s="6">
        <v>0</v>
      </c>
      <c r="O201" s="5">
        <v>16</v>
      </c>
      <c r="P201" s="5">
        <v>0</v>
      </c>
      <c r="Q201" s="5">
        <v>0</v>
      </c>
      <c r="R201" s="5">
        <v>0</v>
      </c>
      <c r="S201" s="5">
        <v>0</v>
      </c>
      <c r="T201" s="5">
        <v>18</v>
      </c>
      <c r="U201" s="6">
        <v>0</v>
      </c>
      <c r="V201" s="5">
        <v>10</v>
      </c>
      <c r="W201" s="5">
        <v>5</v>
      </c>
      <c r="X201" s="16">
        <v>2000</v>
      </c>
      <c r="Y201" s="16">
        <v>7000</v>
      </c>
      <c r="Z201" s="16">
        <v>14000</v>
      </c>
      <c r="AA201" s="12" t="str">
        <f t="shared" si="55"/>
        <v>0/30</v>
      </c>
      <c r="AB201" s="12" t="str">
        <f t="shared" si="56"/>
        <v>100,100,100,100,0,100</v>
      </c>
      <c r="AC201" s="12">
        <f t="shared" si="57"/>
        <v>2</v>
      </c>
      <c r="AD201" s="12" t="str">
        <f t="shared" si="58"/>
        <v>2000/7000/14000</v>
      </c>
      <c r="AE201" s="12" t="str">
        <f t="shared" si="59"/>
        <v/>
      </c>
      <c r="AF201" s="12" t="str">
        <f t="shared" si="60"/>
        <v/>
      </c>
      <c r="AG201" s="12" t="str">
        <f t="shared" si="61"/>
        <v>0/5/</v>
      </c>
      <c r="AH201" s="12" t="str">
        <f t="shared" si="62"/>
        <v>16/18/</v>
      </c>
      <c r="AI201" s="12" t="str">
        <f t="shared" si="63"/>
        <v>10/5</v>
      </c>
    </row>
    <row r="202" spans="1:35" s="8" customFormat="1" ht="21.95" customHeight="1">
      <c r="A202" s="9">
        <v>200</v>
      </c>
      <c r="B202" s="17">
        <v>200</v>
      </c>
      <c r="C202" s="6">
        <v>30</v>
      </c>
      <c r="D202" s="6">
        <v>0</v>
      </c>
      <c r="E202" s="5">
        <v>100</v>
      </c>
      <c r="F202" s="5">
        <v>100</v>
      </c>
      <c r="G202" s="5">
        <v>100</v>
      </c>
      <c r="H202" s="5">
        <v>100</v>
      </c>
      <c r="I202" s="5">
        <v>100</v>
      </c>
      <c r="J202" s="5">
        <v>0</v>
      </c>
      <c r="K202" s="15" t="s">
        <v>52</v>
      </c>
      <c r="L202" s="6">
        <v>3</v>
      </c>
      <c r="M202" s="6">
        <v>6</v>
      </c>
      <c r="N202" s="6">
        <v>0</v>
      </c>
      <c r="O202" s="5">
        <v>0</v>
      </c>
      <c r="P202" s="5">
        <v>0</v>
      </c>
      <c r="Q202" s="5">
        <v>0</v>
      </c>
      <c r="R202" s="5">
        <v>0</v>
      </c>
      <c r="S202" s="5">
        <v>0</v>
      </c>
      <c r="T202" s="5">
        <v>0</v>
      </c>
      <c r="U202" s="6">
        <v>0</v>
      </c>
      <c r="V202" s="5">
        <v>10</v>
      </c>
      <c r="W202" s="5">
        <v>5</v>
      </c>
      <c r="X202" s="16">
        <v>2000</v>
      </c>
      <c r="Y202" s="16">
        <v>7000</v>
      </c>
      <c r="Z202" s="16">
        <v>14000</v>
      </c>
      <c r="AA202" s="12" t="str">
        <f t="shared" si="55"/>
        <v>0/30</v>
      </c>
      <c r="AB202" s="12" t="str">
        <f t="shared" si="56"/>
        <v>100,100,100,100,100,0</v>
      </c>
      <c r="AC202" s="12">
        <f t="shared" si="57"/>
        <v>1</v>
      </c>
      <c r="AD202" s="12" t="str">
        <f t="shared" si="58"/>
        <v>2000/7000/14000</v>
      </c>
      <c r="AE202" s="12" t="str">
        <f t="shared" si="59"/>
        <v>0/</v>
      </c>
      <c r="AF202" s="12" t="str">
        <f t="shared" si="60"/>
        <v>6/</v>
      </c>
      <c r="AG202" s="12" t="str">
        <f t="shared" si="61"/>
        <v/>
      </c>
      <c r="AH202" s="12" t="str">
        <f t="shared" si="62"/>
        <v/>
      </c>
      <c r="AI202" s="12" t="str">
        <f t="shared" si="63"/>
        <v>10/5</v>
      </c>
    </row>
    <row r="203" spans="1:35" s="8" customFormat="1" ht="21.95" customHeight="1">
      <c r="A203" s="9">
        <v>201</v>
      </c>
      <c r="B203" s="17">
        <v>201</v>
      </c>
      <c r="C203" s="6">
        <v>30</v>
      </c>
      <c r="D203" s="6">
        <v>0</v>
      </c>
      <c r="E203" s="5">
        <v>0</v>
      </c>
      <c r="F203" s="5">
        <v>100</v>
      </c>
      <c r="G203" s="5">
        <v>100</v>
      </c>
      <c r="H203" s="5">
        <v>100</v>
      </c>
      <c r="I203" s="5">
        <v>100</v>
      </c>
      <c r="J203" s="5">
        <v>100</v>
      </c>
      <c r="K203" s="15" t="s">
        <v>52</v>
      </c>
      <c r="L203" s="6">
        <v>3</v>
      </c>
      <c r="M203" s="6">
        <v>0</v>
      </c>
      <c r="N203" s="6">
        <v>6</v>
      </c>
      <c r="O203" s="5">
        <v>0</v>
      </c>
      <c r="P203" s="5">
        <v>0</v>
      </c>
      <c r="Q203" s="5">
        <v>0</v>
      </c>
      <c r="R203" s="5">
        <v>0</v>
      </c>
      <c r="S203" s="5">
        <v>0</v>
      </c>
      <c r="T203" s="5">
        <v>0</v>
      </c>
      <c r="U203" s="6">
        <v>0</v>
      </c>
      <c r="V203" s="5">
        <v>10</v>
      </c>
      <c r="W203" s="5">
        <v>5</v>
      </c>
      <c r="X203" s="16">
        <v>2000</v>
      </c>
      <c r="Y203" s="16">
        <v>7000</v>
      </c>
      <c r="Z203" s="16">
        <v>14000</v>
      </c>
      <c r="AA203" s="12" t="str">
        <f t="shared" si="55"/>
        <v>0/30</v>
      </c>
      <c r="AB203" s="12" t="str">
        <f t="shared" si="56"/>
        <v>0,100,100,100,100,100</v>
      </c>
      <c r="AC203" s="12">
        <f t="shared" si="57"/>
        <v>1</v>
      </c>
      <c r="AD203" s="12" t="str">
        <f t="shared" si="58"/>
        <v>2000/7000/14000</v>
      </c>
      <c r="AE203" s="12" t="str">
        <f t="shared" si="59"/>
        <v>1/</v>
      </c>
      <c r="AF203" s="12" t="str">
        <f t="shared" si="60"/>
        <v>6/</v>
      </c>
      <c r="AG203" s="12" t="str">
        <f t="shared" si="61"/>
        <v/>
      </c>
      <c r="AH203" s="12" t="str">
        <f t="shared" si="62"/>
        <v/>
      </c>
      <c r="AI203" s="12" t="str">
        <f t="shared" si="63"/>
        <v>10/5</v>
      </c>
    </row>
    <row r="204" spans="1:35" s="8" customFormat="1" ht="21.95" customHeight="1">
      <c r="A204" s="9">
        <v>202</v>
      </c>
      <c r="B204" s="17">
        <v>202</v>
      </c>
      <c r="C204" s="6">
        <v>0</v>
      </c>
      <c r="D204" s="6">
        <v>120</v>
      </c>
      <c r="E204" s="5">
        <v>100</v>
      </c>
      <c r="F204" s="5">
        <v>0</v>
      </c>
      <c r="G204" s="5">
        <v>100</v>
      </c>
      <c r="H204" s="5">
        <v>100</v>
      </c>
      <c r="I204" s="5">
        <v>100</v>
      </c>
      <c r="J204" s="5">
        <v>100</v>
      </c>
      <c r="K204" s="15" t="s">
        <v>54</v>
      </c>
      <c r="L204" s="6">
        <v>3</v>
      </c>
      <c r="M204" s="6">
        <v>0</v>
      </c>
      <c r="N204" s="6">
        <v>0</v>
      </c>
      <c r="O204" s="5">
        <v>0</v>
      </c>
      <c r="P204" s="5">
        <v>0</v>
      </c>
      <c r="Q204" s="5">
        <v>0</v>
      </c>
      <c r="R204" s="5">
        <v>0</v>
      </c>
      <c r="S204" s="5">
        <v>0</v>
      </c>
      <c r="T204" s="5">
        <v>0</v>
      </c>
      <c r="U204" s="6">
        <v>0</v>
      </c>
      <c r="V204" s="5">
        <v>10</v>
      </c>
      <c r="W204" s="5">
        <v>5</v>
      </c>
      <c r="X204" s="16">
        <v>2000</v>
      </c>
      <c r="Y204" s="16">
        <v>7000</v>
      </c>
      <c r="Z204" s="16">
        <v>14000</v>
      </c>
      <c r="AA204" s="12" t="str">
        <f t="shared" si="55"/>
        <v>1/120</v>
      </c>
      <c r="AB204" s="12" t="str">
        <f t="shared" si="56"/>
        <v>100,0,100,100,100,100</v>
      </c>
      <c r="AC204" s="12">
        <f t="shared" si="57"/>
        <v>3</v>
      </c>
      <c r="AD204" s="12" t="str">
        <f t="shared" si="58"/>
        <v>2000/7000/14000</v>
      </c>
      <c r="AE204" s="12" t="str">
        <f t="shared" si="59"/>
        <v/>
      </c>
      <c r="AF204" s="12" t="str">
        <f t="shared" si="60"/>
        <v/>
      </c>
      <c r="AG204" s="12" t="str">
        <f t="shared" si="61"/>
        <v/>
      </c>
      <c r="AH204" s="12" t="str">
        <f t="shared" si="62"/>
        <v/>
      </c>
      <c r="AI204" s="12" t="str">
        <f t="shared" si="63"/>
        <v>10/5</v>
      </c>
    </row>
    <row r="205" spans="1:35" s="8" customFormat="1" ht="21.95" customHeight="1">
      <c r="A205" s="9">
        <v>203</v>
      </c>
      <c r="B205" s="17">
        <v>203</v>
      </c>
      <c r="C205" s="6">
        <v>0</v>
      </c>
      <c r="D205" s="6">
        <v>120</v>
      </c>
      <c r="E205" s="5">
        <v>100</v>
      </c>
      <c r="F205" s="5">
        <v>100</v>
      </c>
      <c r="G205" s="5">
        <v>0</v>
      </c>
      <c r="H205" s="5">
        <v>100</v>
      </c>
      <c r="I205" s="5">
        <v>100</v>
      </c>
      <c r="J205" s="5">
        <v>100</v>
      </c>
      <c r="K205" s="15" t="s">
        <v>54</v>
      </c>
      <c r="L205" s="6">
        <v>3</v>
      </c>
      <c r="M205" s="6">
        <v>0</v>
      </c>
      <c r="N205" s="6">
        <v>0</v>
      </c>
      <c r="O205" s="5">
        <v>0</v>
      </c>
      <c r="P205" s="5">
        <v>0</v>
      </c>
      <c r="Q205" s="5">
        <v>0</v>
      </c>
      <c r="R205" s="5">
        <v>0</v>
      </c>
      <c r="S205" s="5">
        <v>0</v>
      </c>
      <c r="T205" s="5">
        <v>0</v>
      </c>
      <c r="U205" s="6">
        <v>0</v>
      </c>
      <c r="V205" s="5">
        <v>10</v>
      </c>
      <c r="W205" s="5">
        <v>5</v>
      </c>
      <c r="X205" s="16">
        <v>2000</v>
      </c>
      <c r="Y205" s="16">
        <v>7000</v>
      </c>
      <c r="Z205" s="16">
        <v>14000</v>
      </c>
      <c r="AA205" s="12" t="str">
        <f t="shared" si="55"/>
        <v>1/120</v>
      </c>
      <c r="AB205" s="12" t="str">
        <f t="shared" si="56"/>
        <v>100,100,0,100,100,100</v>
      </c>
      <c r="AC205" s="12">
        <f t="shared" si="57"/>
        <v>3</v>
      </c>
      <c r="AD205" s="12" t="str">
        <f t="shared" si="58"/>
        <v>2000/7000/14000</v>
      </c>
      <c r="AE205" s="12" t="str">
        <f t="shared" si="59"/>
        <v/>
      </c>
      <c r="AF205" s="12" t="str">
        <f t="shared" si="60"/>
        <v/>
      </c>
      <c r="AG205" s="12" t="str">
        <f t="shared" si="61"/>
        <v/>
      </c>
      <c r="AH205" s="12" t="str">
        <f t="shared" si="62"/>
        <v/>
      </c>
      <c r="AI205" s="12" t="str">
        <f t="shared" si="63"/>
        <v>10/5</v>
      </c>
    </row>
    <row r="206" spans="1:35" s="8" customFormat="1" ht="21.95" customHeight="1">
      <c r="A206" s="9">
        <v>204</v>
      </c>
      <c r="B206" s="17">
        <v>204</v>
      </c>
      <c r="C206" s="6">
        <v>30</v>
      </c>
      <c r="D206" s="6">
        <v>0</v>
      </c>
      <c r="E206" s="5">
        <v>100</v>
      </c>
      <c r="F206" s="5">
        <v>100</v>
      </c>
      <c r="G206" s="5">
        <v>100</v>
      </c>
      <c r="H206" s="5">
        <v>0</v>
      </c>
      <c r="I206" s="5">
        <v>100</v>
      </c>
      <c r="J206" s="5">
        <v>100</v>
      </c>
      <c r="K206" s="15" t="s">
        <v>55</v>
      </c>
      <c r="L206" s="6">
        <v>3</v>
      </c>
      <c r="M206" s="6">
        <v>0</v>
      </c>
      <c r="N206" s="6">
        <v>0</v>
      </c>
      <c r="O206" s="5">
        <v>0</v>
      </c>
      <c r="P206" s="5">
        <v>0</v>
      </c>
      <c r="Q206" s="5">
        <v>0</v>
      </c>
      <c r="R206" s="5">
        <v>0</v>
      </c>
      <c r="S206" s="5">
        <v>0</v>
      </c>
      <c r="T206" s="5">
        <v>0</v>
      </c>
      <c r="U206" s="6">
        <v>5</v>
      </c>
      <c r="V206" s="5">
        <v>10</v>
      </c>
      <c r="W206" s="5">
        <v>5</v>
      </c>
      <c r="X206" s="16">
        <v>2000</v>
      </c>
      <c r="Y206" s="16">
        <v>7000</v>
      </c>
      <c r="Z206" s="16">
        <v>14000</v>
      </c>
      <c r="AA206" s="12" t="str">
        <f t="shared" si="55"/>
        <v>0/30</v>
      </c>
      <c r="AB206" s="12" t="str">
        <f t="shared" si="56"/>
        <v>100,100,100,0,100,100</v>
      </c>
      <c r="AC206" s="12">
        <f t="shared" si="57"/>
        <v>4</v>
      </c>
      <c r="AD206" s="12" t="str">
        <f t="shared" si="58"/>
        <v>2000/7000/14000</v>
      </c>
      <c r="AE206" s="12" t="str">
        <f t="shared" si="59"/>
        <v/>
      </c>
      <c r="AF206" s="12" t="str">
        <f t="shared" si="60"/>
        <v/>
      </c>
      <c r="AG206" s="12" t="str">
        <f t="shared" si="61"/>
        <v/>
      </c>
      <c r="AH206" s="12" t="str">
        <f t="shared" si="62"/>
        <v/>
      </c>
      <c r="AI206" s="12" t="str">
        <f t="shared" si="63"/>
        <v>10/5</v>
      </c>
    </row>
    <row r="207" spans="1:35" s="8" customFormat="1" ht="21.95" customHeight="1">
      <c r="A207" s="9">
        <v>205</v>
      </c>
      <c r="B207" s="17">
        <v>205</v>
      </c>
      <c r="C207" s="6">
        <v>30</v>
      </c>
      <c r="D207" s="6">
        <v>0</v>
      </c>
      <c r="E207" s="5">
        <v>100</v>
      </c>
      <c r="F207" s="5">
        <v>100</v>
      </c>
      <c r="G207" s="5">
        <v>100</v>
      </c>
      <c r="H207" s="5">
        <v>100</v>
      </c>
      <c r="I207" s="5">
        <v>0</v>
      </c>
      <c r="J207" s="5">
        <v>100</v>
      </c>
      <c r="K207" s="15" t="s">
        <v>55</v>
      </c>
      <c r="L207" s="6">
        <v>3</v>
      </c>
      <c r="M207" s="6">
        <v>0</v>
      </c>
      <c r="N207" s="6">
        <v>0</v>
      </c>
      <c r="O207" s="5">
        <v>0</v>
      </c>
      <c r="P207" s="5">
        <v>0</v>
      </c>
      <c r="Q207" s="5">
        <v>0</v>
      </c>
      <c r="R207" s="5">
        <v>0</v>
      </c>
      <c r="S207" s="5">
        <v>0</v>
      </c>
      <c r="T207" s="5">
        <v>0</v>
      </c>
      <c r="U207" s="6">
        <v>5</v>
      </c>
      <c r="V207" s="5">
        <v>10</v>
      </c>
      <c r="W207" s="5">
        <v>5</v>
      </c>
      <c r="X207" s="16">
        <v>2000</v>
      </c>
      <c r="Y207" s="16">
        <v>7000</v>
      </c>
      <c r="Z207" s="16">
        <v>14000</v>
      </c>
      <c r="AA207" s="12" t="str">
        <f t="shared" si="55"/>
        <v>0/30</v>
      </c>
      <c r="AB207" s="12" t="str">
        <f t="shared" si="56"/>
        <v>100,100,100,100,0,100</v>
      </c>
      <c r="AC207" s="12">
        <f t="shared" si="57"/>
        <v>4</v>
      </c>
      <c r="AD207" s="12" t="str">
        <f t="shared" si="58"/>
        <v>2000/7000/14000</v>
      </c>
      <c r="AE207" s="12" t="str">
        <f t="shared" si="59"/>
        <v/>
      </c>
      <c r="AF207" s="12" t="str">
        <f t="shared" si="60"/>
        <v/>
      </c>
      <c r="AG207" s="12" t="str">
        <f t="shared" si="61"/>
        <v/>
      </c>
      <c r="AH207" s="12" t="str">
        <f t="shared" si="62"/>
        <v/>
      </c>
      <c r="AI207" s="12" t="str">
        <f t="shared" si="63"/>
        <v>10/5</v>
      </c>
    </row>
    <row r="208" spans="1:35" s="8" customFormat="1" ht="21.95" customHeight="1">
      <c r="A208" s="9">
        <v>206</v>
      </c>
      <c r="B208" s="17">
        <v>206</v>
      </c>
      <c r="C208" s="6">
        <v>30</v>
      </c>
      <c r="D208" s="6">
        <v>0</v>
      </c>
      <c r="E208" s="5">
        <v>100</v>
      </c>
      <c r="F208" s="5">
        <v>100</v>
      </c>
      <c r="G208" s="5">
        <v>100</v>
      </c>
      <c r="H208" s="5">
        <v>100</v>
      </c>
      <c r="I208" s="5">
        <v>100</v>
      </c>
      <c r="J208" s="5">
        <v>0</v>
      </c>
      <c r="K208" s="15" t="s">
        <v>56</v>
      </c>
      <c r="L208" s="6">
        <v>3</v>
      </c>
      <c r="M208" s="6">
        <v>0</v>
      </c>
      <c r="N208" s="6">
        <v>0</v>
      </c>
      <c r="O208" s="5">
        <v>0</v>
      </c>
      <c r="P208" s="5">
        <v>0</v>
      </c>
      <c r="Q208" s="5">
        <v>0</v>
      </c>
      <c r="R208" s="5">
        <v>0</v>
      </c>
      <c r="S208" s="5">
        <v>0</v>
      </c>
      <c r="T208" s="5">
        <v>0</v>
      </c>
      <c r="U208" s="6">
        <v>0</v>
      </c>
      <c r="V208" s="5">
        <v>10</v>
      </c>
      <c r="W208" s="5">
        <v>5</v>
      </c>
      <c r="X208" s="16">
        <v>2000</v>
      </c>
      <c r="Y208" s="16">
        <v>7000</v>
      </c>
      <c r="Z208" s="16">
        <v>14000</v>
      </c>
      <c r="AA208" s="12" t="str">
        <f t="shared" si="55"/>
        <v>0/30</v>
      </c>
      <c r="AB208" s="12" t="str">
        <f t="shared" si="56"/>
        <v>100,100,100,100,100,0</v>
      </c>
      <c r="AC208" s="12">
        <f t="shared" si="57"/>
        <v>5</v>
      </c>
      <c r="AD208" s="12" t="str">
        <f t="shared" si="58"/>
        <v>2000/7000/14000</v>
      </c>
      <c r="AE208" s="12" t="str">
        <f t="shared" si="59"/>
        <v/>
      </c>
      <c r="AF208" s="12" t="str">
        <f t="shared" si="60"/>
        <v/>
      </c>
      <c r="AG208" s="12" t="str">
        <f t="shared" si="61"/>
        <v/>
      </c>
      <c r="AH208" s="12" t="str">
        <f t="shared" si="62"/>
        <v/>
      </c>
      <c r="AI208" s="12" t="str">
        <f t="shared" si="63"/>
        <v>10/5</v>
      </c>
    </row>
    <row r="209" spans="1:35" s="8" customFormat="1" ht="21.95" customHeight="1">
      <c r="A209" s="9">
        <v>207</v>
      </c>
      <c r="B209" s="17">
        <v>207</v>
      </c>
      <c r="C209" s="6">
        <v>0</v>
      </c>
      <c r="D209" s="6">
        <v>120</v>
      </c>
      <c r="E209" s="5">
        <v>0</v>
      </c>
      <c r="F209" s="5">
        <v>100</v>
      </c>
      <c r="G209" s="5">
        <v>100</v>
      </c>
      <c r="H209" s="5">
        <v>100</v>
      </c>
      <c r="I209" s="5">
        <v>100</v>
      </c>
      <c r="J209" s="5">
        <v>100</v>
      </c>
      <c r="K209" s="15" t="s">
        <v>56</v>
      </c>
      <c r="L209" s="6">
        <v>3</v>
      </c>
      <c r="M209" s="6">
        <v>0</v>
      </c>
      <c r="N209" s="6">
        <v>0</v>
      </c>
      <c r="O209" s="5">
        <v>0</v>
      </c>
      <c r="P209" s="5">
        <v>0</v>
      </c>
      <c r="Q209" s="5">
        <v>0</v>
      </c>
      <c r="R209" s="5">
        <v>0</v>
      </c>
      <c r="S209" s="5">
        <v>0</v>
      </c>
      <c r="T209" s="5">
        <v>0</v>
      </c>
      <c r="U209" s="6">
        <v>0</v>
      </c>
      <c r="V209" s="5">
        <v>10</v>
      </c>
      <c r="W209" s="5">
        <v>5</v>
      </c>
      <c r="X209" s="16">
        <v>2000</v>
      </c>
      <c r="Y209" s="16">
        <v>7000</v>
      </c>
      <c r="Z209" s="16">
        <v>14000</v>
      </c>
      <c r="AA209" s="12" t="str">
        <f t="shared" si="55"/>
        <v>1/120</v>
      </c>
      <c r="AB209" s="12" t="str">
        <f t="shared" si="56"/>
        <v>0,100,100,100,100,100</v>
      </c>
      <c r="AC209" s="12">
        <f t="shared" si="57"/>
        <v>5</v>
      </c>
      <c r="AD209" s="12" t="str">
        <f t="shared" si="58"/>
        <v>2000/7000/14000</v>
      </c>
      <c r="AE209" s="12" t="str">
        <f t="shared" si="59"/>
        <v/>
      </c>
      <c r="AF209" s="12" t="str">
        <f t="shared" si="60"/>
        <v/>
      </c>
      <c r="AG209" s="12" t="str">
        <f t="shared" si="61"/>
        <v/>
      </c>
      <c r="AH209" s="12" t="str">
        <f t="shared" si="62"/>
        <v/>
      </c>
      <c r="AI209" s="12" t="str">
        <f t="shared" si="63"/>
        <v>10/5</v>
      </c>
    </row>
    <row r="210" spans="1:35" s="8" customFormat="1" ht="21.95" customHeight="1">
      <c r="A210" s="9">
        <v>208</v>
      </c>
      <c r="B210" s="17">
        <v>208</v>
      </c>
      <c r="C210" s="6">
        <v>30</v>
      </c>
      <c r="D210" s="6">
        <v>0</v>
      </c>
      <c r="E210" s="5">
        <v>100</v>
      </c>
      <c r="F210" s="5">
        <v>0</v>
      </c>
      <c r="G210" s="5">
        <v>100</v>
      </c>
      <c r="H210" s="5">
        <v>100</v>
      </c>
      <c r="I210" s="5">
        <v>100</v>
      </c>
      <c r="J210" s="5">
        <v>100</v>
      </c>
      <c r="K210" s="15" t="s">
        <v>53</v>
      </c>
      <c r="L210" s="6">
        <v>3</v>
      </c>
      <c r="M210" s="6">
        <v>0</v>
      </c>
      <c r="N210" s="6">
        <v>0</v>
      </c>
      <c r="O210" s="5">
        <v>0</v>
      </c>
      <c r="P210" s="5">
        <v>0</v>
      </c>
      <c r="Q210" s="5">
        <v>20</v>
      </c>
      <c r="R210" s="5">
        <v>24</v>
      </c>
      <c r="S210" s="5">
        <v>0</v>
      </c>
      <c r="T210" s="5">
        <v>0</v>
      </c>
      <c r="U210" s="6">
        <v>0</v>
      </c>
      <c r="V210" s="5">
        <v>10</v>
      </c>
      <c r="W210" s="5">
        <v>5</v>
      </c>
      <c r="X210" s="16">
        <v>2000</v>
      </c>
      <c r="Y210" s="16">
        <v>7000</v>
      </c>
      <c r="Z210" s="16">
        <v>14000</v>
      </c>
      <c r="AA210" s="12" t="str">
        <f t="shared" si="55"/>
        <v>0/30</v>
      </c>
      <c r="AB210" s="12" t="str">
        <f t="shared" si="56"/>
        <v>100,0,100,100,100,100</v>
      </c>
      <c r="AC210" s="12">
        <f t="shared" si="57"/>
        <v>2</v>
      </c>
      <c r="AD210" s="12" t="str">
        <f t="shared" si="58"/>
        <v>2000/7000/14000</v>
      </c>
      <c r="AE210" s="12" t="str">
        <f t="shared" si="59"/>
        <v/>
      </c>
      <c r="AF210" s="12" t="str">
        <f t="shared" si="60"/>
        <v/>
      </c>
      <c r="AG210" s="12" t="str">
        <f t="shared" si="61"/>
        <v>2/3/</v>
      </c>
      <c r="AH210" s="12" t="str">
        <f t="shared" si="62"/>
        <v>20/24/</v>
      </c>
      <c r="AI210" s="12" t="str">
        <f t="shared" si="63"/>
        <v>10/5</v>
      </c>
    </row>
    <row r="211" spans="1:35" s="8" customFormat="1" ht="21.95" customHeight="1">
      <c r="A211" s="9">
        <v>209</v>
      </c>
      <c r="B211" s="17">
        <v>209</v>
      </c>
      <c r="C211" s="6">
        <v>30</v>
      </c>
      <c r="D211" s="6">
        <v>0</v>
      </c>
      <c r="E211" s="5">
        <v>100</v>
      </c>
      <c r="F211" s="5">
        <v>100</v>
      </c>
      <c r="G211" s="5">
        <v>0</v>
      </c>
      <c r="H211" s="5">
        <v>100</v>
      </c>
      <c r="I211" s="5">
        <v>100</v>
      </c>
      <c r="J211" s="5">
        <v>100</v>
      </c>
      <c r="K211" s="15" t="s">
        <v>53</v>
      </c>
      <c r="L211" s="6">
        <v>3</v>
      </c>
      <c r="M211" s="6">
        <v>0</v>
      </c>
      <c r="N211" s="6">
        <v>0</v>
      </c>
      <c r="O211" s="5">
        <v>0</v>
      </c>
      <c r="P211" s="5">
        <v>0</v>
      </c>
      <c r="Q211" s="5">
        <v>0</v>
      </c>
      <c r="R211" s="5">
        <v>18</v>
      </c>
      <c r="S211" s="5">
        <v>32</v>
      </c>
      <c r="T211" s="5">
        <v>0</v>
      </c>
      <c r="U211" s="6">
        <v>0</v>
      </c>
      <c r="V211" s="5">
        <v>10</v>
      </c>
      <c r="W211" s="5">
        <v>5</v>
      </c>
      <c r="X211" s="16">
        <v>2000</v>
      </c>
      <c r="Y211" s="16">
        <v>7000</v>
      </c>
      <c r="Z211" s="16">
        <v>14000</v>
      </c>
      <c r="AA211" s="12" t="str">
        <f t="shared" si="55"/>
        <v>0/30</v>
      </c>
      <c r="AB211" s="12" t="str">
        <f t="shared" si="56"/>
        <v>100,100,0,100,100,100</v>
      </c>
      <c r="AC211" s="12">
        <f t="shared" si="57"/>
        <v>2</v>
      </c>
      <c r="AD211" s="12" t="str">
        <f t="shared" si="58"/>
        <v>2000/7000/14000</v>
      </c>
      <c r="AE211" s="12" t="str">
        <f t="shared" si="59"/>
        <v/>
      </c>
      <c r="AF211" s="12" t="str">
        <f t="shared" si="60"/>
        <v/>
      </c>
      <c r="AG211" s="12" t="str">
        <f t="shared" si="61"/>
        <v>3/4/</v>
      </c>
      <c r="AH211" s="12" t="str">
        <f t="shared" si="62"/>
        <v>18/32/</v>
      </c>
      <c r="AI211" s="12" t="str">
        <f t="shared" si="63"/>
        <v>10/5</v>
      </c>
    </row>
    <row r="212" spans="1:35" s="8" customFormat="1" ht="21.95" customHeight="1">
      <c r="A212" s="9">
        <v>210</v>
      </c>
      <c r="B212" s="17">
        <v>210</v>
      </c>
      <c r="C212" s="6">
        <v>30</v>
      </c>
      <c r="D212" s="6">
        <v>0</v>
      </c>
      <c r="E212" s="5">
        <v>100</v>
      </c>
      <c r="F212" s="5">
        <v>100</v>
      </c>
      <c r="G212" s="5">
        <v>100</v>
      </c>
      <c r="H212" s="5">
        <v>0</v>
      </c>
      <c r="I212" s="5">
        <v>100</v>
      </c>
      <c r="J212" s="5">
        <v>100</v>
      </c>
      <c r="K212" s="15" t="s">
        <v>52</v>
      </c>
      <c r="L212" s="6">
        <v>3</v>
      </c>
      <c r="M212" s="6">
        <v>6</v>
      </c>
      <c r="N212" s="6">
        <v>0</v>
      </c>
      <c r="O212" s="5">
        <v>0</v>
      </c>
      <c r="P212" s="5">
        <v>0</v>
      </c>
      <c r="Q212" s="5">
        <v>0</v>
      </c>
      <c r="R212" s="5">
        <v>0</v>
      </c>
      <c r="S212" s="5">
        <v>0</v>
      </c>
      <c r="T212" s="5">
        <v>0</v>
      </c>
      <c r="U212" s="6">
        <v>0</v>
      </c>
      <c r="V212" s="5">
        <v>10</v>
      </c>
      <c r="W212" s="5">
        <v>5</v>
      </c>
      <c r="X212" s="16">
        <v>2000</v>
      </c>
      <c r="Y212" s="16">
        <v>7000</v>
      </c>
      <c r="Z212" s="16">
        <v>14000</v>
      </c>
      <c r="AA212" s="12" t="str">
        <f t="shared" si="55"/>
        <v>0/30</v>
      </c>
      <c r="AB212" s="12" t="str">
        <f t="shared" si="56"/>
        <v>100,100,100,0,100,100</v>
      </c>
      <c r="AC212" s="12">
        <f t="shared" si="57"/>
        <v>1</v>
      </c>
      <c r="AD212" s="12" t="str">
        <f t="shared" si="58"/>
        <v>2000/7000/14000</v>
      </c>
      <c r="AE212" s="12" t="str">
        <f t="shared" si="59"/>
        <v>0/</v>
      </c>
      <c r="AF212" s="12" t="str">
        <f t="shared" si="60"/>
        <v>6/</v>
      </c>
      <c r="AG212" s="12" t="str">
        <f t="shared" si="61"/>
        <v/>
      </c>
      <c r="AH212" s="12" t="str">
        <f t="shared" si="62"/>
        <v/>
      </c>
      <c r="AI212" s="12" t="str">
        <f t="shared" si="63"/>
        <v>10/5</v>
      </c>
    </row>
    <row r="213" spans="1:35" s="8" customFormat="1" ht="21.95" customHeight="1">
      <c r="A213" s="9">
        <v>211</v>
      </c>
      <c r="B213" s="17">
        <v>211</v>
      </c>
      <c r="C213" s="6">
        <v>30</v>
      </c>
      <c r="D213" s="6">
        <v>0</v>
      </c>
      <c r="E213" s="5">
        <v>100</v>
      </c>
      <c r="F213" s="5">
        <v>100</v>
      </c>
      <c r="G213" s="5">
        <v>100</v>
      </c>
      <c r="H213" s="5">
        <v>100</v>
      </c>
      <c r="I213" s="5">
        <v>0</v>
      </c>
      <c r="J213" s="5">
        <v>100</v>
      </c>
      <c r="K213" s="15" t="s">
        <v>52</v>
      </c>
      <c r="L213" s="6">
        <v>3</v>
      </c>
      <c r="M213" s="6">
        <v>2</v>
      </c>
      <c r="N213" s="6">
        <v>4</v>
      </c>
      <c r="O213" s="5">
        <v>0</v>
      </c>
      <c r="P213" s="5">
        <v>0</v>
      </c>
      <c r="Q213" s="5">
        <v>0</v>
      </c>
      <c r="R213" s="5">
        <v>0</v>
      </c>
      <c r="S213" s="5">
        <v>0</v>
      </c>
      <c r="T213" s="5">
        <v>0</v>
      </c>
      <c r="U213" s="6">
        <v>0</v>
      </c>
      <c r="V213" s="5">
        <v>10</v>
      </c>
      <c r="W213" s="5">
        <v>5</v>
      </c>
      <c r="X213" s="16">
        <v>2000</v>
      </c>
      <c r="Y213" s="16">
        <v>7000</v>
      </c>
      <c r="Z213" s="16">
        <v>14000</v>
      </c>
      <c r="AA213" s="12" t="str">
        <f t="shared" si="55"/>
        <v>0/30</v>
      </c>
      <c r="AB213" s="12" t="str">
        <f t="shared" si="56"/>
        <v>100,100,100,100,0,100</v>
      </c>
      <c r="AC213" s="12">
        <f t="shared" si="57"/>
        <v>1</v>
      </c>
      <c r="AD213" s="12" t="str">
        <f t="shared" si="58"/>
        <v>2000/7000/14000</v>
      </c>
      <c r="AE213" s="12" t="str">
        <f t="shared" si="59"/>
        <v>0/1/</v>
      </c>
      <c r="AF213" s="12" t="str">
        <f t="shared" si="60"/>
        <v>2/4/</v>
      </c>
      <c r="AG213" s="12" t="str">
        <f t="shared" si="61"/>
        <v/>
      </c>
      <c r="AH213" s="12" t="str">
        <f t="shared" si="62"/>
        <v/>
      </c>
      <c r="AI213" s="12" t="str">
        <f t="shared" si="63"/>
        <v>10/5</v>
      </c>
    </row>
    <row r="214" spans="1:35" s="8" customFormat="1" ht="21.95" customHeight="1">
      <c r="A214" s="9">
        <v>212</v>
      </c>
      <c r="B214" s="17">
        <v>212</v>
      </c>
      <c r="C214" s="6">
        <v>0</v>
      </c>
      <c r="D214" s="6">
        <v>120</v>
      </c>
      <c r="E214" s="5">
        <v>100</v>
      </c>
      <c r="F214" s="5">
        <v>100</v>
      </c>
      <c r="G214" s="5">
        <v>100</v>
      </c>
      <c r="H214" s="5">
        <v>100</v>
      </c>
      <c r="I214" s="5">
        <v>100</v>
      </c>
      <c r="J214" s="5">
        <v>0</v>
      </c>
      <c r="K214" s="15" t="s">
        <v>54</v>
      </c>
      <c r="L214" s="6">
        <v>3</v>
      </c>
      <c r="M214" s="6">
        <v>0</v>
      </c>
      <c r="N214" s="6">
        <v>0</v>
      </c>
      <c r="O214" s="5">
        <v>0</v>
      </c>
      <c r="P214" s="5">
        <v>0</v>
      </c>
      <c r="Q214" s="5">
        <v>0</v>
      </c>
      <c r="R214" s="5">
        <v>0</v>
      </c>
      <c r="S214" s="5">
        <v>0</v>
      </c>
      <c r="T214" s="5">
        <v>0</v>
      </c>
      <c r="U214" s="6">
        <v>0</v>
      </c>
      <c r="V214" s="5">
        <v>10</v>
      </c>
      <c r="W214" s="5">
        <v>5</v>
      </c>
      <c r="X214" s="16">
        <v>2000</v>
      </c>
      <c r="Y214" s="16">
        <v>7000</v>
      </c>
      <c r="Z214" s="16">
        <v>14000</v>
      </c>
      <c r="AA214" s="12" t="str">
        <f t="shared" si="55"/>
        <v>1/120</v>
      </c>
      <c r="AB214" s="12" t="str">
        <f t="shared" si="56"/>
        <v>100,100,100,100,100,0</v>
      </c>
      <c r="AC214" s="12">
        <f t="shared" si="57"/>
        <v>3</v>
      </c>
      <c r="AD214" s="12" t="str">
        <f t="shared" si="58"/>
        <v>2000/7000/14000</v>
      </c>
      <c r="AE214" s="12" t="str">
        <f t="shared" si="59"/>
        <v/>
      </c>
      <c r="AF214" s="12" t="str">
        <f t="shared" si="60"/>
        <v/>
      </c>
      <c r="AG214" s="12" t="str">
        <f t="shared" si="61"/>
        <v/>
      </c>
      <c r="AH214" s="12" t="str">
        <f t="shared" si="62"/>
        <v/>
      </c>
      <c r="AI214" s="12" t="str">
        <f t="shared" si="63"/>
        <v>10/5</v>
      </c>
    </row>
    <row r="215" spans="1:35" s="8" customFormat="1" ht="21.95" customHeight="1">
      <c r="A215" s="9">
        <v>213</v>
      </c>
      <c r="B215" s="17">
        <v>213</v>
      </c>
      <c r="C215" s="6">
        <v>0</v>
      </c>
      <c r="D215" s="6">
        <v>120</v>
      </c>
      <c r="E215" s="5">
        <v>0</v>
      </c>
      <c r="F215" s="5">
        <v>100</v>
      </c>
      <c r="G215" s="5">
        <v>100</v>
      </c>
      <c r="H215" s="5">
        <v>100</v>
      </c>
      <c r="I215" s="5">
        <v>100</v>
      </c>
      <c r="J215" s="5">
        <v>100</v>
      </c>
      <c r="K215" s="15" t="s">
        <v>54</v>
      </c>
      <c r="L215" s="6">
        <v>3</v>
      </c>
      <c r="M215" s="6">
        <v>0</v>
      </c>
      <c r="N215" s="6">
        <v>0</v>
      </c>
      <c r="O215" s="5">
        <v>0</v>
      </c>
      <c r="P215" s="5">
        <v>0</v>
      </c>
      <c r="Q215" s="5">
        <v>0</v>
      </c>
      <c r="R215" s="5">
        <v>0</v>
      </c>
      <c r="S215" s="5">
        <v>0</v>
      </c>
      <c r="T215" s="5">
        <v>0</v>
      </c>
      <c r="U215" s="6">
        <v>0</v>
      </c>
      <c r="V215" s="5">
        <v>10</v>
      </c>
      <c r="W215" s="5">
        <v>5</v>
      </c>
      <c r="X215" s="16">
        <v>2000</v>
      </c>
      <c r="Y215" s="16">
        <v>7000</v>
      </c>
      <c r="Z215" s="16">
        <v>14000</v>
      </c>
      <c r="AA215" s="12" t="str">
        <f t="shared" si="55"/>
        <v>1/120</v>
      </c>
      <c r="AB215" s="12" t="str">
        <f t="shared" si="56"/>
        <v>0,100,100,100,100,100</v>
      </c>
      <c r="AC215" s="12">
        <f t="shared" si="57"/>
        <v>3</v>
      </c>
      <c r="AD215" s="12" t="str">
        <f t="shared" si="58"/>
        <v>2000/7000/14000</v>
      </c>
      <c r="AE215" s="12" t="str">
        <f t="shared" si="59"/>
        <v/>
      </c>
      <c r="AF215" s="12" t="str">
        <f t="shared" si="60"/>
        <v/>
      </c>
      <c r="AG215" s="12" t="str">
        <f t="shared" si="61"/>
        <v/>
      </c>
      <c r="AH215" s="12" t="str">
        <f t="shared" si="62"/>
        <v/>
      </c>
      <c r="AI215" s="12" t="str">
        <f t="shared" si="63"/>
        <v>10/5</v>
      </c>
    </row>
    <row r="216" spans="1:35" s="8" customFormat="1" ht="21.95" customHeight="1">
      <c r="A216" s="9">
        <v>214</v>
      </c>
      <c r="B216" s="17">
        <v>214</v>
      </c>
      <c r="C216" s="6">
        <v>30</v>
      </c>
      <c r="D216" s="6">
        <v>0</v>
      </c>
      <c r="E216" s="5">
        <v>100</v>
      </c>
      <c r="F216" s="5">
        <v>0</v>
      </c>
      <c r="G216" s="5">
        <v>100</v>
      </c>
      <c r="H216" s="5">
        <v>100</v>
      </c>
      <c r="I216" s="5">
        <v>100</v>
      </c>
      <c r="J216" s="5">
        <v>100</v>
      </c>
      <c r="K216" s="15" t="s">
        <v>55</v>
      </c>
      <c r="L216" s="6">
        <v>3</v>
      </c>
      <c r="M216" s="6">
        <v>0</v>
      </c>
      <c r="N216" s="6">
        <v>0</v>
      </c>
      <c r="O216" s="5">
        <v>0</v>
      </c>
      <c r="P216" s="5">
        <v>0</v>
      </c>
      <c r="Q216" s="5">
        <v>0</v>
      </c>
      <c r="R216" s="5">
        <v>0</v>
      </c>
      <c r="S216" s="5">
        <v>0</v>
      </c>
      <c r="T216" s="5">
        <v>0</v>
      </c>
      <c r="U216" s="6">
        <v>5</v>
      </c>
      <c r="V216" s="5">
        <v>10</v>
      </c>
      <c r="W216" s="5">
        <v>5</v>
      </c>
      <c r="X216" s="16">
        <v>2000</v>
      </c>
      <c r="Y216" s="16">
        <v>7000</v>
      </c>
      <c r="Z216" s="16">
        <v>14000</v>
      </c>
      <c r="AA216" s="12" t="str">
        <f t="shared" si="55"/>
        <v>0/30</v>
      </c>
      <c r="AB216" s="12" t="str">
        <f t="shared" si="56"/>
        <v>100,0,100,100,100,100</v>
      </c>
      <c r="AC216" s="12">
        <f t="shared" si="57"/>
        <v>4</v>
      </c>
      <c r="AD216" s="12" t="str">
        <f t="shared" si="58"/>
        <v>2000/7000/14000</v>
      </c>
      <c r="AE216" s="12" t="str">
        <f t="shared" si="59"/>
        <v/>
      </c>
      <c r="AF216" s="12" t="str">
        <f t="shared" si="60"/>
        <v/>
      </c>
      <c r="AG216" s="12" t="str">
        <f t="shared" si="61"/>
        <v/>
      </c>
      <c r="AH216" s="12" t="str">
        <f t="shared" si="62"/>
        <v/>
      </c>
      <c r="AI216" s="12" t="str">
        <f t="shared" si="63"/>
        <v>10/5</v>
      </c>
    </row>
    <row r="217" spans="1:35" s="8" customFormat="1" ht="21.95" customHeight="1">
      <c r="A217" s="9">
        <v>215</v>
      </c>
      <c r="B217" s="17">
        <v>215</v>
      </c>
      <c r="C217" s="6">
        <v>30</v>
      </c>
      <c r="D217" s="6">
        <v>0</v>
      </c>
      <c r="E217" s="5">
        <v>100</v>
      </c>
      <c r="F217" s="5">
        <v>100</v>
      </c>
      <c r="G217" s="5">
        <v>0</v>
      </c>
      <c r="H217" s="5">
        <v>100</v>
      </c>
      <c r="I217" s="5">
        <v>100</v>
      </c>
      <c r="J217" s="5">
        <v>100</v>
      </c>
      <c r="K217" s="15" t="s">
        <v>55</v>
      </c>
      <c r="L217" s="6">
        <v>3</v>
      </c>
      <c r="M217" s="6">
        <v>0</v>
      </c>
      <c r="N217" s="6">
        <v>0</v>
      </c>
      <c r="O217" s="5">
        <v>0</v>
      </c>
      <c r="P217" s="5">
        <v>0</v>
      </c>
      <c r="Q217" s="5">
        <v>0</v>
      </c>
      <c r="R217" s="5">
        <v>0</v>
      </c>
      <c r="S217" s="5">
        <v>0</v>
      </c>
      <c r="T217" s="5">
        <v>0</v>
      </c>
      <c r="U217" s="6">
        <v>5</v>
      </c>
      <c r="V217" s="5">
        <v>10</v>
      </c>
      <c r="W217" s="5">
        <v>5</v>
      </c>
      <c r="X217" s="16">
        <v>2000</v>
      </c>
      <c r="Y217" s="16">
        <v>7000</v>
      </c>
      <c r="Z217" s="16">
        <v>14000</v>
      </c>
      <c r="AA217" s="12" t="str">
        <f t="shared" si="55"/>
        <v>0/30</v>
      </c>
      <c r="AB217" s="12" t="str">
        <f t="shared" si="56"/>
        <v>100,100,0,100,100,100</v>
      </c>
      <c r="AC217" s="12">
        <f t="shared" si="57"/>
        <v>4</v>
      </c>
      <c r="AD217" s="12" t="str">
        <f t="shared" si="58"/>
        <v>2000/7000/14000</v>
      </c>
      <c r="AE217" s="12" t="str">
        <f t="shared" si="59"/>
        <v/>
      </c>
      <c r="AF217" s="12" t="str">
        <f t="shared" si="60"/>
        <v/>
      </c>
      <c r="AG217" s="12" t="str">
        <f t="shared" si="61"/>
        <v/>
      </c>
      <c r="AH217" s="12" t="str">
        <f t="shared" si="62"/>
        <v/>
      </c>
      <c r="AI217" s="12" t="str">
        <f t="shared" si="63"/>
        <v>10/5</v>
      </c>
    </row>
    <row r="218" spans="1:35" s="8" customFormat="1" ht="21.95" customHeight="1">
      <c r="A218" s="9">
        <v>216</v>
      </c>
      <c r="B218" s="17">
        <v>216</v>
      </c>
      <c r="C218" s="6">
        <v>32</v>
      </c>
      <c r="D218" s="6">
        <v>0</v>
      </c>
      <c r="E218" s="5">
        <v>100</v>
      </c>
      <c r="F218" s="5">
        <v>100</v>
      </c>
      <c r="G218" s="5">
        <v>100</v>
      </c>
      <c r="H218" s="5">
        <v>0</v>
      </c>
      <c r="I218" s="5">
        <v>100</v>
      </c>
      <c r="J218" s="5">
        <v>100</v>
      </c>
      <c r="K218" s="15" t="s">
        <v>51</v>
      </c>
      <c r="L218" s="6">
        <v>3</v>
      </c>
      <c r="M218" s="6">
        <v>0</v>
      </c>
      <c r="N218" s="6">
        <v>0</v>
      </c>
      <c r="O218" s="5">
        <v>0</v>
      </c>
      <c r="P218" s="5">
        <v>0</v>
      </c>
      <c r="Q218" s="5">
        <v>0</v>
      </c>
      <c r="R218" s="5">
        <v>0</v>
      </c>
      <c r="S218" s="5">
        <v>0</v>
      </c>
      <c r="T218" s="5">
        <v>0</v>
      </c>
      <c r="U218" s="6">
        <v>0</v>
      </c>
      <c r="V218" s="5">
        <v>10</v>
      </c>
      <c r="W218" s="5">
        <v>5</v>
      </c>
      <c r="X218" s="16">
        <v>2000</v>
      </c>
      <c r="Y218" s="16">
        <v>7000</v>
      </c>
      <c r="Z218" s="16">
        <v>14000</v>
      </c>
      <c r="AA218" s="12" t="str">
        <f t="shared" si="55"/>
        <v>0/32</v>
      </c>
      <c r="AB218" s="12" t="str">
        <f t="shared" si="56"/>
        <v>100,100,100,0,100,100</v>
      </c>
      <c r="AC218" s="12">
        <f t="shared" si="57"/>
        <v>0</v>
      </c>
      <c r="AD218" s="12" t="str">
        <f t="shared" si="58"/>
        <v>2000/7000/14000</v>
      </c>
      <c r="AE218" s="12" t="str">
        <f t="shared" si="59"/>
        <v/>
      </c>
      <c r="AF218" s="12" t="str">
        <f t="shared" si="60"/>
        <v/>
      </c>
      <c r="AG218" s="12" t="str">
        <f t="shared" si="61"/>
        <v/>
      </c>
      <c r="AH218" s="12" t="str">
        <f t="shared" si="62"/>
        <v/>
      </c>
      <c r="AI218" s="12" t="str">
        <f t="shared" si="63"/>
        <v>10/5</v>
      </c>
    </row>
    <row r="219" spans="1:35" s="8" customFormat="1" ht="21.95" customHeight="1">
      <c r="A219" s="9">
        <v>217</v>
      </c>
      <c r="B219" s="17">
        <v>217</v>
      </c>
      <c r="C219" s="6">
        <v>30</v>
      </c>
      <c r="D219" s="6">
        <v>0</v>
      </c>
      <c r="E219" s="5">
        <v>100</v>
      </c>
      <c r="F219" s="5">
        <v>100</v>
      </c>
      <c r="G219" s="5">
        <v>100</v>
      </c>
      <c r="H219" s="5">
        <v>100</v>
      </c>
      <c r="I219" s="5">
        <v>0</v>
      </c>
      <c r="J219" s="5">
        <v>100</v>
      </c>
      <c r="K219" s="15" t="s">
        <v>53</v>
      </c>
      <c r="L219" s="6">
        <v>3</v>
      </c>
      <c r="M219" s="6">
        <v>0</v>
      </c>
      <c r="N219" s="6">
        <v>0</v>
      </c>
      <c r="O219" s="5">
        <v>16</v>
      </c>
      <c r="P219" s="5">
        <v>0</v>
      </c>
      <c r="Q219" s="5">
        <v>0</v>
      </c>
      <c r="R219" s="5">
        <v>0</v>
      </c>
      <c r="S219" s="5">
        <v>0</v>
      </c>
      <c r="T219" s="5">
        <v>18</v>
      </c>
      <c r="U219" s="6">
        <v>0</v>
      </c>
      <c r="V219" s="5">
        <v>10</v>
      </c>
      <c r="W219" s="5">
        <v>5</v>
      </c>
      <c r="X219" s="16">
        <v>2000</v>
      </c>
      <c r="Y219" s="16">
        <v>7000</v>
      </c>
      <c r="Z219" s="16">
        <v>14000</v>
      </c>
      <c r="AA219" s="12" t="str">
        <f t="shared" si="55"/>
        <v>0/30</v>
      </c>
      <c r="AB219" s="12" t="str">
        <f t="shared" si="56"/>
        <v>100,100,100,100,0,100</v>
      </c>
      <c r="AC219" s="12">
        <f t="shared" si="57"/>
        <v>2</v>
      </c>
      <c r="AD219" s="12" t="str">
        <f t="shared" si="58"/>
        <v>2000/7000/14000</v>
      </c>
      <c r="AE219" s="12" t="str">
        <f t="shared" si="59"/>
        <v/>
      </c>
      <c r="AF219" s="12" t="str">
        <f t="shared" si="60"/>
        <v/>
      </c>
      <c r="AG219" s="12" t="str">
        <f t="shared" si="61"/>
        <v>0/5/</v>
      </c>
      <c r="AH219" s="12" t="str">
        <f t="shared" si="62"/>
        <v>16/18/</v>
      </c>
      <c r="AI219" s="12" t="str">
        <f t="shared" si="63"/>
        <v>10/5</v>
      </c>
    </row>
    <row r="220" spans="1:35" s="8" customFormat="1" ht="21.95" customHeight="1">
      <c r="A220" s="9">
        <v>218</v>
      </c>
      <c r="B220" s="17">
        <v>218</v>
      </c>
      <c r="C220" s="6">
        <v>30</v>
      </c>
      <c r="D220" s="6">
        <v>0</v>
      </c>
      <c r="E220" s="5">
        <v>100</v>
      </c>
      <c r="F220" s="5">
        <v>100</v>
      </c>
      <c r="G220" s="5">
        <v>100</v>
      </c>
      <c r="H220" s="5">
        <v>100</v>
      </c>
      <c r="I220" s="5">
        <v>100</v>
      </c>
      <c r="J220" s="5">
        <v>0</v>
      </c>
      <c r="K220" s="15" t="s">
        <v>52</v>
      </c>
      <c r="L220" s="6">
        <v>3</v>
      </c>
      <c r="M220" s="6">
        <v>6</v>
      </c>
      <c r="N220" s="6">
        <v>0</v>
      </c>
      <c r="O220" s="5">
        <v>0</v>
      </c>
      <c r="P220" s="5">
        <v>0</v>
      </c>
      <c r="Q220" s="5">
        <v>0</v>
      </c>
      <c r="R220" s="5">
        <v>0</v>
      </c>
      <c r="S220" s="5">
        <v>0</v>
      </c>
      <c r="T220" s="5">
        <v>0</v>
      </c>
      <c r="U220" s="6">
        <v>0</v>
      </c>
      <c r="V220" s="5">
        <v>10</v>
      </c>
      <c r="W220" s="5">
        <v>5</v>
      </c>
      <c r="X220" s="16">
        <v>2000</v>
      </c>
      <c r="Y220" s="16">
        <v>7000</v>
      </c>
      <c r="Z220" s="16">
        <v>14000</v>
      </c>
      <c r="AA220" s="12" t="str">
        <f t="shared" si="55"/>
        <v>0/30</v>
      </c>
      <c r="AB220" s="12" t="str">
        <f t="shared" si="56"/>
        <v>100,100,100,100,100,0</v>
      </c>
      <c r="AC220" s="12">
        <f t="shared" si="57"/>
        <v>1</v>
      </c>
      <c r="AD220" s="12" t="str">
        <f t="shared" si="58"/>
        <v>2000/7000/14000</v>
      </c>
      <c r="AE220" s="12" t="str">
        <f t="shared" si="59"/>
        <v>0/</v>
      </c>
      <c r="AF220" s="12" t="str">
        <f t="shared" si="60"/>
        <v>6/</v>
      </c>
      <c r="AG220" s="12" t="str">
        <f t="shared" si="61"/>
        <v/>
      </c>
      <c r="AH220" s="12" t="str">
        <f t="shared" si="62"/>
        <v/>
      </c>
      <c r="AI220" s="12" t="str">
        <f t="shared" si="63"/>
        <v>10/5</v>
      </c>
    </row>
    <row r="221" spans="1:35" s="8" customFormat="1" ht="21.95" customHeight="1">
      <c r="A221" s="9">
        <v>219</v>
      </c>
      <c r="B221" s="17">
        <v>219</v>
      </c>
      <c r="C221" s="6">
        <v>30</v>
      </c>
      <c r="D221" s="6">
        <v>0</v>
      </c>
      <c r="E221" s="5">
        <v>0</v>
      </c>
      <c r="F221" s="5">
        <v>100</v>
      </c>
      <c r="G221" s="5">
        <v>100</v>
      </c>
      <c r="H221" s="5">
        <v>100</v>
      </c>
      <c r="I221" s="5">
        <v>100</v>
      </c>
      <c r="J221" s="5">
        <v>100</v>
      </c>
      <c r="K221" s="15" t="s">
        <v>52</v>
      </c>
      <c r="L221" s="6">
        <v>3</v>
      </c>
      <c r="M221" s="6">
        <v>0</v>
      </c>
      <c r="N221" s="6">
        <v>6</v>
      </c>
      <c r="O221" s="5">
        <v>0</v>
      </c>
      <c r="P221" s="5">
        <v>0</v>
      </c>
      <c r="Q221" s="5">
        <v>0</v>
      </c>
      <c r="R221" s="5">
        <v>0</v>
      </c>
      <c r="S221" s="5">
        <v>0</v>
      </c>
      <c r="T221" s="5">
        <v>0</v>
      </c>
      <c r="U221" s="6">
        <v>0</v>
      </c>
      <c r="V221" s="5">
        <v>10</v>
      </c>
      <c r="W221" s="5">
        <v>5</v>
      </c>
      <c r="X221" s="16">
        <v>2000</v>
      </c>
      <c r="Y221" s="16">
        <v>7000</v>
      </c>
      <c r="Z221" s="16">
        <v>14000</v>
      </c>
      <c r="AA221" s="12" t="str">
        <f t="shared" si="55"/>
        <v>0/30</v>
      </c>
      <c r="AB221" s="12" t="str">
        <f t="shared" si="56"/>
        <v>0,100,100,100,100,100</v>
      </c>
      <c r="AC221" s="12">
        <f t="shared" si="57"/>
        <v>1</v>
      </c>
      <c r="AD221" s="12" t="str">
        <f t="shared" si="58"/>
        <v>2000/7000/14000</v>
      </c>
      <c r="AE221" s="12" t="str">
        <f t="shared" si="59"/>
        <v>1/</v>
      </c>
      <c r="AF221" s="12" t="str">
        <f t="shared" si="60"/>
        <v>6/</v>
      </c>
      <c r="AG221" s="12" t="str">
        <f t="shared" si="61"/>
        <v/>
      </c>
      <c r="AH221" s="12" t="str">
        <f t="shared" si="62"/>
        <v/>
      </c>
      <c r="AI221" s="12" t="str">
        <f t="shared" si="63"/>
        <v>10/5</v>
      </c>
    </row>
    <row r="222" spans="1:35" s="8" customFormat="1" ht="21.95" customHeight="1">
      <c r="A222" s="9">
        <v>220</v>
      </c>
      <c r="B222" s="17">
        <v>220</v>
      </c>
      <c r="C222" s="6">
        <v>0</v>
      </c>
      <c r="D222" s="6">
        <v>120</v>
      </c>
      <c r="E222" s="5">
        <v>100</v>
      </c>
      <c r="F222" s="5">
        <v>0</v>
      </c>
      <c r="G222" s="5">
        <v>100</v>
      </c>
      <c r="H222" s="5">
        <v>100</v>
      </c>
      <c r="I222" s="5">
        <v>100</v>
      </c>
      <c r="J222" s="5">
        <v>100</v>
      </c>
      <c r="K222" s="15" t="s">
        <v>54</v>
      </c>
      <c r="L222" s="6">
        <v>3</v>
      </c>
      <c r="M222" s="6">
        <v>0</v>
      </c>
      <c r="N222" s="6">
        <v>0</v>
      </c>
      <c r="O222" s="5">
        <v>0</v>
      </c>
      <c r="P222" s="5">
        <v>0</v>
      </c>
      <c r="Q222" s="5">
        <v>0</v>
      </c>
      <c r="R222" s="5">
        <v>0</v>
      </c>
      <c r="S222" s="5">
        <v>0</v>
      </c>
      <c r="T222" s="5">
        <v>0</v>
      </c>
      <c r="U222" s="6">
        <v>0</v>
      </c>
      <c r="V222" s="5">
        <v>10</v>
      </c>
      <c r="W222" s="5">
        <v>5</v>
      </c>
      <c r="X222" s="16">
        <v>2000</v>
      </c>
      <c r="Y222" s="16">
        <v>7000</v>
      </c>
      <c r="Z222" s="16">
        <v>14000</v>
      </c>
      <c r="AA222" s="12" t="str">
        <f t="shared" si="55"/>
        <v>1/120</v>
      </c>
      <c r="AB222" s="12" t="str">
        <f t="shared" si="56"/>
        <v>100,0,100,100,100,100</v>
      </c>
      <c r="AC222" s="12">
        <f t="shared" si="57"/>
        <v>3</v>
      </c>
      <c r="AD222" s="12" t="str">
        <f t="shared" si="58"/>
        <v>2000/7000/14000</v>
      </c>
      <c r="AE222" s="12" t="str">
        <f t="shared" si="59"/>
        <v/>
      </c>
      <c r="AF222" s="12" t="str">
        <f t="shared" si="60"/>
        <v/>
      </c>
      <c r="AG222" s="12" t="str">
        <f t="shared" si="61"/>
        <v/>
      </c>
      <c r="AH222" s="12" t="str">
        <f t="shared" si="62"/>
        <v/>
      </c>
      <c r="AI222" s="12" t="str">
        <f t="shared" si="63"/>
        <v>10/5</v>
      </c>
    </row>
    <row r="223" spans="1:35" s="8" customFormat="1" ht="21.95" customHeight="1">
      <c r="A223" s="9">
        <v>221</v>
      </c>
      <c r="B223" s="17">
        <v>221</v>
      </c>
      <c r="C223" s="6">
        <v>0</v>
      </c>
      <c r="D223" s="6">
        <v>120</v>
      </c>
      <c r="E223" s="5">
        <v>100</v>
      </c>
      <c r="F223" s="5">
        <v>100</v>
      </c>
      <c r="G223" s="5">
        <v>0</v>
      </c>
      <c r="H223" s="5">
        <v>100</v>
      </c>
      <c r="I223" s="5">
        <v>100</v>
      </c>
      <c r="J223" s="5">
        <v>100</v>
      </c>
      <c r="K223" s="15" t="s">
        <v>54</v>
      </c>
      <c r="L223" s="6">
        <v>3</v>
      </c>
      <c r="M223" s="6">
        <v>0</v>
      </c>
      <c r="N223" s="6">
        <v>0</v>
      </c>
      <c r="O223" s="5">
        <v>0</v>
      </c>
      <c r="P223" s="5">
        <v>0</v>
      </c>
      <c r="Q223" s="5">
        <v>0</v>
      </c>
      <c r="R223" s="5">
        <v>0</v>
      </c>
      <c r="S223" s="5">
        <v>0</v>
      </c>
      <c r="T223" s="5">
        <v>0</v>
      </c>
      <c r="U223" s="6">
        <v>0</v>
      </c>
      <c r="V223" s="5">
        <v>10</v>
      </c>
      <c r="W223" s="5">
        <v>5</v>
      </c>
      <c r="X223" s="16">
        <v>2000</v>
      </c>
      <c r="Y223" s="16">
        <v>7000</v>
      </c>
      <c r="Z223" s="16">
        <v>14000</v>
      </c>
      <c r="AA223" s="12" t="str">
        <f t="shared" si="55"/>
        <v>1/120</v>
      </c>
      <c r="AB223" s="12" t="str">
        <f t="shared" si="56"/>
        <v>100,100,0,100,100,100</v>
      </c>
      <c r="AC223" s="12">
        <f t="shared" si="57"/>
        <v>3</v>
      </c>
      <c r="AD223" s="12" t="str">
        <f t="shared" si="58"/>
        <v>2000/7000/14000</v>
      </c>
      <c r="AE223" s="12" t="str">
        <f t="shared" si="59"/>
        <v/>
      </c>
      <c r="AF223" s="12" t="str">
        <f t="shared" si="60"/>
        <v/>
      </c>
      <c r="AG223" s="12" t="str">
        <f t="shared" si="61"/>
        <v/>
      </c>
      <c r="AH223" s="12" t="str">
        <f t="shared" si="62"/>
        <v/>
      </c>
      <c r="AI223" s="12" t="str">
        <f t="shared" si="63"/>
        <v>10/5</v>
      </c>
    </row>
    <row r="224" spans="1:35" s="8" customFormat="1" ht="21.95" customHeight="1">
      <c r="A224" s="9">
        <v>222</v>
      </c>
      <c r="B224" s="17">
        <v>222</v>
      </c>
      <c r="C224" s="6">
        <v>30</v>
      </c>
      <c r="D224" s="6">
        <v>0</v>
      </c>
      <c r="E224" s="5">
        <v>100</v>
      </c>
      <c r="F224" s="5">
        <v>100</v>
      </c>
      <c r="G224" s="5">
        <v>100</v>
      </c>
      <c r="H224" s="5">
        <v>0</v>
      </c>
      <c r="I224" s="5">
        <v>100</v>
      </c>
      <c r="J224" s="5">
        <v>100</v>
      </c>
      <c r="K224" s="15" t="s">
        <v>55</v>
      </c>
      <c r="L224" s="6">
        <v>3</v>
      </c>
      <c r="M224" s="6">
        <v>0</v>
      </c>
      <c r="N224" s="6">
        <v>0</v>
      </c>
      <c r="O224" s="5">
        <v>0</v>
      </c>
      <c r="P224" s="5">
        <v>0</v>
      </c>
      <c r="Q224" s="5">
        <v>0</v>
      </c>
      <c r="R224" s="5">
        <v>0</v>
      </c>
      <c r="S224" s="5">
        <v>0</v>
      </c>
      <c r="T224" s="5">
        <v>0</v>
      </c>
      <c r="U224" s="6">
        <v>5</v>
      </c>
      <c r="V224" s="5">
        <v>10</v>
      </c>
      <c r="W224" s="5">
        <v>5</v>
      </c>
      <c r="X224" s="16">
        <v>2000</v>
      </c>
      <c r="Y224" s="16">
        <v>7000</v>
      </c>
      <c r="Z224" s="16">
        <v>14000</v>
      </c>
      <c r="AA224" s="12" t="str">
        <f t="shared" si="55"/>
        <v>0/30</v>
      </c>
      <c r="AB224" s="12" t="str">
        <f t="shared" si="56"/>
        <v>100,100,100,0,100,100</v>
      </c>
      <c r="AC224" s="12">
        <f t="shared" si="57"/>
        <v>4</v>
      </c>
      <c r="AD224" s="12" t="str">
        <f t="shared" si="58"/>
        <v>2000/7000/14000</v>
      </c>
      <c r="AE224" s="12" t="str">
        <f t="shared" si="59"/>
        <v/>
      </c>
      <c r="AF224" s="12" t="str">
        <f t="shared" si="60"/>
        <v/>
      </c>
      <c r="AG224" s="12" t="str">
        <f t="shared" si="61"/>
        <v/>
      </c>
      <c r="AH224" s="12" t="str">
        <f t="shared" si="62"/>
        <v/>
      </c>
      <c r="AI224" s="12" t="str">
        <f t="shared" si="63"/>
        <v>10/5</v>
      </c>
    </row>
    <row r="225" spans="1:35" s="8" customFormat="1" ht="21.95" customHeight="1">
      <c r="A225" s="9">
        <v>223</v>
      </c>
      <c r="B225" s="17">
        <v>223</v>
      </c>
      <c r="C225" s="6">
        <v>30</v>
      </c>
      <c r="D225" s="6">
        <v>0</v>
      </c>
      <c r="E225" s="5">
        <v>100</v>
      </c>
      <c r="F225" s="5">
        <v>100</v>
      </c>
      <c r="G225" s="5">
        <v>100</v>
      </c>
      <c r="H225" s="5">
        <v>100</v>
      </c>
      <c r="I225" s="5">
        <v>0</v>
      </c>
      <c r="J225" s="5">
        <v>100</v>
      </c>
      <c r="K225" s="15" t="s">
        <v>55</v>
      </c>
      <c r="L225" s="6">
        <v>3</v>
      </c>
      <c r="M225" s="6">
        <v>0</v>
      </c>
      <c r="N225" s="6">
        <v>0</v>
      </c>
      <c r="O225" s="5">
        <v>0</v>
      </c>
      <c r="P225" s="5">
        <v>0</v>
      </c>
      <c r="Q225" s="5">
        <v>0</v>
      </c>
      <c r="R225" s="5">
        <v>0</v>
      </c>
      <c r="S225" s="5">
        <v>0</v>
      </c>
      <c r="T225" s="5">
        <v>0</v>
      </c>
      <c r="U225" s="6">
        <v>5</v>
      </c>
      <c r="V225" s="5">
        <v>10</v>
      </c>
      <c r="W225" s="5">
        <v>5</v>
      </c>
      <c r="X225" s="16">
        <v>2000</v>
      </c>
      <c r="Y225" s="16">
        <v>7000</v>
      </c>
      <c r="Z225" s="16">
        <v>14000</v>
      </c>
      <c r="AA225" s="12" t="str">
        <f t="shared" si="55"/>
        <v>0/30</v>
      </c>
      <c r="AB225" s="12" t="str">
        <f t="shared" si="56"/>
        <v>100,100,100,100,0,100</v>
      </c>
      <c r="AC225" s="12">
        <f t="shared" si="57"/>
        <v>4</v>
      </c>
      <c r="AD225" s="12" t="str">
        <f t="shared" si="58"/>
        <v>2000/7000/14000</v>
      </c>
      <c r="AE225" s="12" t="str">
        <f t="shared" si="59"/>
        <v/>
      </c>
      <c r="AF225" s="12" t="str">
        <f t="shared" si="60"/>
        <v/>
      </c>
      <c r="AG225" s="12" t="str">
        <f t="shared" si="61"/>
        <v/>
      </c>
      <c r="AH225" s="12" t="str">
        <f t="shared" si="62"/>
        <v/>
      </c>
      <c r="AI225" s="12" t="str">
        <f t="shared" si="63"/>
        <v>10/5</v>
      </c>
    </row>
    <row r="226" spans="1:35" s="8" customFormat="1" ht="21.95" customHeight="1">
      <c r="A226" s="9">
        <v>224</v>
      </c>
      <c r="B226" s="17">
        <v>224</v>
      </c>
      <c r="C226" s="6">
        <v>30</v>
      </c>
      <c r="D226" s="6">
        <v>0</v>
      </c>
      <c r="E226" s="5">
        <v>100</v>
      </c>
      <c r="F226" s="5">
        <v>100</v>
      </c>
      <c r="G226" s="5">
        <v>100</v>
      </c>
      <c r="H226" s="5">
        <v>100</v>
      </c>
      <c r="I226" s="5">
        <v>100</v>
      </c>
      <c r="J226" s="5">
        <v>0</v>
      </c>
      <c r="K226" s="15" t="s">
        <v>56</v>
      </c>
      <c r="L226" s="6">
        <v>3</v>
      </c>
      <c r="M226" s="6">
        <v>0</v>
      </c>
      <c r="N226" s="6">
        <v>0</v>
      </c>
      <c r="O226" s="5">
        <v>0</v>
      </c>
      <c r="P226" s="5">
        <v>0</v>
      </c>
      <c r="Q226" s="5">
        <v>0</v>
      </c>
      <c r="R226" s="5">
        <v>0</v>
      </c>
      <c r="S226" s="5">
        <v>0</v>
      </c>
      <c r="T226" s="5">
        <v>0</v>
      </c>
      <c r="U226" s="6">
        <v>0</v>
      </c>
      <c r="V226" s="5">
        <v>10</v>
      </c>
      <c r="W226" s="5">
        <v>5</v>
      </c>
      <c r="X226" s="16">
        <v>2000</v>
      </c>
      <c r="Y226" s="16">
        <v>7000</v>
      </c>
      <c r="Z226" s="16">
        <v>14000</v>
      </c>
      <c r="AA226" s="12" t="str">
        <f t="shared" ref="AA226:AA289" si="64">IF(C226=0,CONCATENATE("1/",D226),CONCATENATE("0/",C226))</f>
        <v>0/30</v>
      </c>
      <c r="AB226" s="12" t="str">
        <f t="shared" ref="AB226:AB289" si="65">CONCATENATE(E226,",",F226,",",G226,",",H226,",",I226,",",J226)</f>
        <v>100,100,100,100,100,0</v>
      </c>
      <c r="AC226" s="12">
        <f t="shared" ref="AC226:AC289" si="66">VLOOKUP(K226,$I$1005:$J$1012,2,FALSE)</f>
        <v>5</v>
      </c>
      <c r="AD226" s="12" t="str">
        <f t="shared" ref="AD226:AD289" si="67">CONCATENATE(X226,"/",Y226,"/",Z226)</f>
        <v>2000/7000/14000</v>
      </c>
      <c r="AE226" s="12" t="str">
        <f t="shared" ref="AE226:AE289" si="68">CONCATENATE(IF(M226=0,"","0/"),IF(N226=0,"","1/"))</f>
        <v/>
      </c>
      <c r="AF226" s="12" t="str">
        <f t="shared" ref="AF226:AF289" si="69">CONCATENATE(IF(M226=0,"",CONCATENATE(M226,"/")),IF(N226=0,"",CONCATENATE(N226,"/")))</f>
        <v/>
      </c>
      <c r="AG226" s="12" t="str">
        <f t="shared" ref="AG226:AG289" si="70">CONCATENATE(IF(O226=0,"","0/"),IF(P226=0,"","1/"),IF(Q226=0,"","2/"),IF(R226=0,"","3/"),IF(S226=0,"","4/"),IF(T226=0,"","5/"))</f>
        <v/>
      </c>
      <c r="AH226" s="12" t="str">
        <f t="shared" ref="AH226:AH289" si="71">CONCATENATE(IF(O226=0,"",CONCATENATE(O226,"/")),IF(P226=0,"",CONCATENATE(P226,"/")),IF(Q226=0,"",CONCATENATE(Q226,"/")),IF(R226=0,"",CONCATENATE(R226,"/")),IF(S226=0,"",CONCATENATE(S226,"/")),IF(T226=0,"",CONCATENATE(T226,"/")))</f>
        <v/>
      </c>
      <c r="AI226" s="12" t="str">
        <f t="shared" ref="AI226:AI289" si="72">CONCATENATE(V226,"/",W226)</f>
        <v>10/5</v>
      </c>
    </row>
    <row r="227" spans="1:35" s="8" customFormat="1" ht="21.95" customHeight="1">
      <c r="A227" s="9">
        <v>225</v>
      </c>
      <c r="B227" s="17">
        <v>225</v>
      </c>
      <c r="C227" s="6">
        <v>0</v>
      </c>
      <c r="D227" s="6">
        <v>120</v>
      </c>
      <c r="E227" s="5">
        <v>0</v>
      </c>
      <c r="F227" s="5">
        <v>100</v>
      </c>
      <c r="G227" s="5">
        <v>100</v>
      </c>
      <c r="H227" s="5">
        <v>100</v>
      </c>
      <c r="I227" s="5">
        <v>100</v>
      </c>
      <c r="J227" s="5">
        <v>100</v>
      </c>
      <c r="K227" s="15" t="s">
        <v>56</v>
      </c>
      <c r="L227" s="6">
        <v>3</v>
      </c>
      <c r="M227" s="6">
        <v>0</v>
      </c>
      <c r="N227" s="6">
        <v>0</v>
      </c>
      <c r="O227" s="5">
        <v>0</v>
      </c>
      <c r="P227" s="5">
        <v>0</v>
      </c>
      <c r="Q227" s="5">
        <v>0</v>
      </c>
      <c r="R227" s="5">
        <v>0</v>
      </c>
      <c r="S227" s="5">
        <v>0</v>
      </c>
      <c r="T227" s="5">
        <v>0</v>
      </c>
      <c r="U227" s="6">
        <v>0</v>
      </c>
      <c r="V227" s="5">
        <v>10</v>
      </c>
      <c r="W227" s="5">
        <v>5</v>
      </c>
      <c r="X227" s="16">
        <v>2000</v>
      </c>
      <c r="Y227" s="16">
        <v>7000</v>
      </c>
      <c r="Z227" s="16">
        <v>14000</v>
      </c>
      <c r="AA227" s="12" t="str">
        <f t="shared" si="64"/>
        <v>1/120</v>
      </c>
      <c r="AB227" s="12" t="str">
        <f t="shared" si="65"/>
        <v>0,100,100,100,100,100</v>
      </c>
      <c r="AC227" s="12">
        <f t="shared" si="66"/>
        <v>5</v>
      </c>
      <c r="AD227" s="12" t="str">
        <f t="shared" si="67"/>
        <v>2000/7000/14000</v>
      </c>
      <c r="AE227" s="12" t="str">
        <f t="shared" si="68"/>
        <v/>
      </c>
      <c r="AF227" s="12" t="str">
        <f t="shared" si="69"/>
        <v/>
      </c>
      <c r="AG227" s="12" t="str">
        <f t="shared" si="70"/>
        <v/>
      </c>
      <c r="AH227" s="12" t="str">
        <f t="shared" si="71"/>
        <v/>
      </c>
      <c r="AI227" s="12" t="str">
        <f t="shared" si="72"/>
        <v>10/5</v>
      </c>
    </row>
    <row r="228" spans="1:35" s="8" customFormat="1" ht="21.95" customHeight="1">
      <c r="A228" s="9">
        <v>226</v>
      </c>
      <c r="B228" s="17">
        <v>226</v>
      </c>
      <c r="C228" s="6">
        <v>0</v>
      </c>
      <c r="D228" s="6">
        <v>120</v>
      </c>
      <c r="E228" s="5">
        <v>0</v>
      </c>
      <c r="F228" s="5">
        <v>100</v>
      </c>
      <c r="G228" s="5">
        <v>100</v>
      </c>
      <c r="H228" s="5">
        <v>100</v>
      </c>
      <c r="I228" s="5">
        <v>100</v>
      </c>
      <c r="J228" s="5">
        <v>100</v>
      </c>
      <c r="K228" s="15" t="s">
        <v>56</v>
      </c>
      <c r="L228" s="6">
        <v>3</v>
      </c>
      <c r="M228" s="6">
        <v>0</v>
      </c>
      <c r="N228" s="6">
        <v>0</v>
      </c>
      <c r="O228" s="5">
        <v>0</v>
      </c>
      <c r="P228" s="5">
        <v>0</v>
      </c>
      <c r="Q228" s="5">
        <v>0</v>
      </c>
      <c r="R228" s="5">
        <v>0</v>
      </c>
      <c r="S228" s="5">
        <v>0</v>
      </c>
      <c r="T228" s="5">
        <v>0</v>
      </c>
      <c r="U228" s="6">
        <v>0</v>
      </c>
      <c r="V228" s="5">
        <v>10</v>
      </c>
      <c r="W228" s="5">
        <v>5</v>
      </c>
      <c r="X228" s="16">
        <v>2000</v>
      </c>
      <c r="Y228" s="16">
        <v>7000</v>
      </c>
      <c r="Z228" s="16">
        <v>14000</v>
      </c>
      <c r="AA228" s="12" t="str">
        <f t="shared" si="64"/>
        <v>1/120</v>
      </c>
      <c r="AB228" s="12" t="str">
        <f t="shared" si="65"/>
        <v>0,100,100,100,100,100</v>
      </c>
      <c r="AC228" s="12">
        <f t="shared" si="66"/>
        <v>5</v>
      </c>
      <c r="AD228" s="12" t="str">
        <f t="shared" si="67"/>
        <v>2000/7000/14000</v>
      </c>
      <c r="AE228" s="12" t="str">
        <f t="shared" si="68"/>
        <v/>
      </c>
      <c r="AF228" s="12" t="str">
        <f t="shared" si="69"/>
        <v/>
      </c>
      <c r="AG228" s="12" t="str">
        <f t="shared" si="70"/>
        <v/>
      </c>
      <c r="AH228" s="12" t="str">
        <f t="shared" si="71"/>
        <v/>
      </c>
      <c r="AI228" s="12" t="str">
        <f t="shared" si="72"/>
        <v>10/5</v>
      </c>
    </row>
    <row r="229" spans="1:35" s="8" customFormat="1" ht="21.95" customHeight="1">
      <c r="A229" s="9">
        <v>227</v>
      </c>
      <c r="B229" s="17">
        <v>227</v>
      </c>
      <c r="C229" s="6">
        <v>30</v>
      </c>
      <c r="D229" s="6">
        <v>0</v>
      </c>
      <c r="E229" s="5">
        <v>100</v>
      </c>
      <c r="F229" s="5">
        <v>0</v>
      </c>
      <c r="G229" s="5">
        <v>100</v>
      </c>
      <c r="H229" s="5">
        <v>100</v>
      </c>
      <c r="I229" s="5">
        <v>100</v>
      </c>
      <c r="J229" s="5">
        <v>100</v>
      </c>
      <c r="K229" s="15" t="s">
        <v>53</v>
      </c>
      <c r="L229" s="6">
        <v>3</v>
      </c>
      <c r="M229" s="6">
        <v>0</v>
      </c>
      <c r="N229" s="6">
        <v>0</v>
      </c>
      <c r="O229" s="5">
        <v>0</v>
      </c>
      <c r="P229" s="5">
        <v>0</v>
      </c>
      <c r="Q229" s="5">
        <v>20</v>
      </c>
      <c r="R229" s="5">
        <v>24</v>
      </c>
      <c r="S229" s="5">
        <v>0</v>
      </c>
      <c r="T229" s="5">
        <v>0</v>
      </c>
      <c r="U229" s="6">
        <v>0</v>
      </c>
      <c r="V229" s="5">
        <v>10</v>
      </c>
      <c r="W229" s="5">
        <v>5</v>
      </c>
      <c r="X229" s="16">
        <v>2000</v>
      </c>
      <c r="Y229" s="16">
        <v>7000</v>
      </c>
      <c r="Z229" s="16">
        <v>14000</v>
      </c>
      <c r="AA229" s="12" t="str">
        <f t="shared" si="64"/>
        <v>0/30</v>
      </c>
      <c r="AB229" s="12" t="str">
        <f t="shared" si="65"/>
        <v>100,0,100,100,100,100</v>
      </c>
      <c r="AC229" s="12">
        <f t="shared" si="66"/>
        <v>2</v>
      </c>
      <c r="AD229" s="12" t="str">
        <f t="shared" si="67"/>
        <v>2000/7000/14000</v>
      </c>
      <c r="AE229" s="12" t="str">
        <f t="shared" si="68"/>
        <v/>
      </c>
      <c r="AF229" s="12" t="str">
        <f t="shared" si="69"/>
        <v/>
      </c>
      <c r="AG229" s="12" t="str">
        <f t="shared" si="70"/>
        <v>2/3/</v>
      </c>
      <c r="AH229" s="12" t="str">
        <f t="shared" si="71"/>
        <v>20/24/</v>
      </c>
      <c r="AI229" s="12" t="str">
        <f t="shared" si="72"/>
        <v>10/5</v>
      </c>
    </row>
    <row r="230" spans="1:35" s="8" customFormat="1" ht="21.95" customHeight="1">
      <c r="A230" s="9">
        <v>228</v>
      </c>
      <c r="B230" s="17">
        <v>228</v>
      </c>
      <c r="C230" s="6">
        <v>30</v>
      </c>
      <c r="D230" s="6">
        <v>0</v>
      </c>
      <c r="E230" s="5">
        <v>100</v>
      </c>
      <c r="F230" s="5">
        <v>100</v>
      </c>
      <c r="G230" s="5">
        <v>0</v>
      </c>
      <c r="H230" s="5">
        <v>100</v>
      </c>
      <c r="I230" s="5">
        <v>100</v>
      </c>
      <c r="J230" s="5">
        <v>100</v>
      </c>
      <c r="K230" s="15" t="s">
        <v>53</v>
      </c>
      <c r="L230" s="6">
        <v>3</v>
      </c>
      <c r="M230" s="6">
        <v>0</v>
      </c>
      <c r="N230" s="6">
        <v>0</v>
      </c>
      <c r="O230" s="5">
        <v>0</v>
      </c>
      <c r="P230" s="5">
        <v>0</v>
      </c>
      <c r="Q230" s="5">
        <v>0</v>
      </c>
      <c r="R230" s="5">
        <v>18</v>
      </c>
      <c r="S230" s="5">
        <v>32</v>
      </c>
      <c r="T230" s="5">
        <v>0</v>
      </c>
      <c r="U230" s="6">
        <v>0</v>
      </c>
      <c r="V230" s="5">
        <v>10</v>
      </c>
      <c r="W230" s="5">
        <v>5</v>
      </c>
      <c r="X230" s="16">
        <v>2000</v>
      </c>
      <c r="Y230" s="16">
        <v>7000</v>
      </c>
      <c r="Z230" s="16">
        <v>14000</v>
      </c>
      <c r="AA230" s="12" t="str">
        <f t="shared" si="64"/>
        <v>0/30</v>
      </c>
      <c r="AB230" s="12" t="str">
        <f t="shared" si="65"/>
        <v>100,100,0,100,100,100</v>
      </c>
      <c r="AC230" s="12">
        <f t="shared" si="66"/>
        <v>2</v>
      </c>
      <c r="AD230" s="12" t="str">
        <f t="shared" si="67"/>
        <v>2000/7000/14000</v>
      </c>
      <c r="AE230" s="12" t="str">
        <f t="shared" si="68"/>
        <v/>
      </c>
      <c r="AF230" s="12" t="str">
        <f t="shared" si="69"/>
        <v/>
      </c>
      <c r="AG230" s="12" t="str">
        <f t="shared" si="70"/>
        <v>3/4/</v>
      </c>
      <c r="AH230" s="12" t="str">
        <f t="shared" si="71"/>
        <v>18/32/</v>
      </c>
      <c r="AI230" s="12" t="str">
        <f t="shared" si="72"/>
        <v>10/5</v>
      </c>
    </row>
    <row r="231" spans="1:35" s="8" customFormat="1" ht="21.95" customHeight="1">
      <c r="A231" s="9">
        <v>229</v>
      </c>
      <c r="B231" s="17">
        <v>229</v>
      </c>
      <c r="C231" s="6">
        <v>30</v>
      </c>
      <c r="D231" s="6">
        <v>0</v>
      </c>
      <c r="E231" s="5">
        <v>100</v>
      </c>
      <c r="F231" s="5">
        <v>100</v>
      </c>
      <c r="G231" s="5">
        <v>100</v>
      </c>
      <c r="H231" s="5">
        <v>0</v>
      </c>
      <c r="I231" s="5">
        <v>100</v>
      </c>
      <c r="J231" s="5">
        <v>100</v>
      </c>
      <c r="K231" s="15" t="s">
        <v>52</v>
      </c>
      <c r="L231" s="6">
        <v>3</v>
      </c>
      <c r="M231" s="6">
        <v>6</v>
      </c>
      <c r="N231" s="6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6">
        <v>0</v>
      </c>
      <c r="V231" s="5">
        <v>10</v>
      </c>
      <c r="W231" s="5">
        <v>5</v>
      </c>
      <c r="X231" s="16">
        <v>2000</v>
      </c>
      <c r="Y231" s="16">
        <v>7000</v>
      </c>
      <c r="Z231" s="16">
        <v>14000</v>
      </c>
      <c r="AA231" s="12" t="str">
        <f t="shared" si="64"/>
        <v>0/30</v>
      </c>
      <c r="AB231" s="12" t="str">
        <f t="shared" si="65"/>
        <v>100,100,100,0,100,100</v>
      </c>
      <c r="AC231" s="12">
        <f t="shared" si="66"/>
        <v>1</v>
      </c>
      <c r="AD231" s="12" t="str">
        <f t="shared" si="67"/>
        <v>2000/7000/14000</v>
      </c>
      <c r="AE231" s="12" t="str">
        <f t="shared" si="68"/>
        <v>0/</v>
      </c>
      <c r="AF231" s="12" t="str">
        <f t="shared" si="69"/>
        <v>6/</v>
      </c>
      <c r="AG231" s="12" t="str">
        <f t="shared" si="70"/>
        <v/>
      </c>
      <c r="AH231" s="12" t="str">
        <f t="shared" si="71"/>
        <v/>
      </c>
      <c r="AI231" s="12" t="str">
        <f t="shared" si="72"/>
        <v>10/5</v>
      </c>
    </row>
    <row r="232" spans="1:35" s="8" customFormat="1" ht="21.95" customHeight="1">
      <c r="A232" s="9">
        <v>230</v>
      </c>
      <c r="B232" s="17">
        <v>230</v>
      </c>
      <c r="C232" s="6">
        <v>30</v>
      </c>
      <c r="D232" s="6">
        <v>0</v>
      </c>
      <c r="E232" s="5">
        <v>100</v>
      </c>
      <c r="F232" s="5">
        <v>100</v>
      </c>
      <c r="G232" s="5">
        <v>100</v>
      </c>
      <c r="H232" s="5">
        <v>100</v>
      </c>
      <c r="I232" s="5">
        <v>0</v>
      </c>
      <c r="J232" s="5">
        <v>100</v>
      </c>
      <c r="K232" s="15" t="s">
        <v>52</v>
      </c>
      <c r="L232" s="6">
        <v>3</v>
      </c>
      <c r="M232" s="6">
        <v>2</v>
      </c>
      <c r="N232" s="6">
        <v>4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6">
        <v>0</v>
      </c>
      <c r="V232" s="5">
        <v>10</v>
      </c>
      <c r="W232" s="5">
        <v>5</v>
      </c>
      <c r="X232" s="16">
        <v>2000</v>
      </c>
      <c r="Y232" s="16">
        <v>7000</v>
      </c>
      <c r="Z232" s="16">
        <v>14000</v>
      </c>
      <c r="AA232" s="12" t="str">
        <f t="shared" si="64"/>
        <v>0/30</v>
      </c>
      <c r="AB232" s="12" t="str">
        <f t="shared" si="65"/>
        <v>100,100,100,100,0,100</v>
      </c>
      <c r="AC232" s="12">
        <f t="shared" si="66"/>
        <v>1</v>
      </c>
      <c r="AD232" s="12" t="str">
        <f t="shared" si="67"/>
        <v>2000/7000/14000</v>
      </c>
      <c r="AE232" s="12" t="str">
        <f t="shared" si="68"/>
        <v>0/1/</v>
      </c>
      <c r="AF232" s="12" t="str">
        <f t="shared" si="69"/>
        <v>2/4/</v>
      </c>
      <c r="AG232" s="12" t="str">
        <f t="shared" si="70"/>
        <v/>
      </c>
      <c r="AH232" s="12" t="str">
        <f t="shared" si="71"/>
        <v/>
      </c>
      <c r="AI232" s="12" t="str">
        <f t="shared" si="72"/>
        <v>10/5</v>
      </c>
    </row>
    <row r="233" spans="1:35" s="8" customFormat="1" ht="21.95" customHeight="1">
      <c r="A233" s="9">
        <v>231</v>
      </c>
      <c r="B233" s="17">
        <v>231</v>
      </c>
      <c r="C233" s="6">
        <v>0</v>
      </c>
      <c r="D233" s="6">
        <v>120</v>
      </c>
      <c r="E233" s="5">
        <v>100</v>
      </c>
      <c r="F233" s="5">
        <v>100</v>
      </c>
      <c r="G233" s="5">
        <v>100</v>
      </c>
      <c r="H233" s="5">
        <v>100</v>
      </c>
      <c r="I233" s="5">
        <v>100</v>
      </c>
      <c r="J233" s="5">
        <v>0</v>
      </c>
      <c r="K233" s="15" t="s">
        <v>54</v>
      </c>
      <c r="L233" s="6">
        <v>3</v>
      </c>
      <c r="M233" s="6">
        <v>0</v>
      </c>
      <c r="N233" s="6">
        <v>0</v>
      </c>
      <c r="O233" s="5">
        <v>0</v>
      </c>
      <c r="P233" s="5">
        <v>0</v>
      </c>
      <c r="Q233" s="5">
        <v>0</v>
      </c>
      <c r="R233" s="5">
        <v>0</v>
      </c>
      <c r="S233" s="5">
        <v>0</v>
      </c>
      <c r="T233" s="5">
        <v>0</v>
      </c>
      <c r="U233" s="6">
        <v>0</v>
      </c>
      <c r="V233" s="5">
        <v>10</v>
      </c>
      <c r="W233" s="5">
        <v>5</v>
      </c>
      <c r="X233" s="16">
        <v>2000</v>
      </c>
      <c r="Y233" s="16">
        <v>7000</v>
      </c>
      <c r="Z233" s="16">
        <v>14000</v>
      </c>
      <c r="AA233" s="12" t="str">
        <f t="shared" si="64"/>
        <v>1/120</v>
      </c>
      <c r="AB233" s="12" t="str">
        <f t="shared" si="65"/>
        <v>100,100,100,100,100,0</v>
      </c>
      <c r="AC233" s="12">
        <f t="shared" si="66"/>
        <v>3</v>
      </c>
      <c r="AD233" s="12" t="str">
        <f t="shared" si="67"/>
        <v>2000/7000/14000</v>
      </c>
      <c r="AE233" s="12" t="str">
        <f t="shared" si="68"/>
        <v/>
      </c>
      <c r="AF233" s="12" t="str">
        <f t="shared" si="69"/>
        <v/>
      </c>
      <c r="AG233" s="12" t="str">
        <f t="shared" si="70"/>
        <v/>
      </c>
      <c r="AH233" s="12" t="str">
        <f t="shared" si="71"/>
        <v/>
      </c>
      <c r="AI233" s="12" t="str">
        <f t="shared" si="72"/>
        <v>10/5</v>
      </c>
    </row>
    <row r="234" spans="1:35" s="8" customFormat="1" ht="21.95" customHeight="1">
      <c r="A234" s="9">
        <v>232</v>
      </c>
      <c r="B234" s="17">
        <v>232</v>
      </c>
      <c r="C234" s="6">
        <v>0</v>
      </c>
      <c r="D234" s="6">
        <v>120</v>
      </c>
      <c r="E234" s="5">
        <v>0</v>
      </c>
      <c r="F234" s="5">
        <v>100</v>
      </c>
      <c r="G234" s="5">
        <v>100</v>
      </c>
      <c r="H234" s="5">
        <v>100</v>
      </c>
      <c r="I234" s="5">
        <v>100</v>
      </c>
      <c r="J234" s="5">
        <v>100</v>
      </c>
      <c r="K234" s="15" t="s">
        <v>54</v>
      </c>
      <c r="L234" s="6">
        <v>3</v>
      </c>
      <c r="M234" s="6">
        <v>0</v>
      </c>
      <c r="N234" s="6">
        <v>0</v>
      </c>
      <c r="O234" s="5">
        <v>0</v>
      </c>
      <c r="P234" s="5">
        <v>0</v>
      </c>
      <c r="Q234" s="5">
        <v>0</v>
      </c>
      <c r="R234" s="5">
        <v>0</v>
      </c>
      <c r="S234" s="5">
        <v>0</v>
      </c>
      <c r="T234" s="5">
        <v>0</v>
      </c>
      <c r="U234" s="6">
        <v>0</v>
      </c>
      <c r="V234" s="5">
        <v>10</v>
      </c>
      <c r="W234" s="5">
        <v>5</v>
      </c>
      <c r="X234" s="16">
        <v>2000</v>
      </c>
      <c r="Y234" s="16">
        <v>7000</v>
      </c>
      <c r="Z234" s="16">
        <v>14000</v>
      </c>
      <c r="AA234" s="12" t="str">
        <f t="shared" si="64"/>
        <v>1/120</v>
      </c>
      <c r="AB234" s="12" t="str">
        <f t="shared" si="65"/>
        <v>0,100,100,100,100,100</v>
      </c>
      <c r="AC234" s="12">
        <f t="shared" si="66"/>
        <v>3</v>
      </c>
      <c r="AD234" s="12" t="str">
        <f t="shared" si="67"/>
        <v>2000/7000/14000</v>
      </c>
      <c r="AE234" s="12" t="str">
        <f t="shared" si="68"/>
        <v/>
      </c>
      <c r="AF234" s="12" t="str">
        <f t="shared" si="69"/>
        <v/>
      </c>
      <c r="AG234" s="12" t="str">
        <f t="shared" si="70"/>
        <v/>
      </c>
      <c r="AH234" s="12" t="str">
        <f t="shared" si="71"/>
        <v/>
      </c>
      <c r="AI234" s="12" t="str">
        <f t="shared" si="72"/>
        <v>10/5</v>
      </c>
    </row>
    <row r="235" spans="1:35" s="8" customFormat="1" ht="21.95" customHeight="1">
      <c r="A235" s="9">
        <v>233</v>
      </c>
      <c r="B235" s="17">
        <v>233</v>
      </c>
      <c r="C235" s="6">
        <v>30</v>
      </c>
      <c r="D235" s="6">
        <v>0</v>
      </c>
      <c r="E235" s="5">
        <v>100</v>
      </c>
      <c r="F235" s="5">
        <v>0</v>
      </c>
      <c r="G235" s="5">
        <v>100</v>
      </c>
      <c r="H235" s="5">
        <v>100</v>
      </c>
      <c r="I235" s="5">
        <v>100</v>
      </c>
      <c r="J235" s="5">
        <v>100</v>
      </c>
      <c r="K235" s="15" t="s">
        <v>55</v>
      </c>
      <c r="L235" s="6">
        <v>3</v>
      </c>
      <c r="M235" s="6">
        <v>0</v>
      </c>
      <c r="N235" s="6">
        <v>0</v>
      </c>
      <c r="O235" s="5">
        <v>0</v>
      </c>
      <c r="P235" s="5">
        <v>0</v>
      </c>
      <c r="Q235" s="5">
        <v>0</v>
      </c>
      <c r="R235" s="5">
        <v>0</v>
      </c>
      <c r="S235" s="5">
        <v>0</v>
      </c>
      <c r="T235" s="5">
        <v>0</v>
      </c>
      <c r="U235" s="6">
        <v>5</v>
      </c>
      <c r="V235" s="5">
        <v>10</v>
      </c>
      <c r="W235" s="5">
        <v>5</v>
      </c>
      <c r="X235" s="16">
        <v>2000</v>
      </c>
      <c r="Y235" s="16">
        <v>7000</v>
      </c>
      <c r="Z235" s="16">
        <v>14000</v>
      </c>
      <c r="AA235" s="12" t="str">
        <f t="shared" si="64"/>
        <v>0/30</v>
      </c>
      <c r="AB235" s="12" t="str">
        <f t="shared" si="65"/>
        <v>100,0,100,100,100,100</v>
      </c>
      <c r="AC235" s="12">
        <f t="shared" si="66"/>
        <v>4</v>
      </c>
      <c r="AD235" s="12" t="str">
        <f t="shared" si="67"/>
        <v>2000/7000/14000</v>
      </c>
      <c r="AE235" s="12" t="str">
        <f t="shared" si="68"/>
        <v/>
      </c>
      <c r="AF235" s="12" t="str">
        <f t="shared" si="69"/>
        <v/>
      </c>
      <c r="AG235" s="12" t="str">
        <f t="shared" si="70"/>
        <v/>
      </c>
      <c r="AH235" s="12" t="str">
        <f t="shared" si="71"/>
        <v/>
      </c>
      <c r="AI235" s="12" t="str">
        <f t="shared" si="72"/>
        <v>10/5</v>
      </c>
    </row>
    <row r="236" spans="1:35" s="8" customFormat="1" ht="21.95" customHeight="1">
      <c r="A236" s="9">
        <v>234</v>
      </c>
      <c r="B236" s="17">
        <v>234</v>
      </c>
      <c r="C236" s="6">
        <v>30</v>
      </c>
      <c r="D236" s="6">
        <v>0</v>
      </c>
      <c r="E236" s="5">
        <v>100</v>
      </c>
      <c r="F236" s="5">
        <v>100</v>
      </c>
      <c r="G236" s="5">
        <v>0</v>
      </c>
      <c r="H236" s="5">
        <v>100</v>
      </c>
      <c r="I236" s="5">
        <v>100</v>
      </c>
      <c r="J236" s="5">
        <v>100</v>
      </c>
      <c r="K236" s="15" t="s">
        <v>55</v>
      </c>
      <c r="L236" s="6">
        <v>3</v>
      </c>
      <c r="M236" s="6">
        <v>0</v>
      </c>
      <c r="N236" s="6">
        <v>0</v>
      </c>
      <c r="O236" s="5">
        <v>0</v>
      </c>
      <c r="P236" s="5">
        <v>0</v>
      </c>
      <c r="Q236" s="5">
        <v>0</v>
      </c>
      <c r="R236" s="5">
        <v>0</v>
      </c>
      <c r="S236" s="5">
        <v>0</v>
      </c>
      <c r="T236" s="5">
        <v>0</v>
      </c>
      <c r="U236" s="6">
        <v>5</v>
      </c>
      <c r="V236" s="5">
        <v>10</v>
      </c>
      <c r="W236" s="5">
        <v>5</v>
      </c>
      <c r="X236" s="16">
        <v>2000</v>
      </c>
      <c r="Y236" s="16">
        <v>7000</v>
      </c>
      <c r="Z236" s="16">
        <v>14000</v>
      </c>
      <c r="AA236" s="12" t="str">
        <f t="shared" si="64"/>
        <v>0/30</v>
      </c>
      <c r="AB236" s="12" t="str">
        <f t="shared" si="65"/>
        <v>100,100,0,100,100,100</v>
      </c>
      <c r="AC236" s="12">
        <f t="shared" si="66"/>
        <v>4</v>
      </c>
      <c r="AD236" s="12" t="str">
        <f t="shared" si="67"/>
        <v>2000/7000/14000</v>
      </c>
      <c r="AE236" s="12" t="str">
        <f t="shared" si="68"/>
        <v/>
      </c>
      <c r="AF236" s="12" t="str">
        <f t="shared" si="69"/>
        <v/>
      </c>
      <c r="AG236" s="12" t="str">
        <f t="shared" si="70"/>
        <v/>
      </c>
      <c r="AH236" s="12" t="str">
        <f t="shared" si="71"/>
        <v/>
      </c>
      <c r="AI236" s="12" t="str">
        <f t="shared" si="72"/>
        <v>10/5</v>
      </c>
    </row>
    <row r="237" spans="1:35" s="8" customFormat="1" ht="21.95" customHeight="1">
      <c r="A237" s="9">
        <v>235</v>
      </c>
      <c r="B237" s="17">
        <v>235</v>
      </c>
      <c r="C237" s="6">
        <v>32</v>
      </c>
      <c r="D237" s="6">
        <v>0</v>
      </c>
      <c r="E237" s="5">
        <v>100</v>
      </c>
      <c r="F237" s="5">
        <v>100</v>
      </c>
      <c r="G237" s="5">
        <v>100</v>
      </c>
      <c r="H237" s="5">
        <v>0</v>
      </c>
      <c r="I237" s="5">
        <v>100</v>
      </c>
      <c r="J237" s="5">
        <v>100</v>
      </c>
      <c r="K237" s="15" t="s">
        <v>51</v>
      </c>
      <c r="L237" s="6">
        <v>3</v>
      </c>
      <c r="M237" s="6">
        <v>0</v>
      </c>
      <c r="N237" s="6">
        <v>0</v>
      </c>
      <c r="O237" s="5">
        <v>0</v>
      </c>
      <c r="P237" s="5">
        <v>0</v>
      </c>
      <c r="Q237" s="5">
        <v>0</v>
      </c>
      <c r="R237" s="5">
        <v>0</v>
      </c>
      <c r="S237" s="5">
        <v>0</v>
      </c>
      <c r="T237" s="5">
        <v>0</v>
      </c>
      <c r="U237" s="6">
        <v>0</v>
      </c>
      <c r="V237" s="5">
        <v>10</v>
      </c>
      <c r="W237" s="5">
        <v>5</v>
      </c>
      <c r="X237" s="16">
        <v>2000</v>
      </c>
      <c r="Y237" s="16">
        <v>7000</v>
      </c>
      <c r="Z237" s="16">
        <v>14000</v>
      </c>
      <c r="AA237" s="12" t="str">
        <f t="shared" si="64"/>
        <v>0/32</v>
      </c>
      <c r="AB237" s="12" t="str">
        <f t="shared" si="65"/>
        <v>100,100,100,0,100,100</v>
      </c>
      <c r="AC237" s="12">
        <f t="shared" si="66"/>
        <v>0</v>
      </c>
      <c r="AD237" s="12" t="str">
        <f t="shared" si="67"/>
        <v>2000/7000/14000</v>
      </c>
      <c r="AE237" s="12" t="str">
        <f t="shared" si="68"/>
        <v/>
      </c>
      <c r="AF237" s="12" t="str">
        <f t="shared" si="69"/>
        <v/>
      </c>
      <c r="AG237" s="12" t="str">
        <f t="shared" si="70"/>
        <v/>
      </c>
      <c r="AH237" s="12" t="str">
        <f t="shared" si="71"/>
        <v/>
      </c>
      <c r="AI237" s="12" t="str">
        <f t="shared" si="72"/>
        <v>10/5</v>
      </c>
    </row>
    <row r="238" spans="1:35" s="8" customFormat="1" ht="21.95" customHeight="1">
      <c r="A238" s="9">
        <v>236</v>
      </c>
      <c r="B238" s="17">
        <v>236</v>
      </c>
      <c r="C238" s="6">
        <v>30</v>
      </c>
      <c r="D238" s="6">
        <v>0</v>
      </c>
      <c r="E238" s="5">
        <v>100</v>
      </c>
      <c r="F238" s="5">
        <v>100</v>
      </c>
      <c r="G238" s="5">
        <v>100</v>
      </c>
      <c r="H238" s="5">
        <v>100</v>
      </c>
      <c r="I238" s="5">
        <v>0</v>
      </c>
      <c r="J238" s="5">
        <v>100</v>
      </c>
      <c r="K238" s="15" t="s">
        <v>53</v>
      </c>
      <c r="L238" s="6">
        <v>3</v>
      </c>
      <c r="M238" s="6">
        <v>0</v>
      </c>
      <c r="N238" s="6">
        <v>0</v>
      </c>
      <c r="O238" s="5">
        <v>16</v>
      </c>
      <c r="P238" s="5">
        <v>0</v>
      </c>
      <c r="Q238" s="5">
        <v>0</v>
      </c>
      <c r="R238" s="5">
        <v>0</v>
      </c>
      <c r="S238" s="5">
        <v>0</v>
      </c>
      <c r="T238" s="5">
        <v>18</v>
      </c>
      <c r="U238" s="6">
        <v>0</v>
      </c>
      <c r="V238" s="5">
        <v>10</v>
      </c>
      <c r="W238" s="5">
        <v>5</v>
      </c>
      <c r="X238" s="16">
        <v>2000</v>
      </c>
      <c r="Y238" s="16">
        <v>7000</v>
      </c>
      <c r="Z238" s="16">
        <v>14000</v>
      </c>
      <c r="AA238" s="12" t="str">
        <f t="shared" si="64"/>
        <v>0/30</v>
      </c>
      <c r="AB238" s="12" t="str">
        <f t="shared" si="65"/>
        <v>100,100,100,100,0,100</v>
      </c>
      <c r="AC238" s="12">
        <f t="shared" si="66"/>
        <v>2</v>
      </c>
      <c r="AD238" s="12" t="str">
        <f t="shared" si="67"/>
        <v>2000/7000/14000</v>
      </c>
      <c r="AE238" s="12" t="str">
        <f t="shared" si="68"/>
        <v/>
      </c>
      <c r="AF238" s="12" t="str">
        <f t="shared" si="69"/>
        <v/>
      </c>
      <c r="AG238" s="12" t="str">
        <f t="shared" si="70"/>
        <v>0/5/</v>
      </c>
      <c r="AH238" s="12" t="str">
        <f t="shared" si="71"/>
        <v>16/18/</v>
      </c>
      <c r="AI238" s="12" t="str">
        <f t="shared" si="72"/>
        <v>10/5</v>
      </c>
    </row>
    <row r="239" spans="1:35" s="8" customFormat="1" ht="21.95" customHeight="1">
      <c r="A239" s="9">
        <v>237</v>
      </c>
      <c r="B239" s="17">
        <v>237</v>
      </c>
      <c r="C239" s="6">
        <v>30</v>
      </c>
      <c r="D239" s="6">
        <v>0</v>
      </c>
      <c r="E239" s="5">
        <v>100</v>
      </c>
      <c r="F239" s="5">
        <v>100</v>
      </c>
      <c r="G239" s="5">
        <v>100</v>
      </c>
      <c r="H239" s="5">
        <v>100</v>
      </c>
      <c r="I239" s="5">
        <v>100</v>
      </c>
      <c r="J239" s="5">
        <v>0</v>
      </c>
      <c r="K239" s="15" t="s">
        <v>52</v>
      </c>
      <c r="L239" s="6">
        <v>3</v>
      </c>
      <c r="M239" s="6">
        <v>6</v>
      </c>
      <c r="N239" s="6">
        <v>0</v>
      </c>
      <c r="O239" s="5">
        <v>0</v>
      </c>
      <c r="P239" s="5">
        <v>0</v>
      </c>
      <c r="Q239" s="5">
        <v>0</v>
      </c>
      <c r="R239" s="5">
        <v>0</v>
      </c>
      <c r="S239" s="5">
        <v>0</v>
      </c>
      <c r="T239" s="5">
        <v>0</v>
      </c>
      <c r="U239" s="6">
        <v>0</v>
      </c>
      <c r="V239" s="5">
        <v>10</v>
      </c>
      <c r="W239" s="5">
        <v>5</v>
      </c>
      <c r="X239" s="16">
        <v>2000</v>
      </c>
      <c r="Y239" s="16">
        <v>7000</v>
      </c>
      <c r="Z239" s="16">
        <v>14000</v>
      </c>
      <c r="AA239" s="12" t="str">
        <f t="shared" si="64"/>
        <v>0/30</v>
      </c>
      <c r="AB239" s="12" t="str">
        <f t="shared" si="65"/>
        <v>100,100,100,100,100,0</v>
      </c>
      <c r="AC239" s="12">
        <f t="shared" si="66"/>
        <v>1</v>
      </c>
      <c r="AD239" s="12" t="str">
        <f t="shared" si="67"/>
        <v>2000/7000/14000</v>
      </c>
      <c r="AE239" s="12" t="str">
        <f t="shared" si="68"/>
        <v>0/</v>
      </c>
      <c r="AF239" s="12" t="str">
        <f t="shared" si="69"/>
        <v>6/</v>
      </c>
      <c r="AG239" s="12" t="str">
        <f t="shared" si="70"/>
        <v/>
      </c>
      <c r="AH239" s="12" t="str">
        <f t="shared" si="71"/>
        <v/>
      </c>
      <c r="AI239" s="12" t="str">
        <f t="shared" si="72"/>
        <v>10/5</v>
      </c>
    </row>
    <row r="240" spans="1:35" s="8" customFormat="1" ht="21.95" customHeight="1">
      <c r="A240" s="9">
        <v>238</v>
      </c>
      <c r="B240" s="17">
        <v>238</v>
      </c>
      <c r="C240" s="6">
        <v>30</v>
      </c>
      <c r="D240" s="6">
        <v>0</v>
      </c>
      <c r="E240" s="5">
        <v>0</v>
      </c>
      <c r="F240" s="5">
        <v>100</v>
      </c>
      <c r="G240" s="5">
        <v>100</v>
      </c>
      <c r="H240" s="5">
        <v>100</v>
      </c>
      <c r="I240" s="5">
        <v>100</v>
      </c>
      <c r="J240" s="5">
        <v>100</v>
      </c>
      <c r="K240" s="15" t="s">
        <v>52</v>
      </c>
      <c r="L240" s="6">
        <v>3</v>
      </c>
      <c r="M240" s="6">
        <v>0</v>
      </c>
      <c r="N240" s="6">
        <v>6</v>
      </c>
      <c r="O240" s="5">
        <v>0</v>
      </c>
      <c r="P240" s="5">
        <v>0</v>
      </c>
      <c r="Q240" s="5">
        <v>0</v>
      </c>
      <c r="R240" s="5">
        <v>0</v>
      </c>
      <c r="S240" s="5">
        <v>0</v>
      </c>
      <c r="T240" s="5">
        <v>0</v>
      </c>
      <c r="U240" s="6">
        <v>0</v>
      </c>
      <c r="V240" s="5">
        <v>10</v>
      </c>
      <c r="W240" s="5">
        <v>5</v>
      </c>
      <c r="X240" s="16">
        <v>2000</v>
      </c>
      <c r="Y240" s="16">
        <v>7000</v>
      </c>
      <c r="Z240" s="16">
        <v>14000</v>
      </c>
      <c r="AA240" s="12" t="str">
        <f t="shared" si="64"/>
        <v>0/30</v>
      </c>
      <c r="AB240" s="12" t="str">
        <f t="shared" si="65"/>
        <v>0,100,100,100,100,100</v>
      </c>
      <c r="AC240" s="12">
        <f t="shared" si="66"/>
        <v>1</v>
      </c>
      <c r="AD240" s="12" t="str">
        <f t="shared" si="67"/>
        <v>2000/7000/14000</v>
      </c>
      <c r="AE240" s="12" t="str">
        <f t="shared" si="68"/>
        <v>1/</v>
      </c>
      <c r="AF240" s="12" t="str">
        <f t="shared" si="69"/>
        <v>6/</v>
      </c>
      <c r="AG240" s="12" t="str">
        <f t="shared" si="70"/>
        <v/>
      </c>
      <c r="AH240" s="12" t="str">
        <f t="shared" si="71"/>
        <v/>
      </c>
      <c r="AI240" s="12" t="str">
        <f t="shared" si="72"/>
        <v>10/5</v>
      </c>
    </row>
    <row r="241" spans="1:35" s="8" customFormat="1" ht="21.95" customHeight="1">
      <c r="A241" s="9">
        <v>239</v>
      </c>
      <c r="B241" s="17">
        <v>239</v>
      </c>
      <c r="C241" s="6">
        <v>0</v>
      </c>
      <c r="D241" s="6">
        <v>120</v>
      </c>
      <c r="E241" s="5">
        <v>100</v>
      </c>
      <c r="F241" s="5">
        <v>0</v>
      </c>
      <c r="G241" s="5">
        <v>100</v>
      </c>
      <c r="H241" s="5">
        <v>100</v>
      </c>
      <c r="I241" s="5">
        <v>100</v>
      </c>
      <c r="J241" s="5">
        <v>100</v>
      </c>
      <c r="K241" s="15" t="s">
        <v>54</v>
      </c>
      <c r="L241" s="6">
        <v>3</v>
      </c>
      <c r="M241" s="6">
        <v>0</v>
      </c>
      <c r="N241" s="6">
        <v>0</v>
      </c>
      <c r="O241" s="5">
        <v>0</v>
      </c>
      <c r="P241" s="5">
        <v>0</v>
      </c>
      <c r="Q241" s="5">
        <v>0</v>
      </c>
      <c r="R241" s="5">
        <v>0</v>
      </c>
      <c r="S241" s="5">
        <v>0</v>
      </c>
      <c r="T241" s="5">
        <v>0</v>
      </c>
      <c r="U241" s="6">
        <v>0</v>
      </c>
      <c r="V241" s="5">
        <v>10</v>
      </c>
      <c r="W241" s="5">
        <v>5</v>
      </c>
      <c r="X241" s="16">
        <v>2000</v>
      </c>
      <c r="Y241" s="16">
        <v>7000</v>
      </c>
      <c r="Z241" s="16">
        <v>14000</v>
      </c>
      <c r="AA241" s="12" t="str">
        <f t="shared" si="64"/>
        <v>1/120</v>
      </c>
      <c r="AB241" s="12" t="str">
        <f t="shared" si="65"/>
        <v>100,0,100,100,100,100</v>
      </c>
      <c r="AC241" s="12">
        <f t="shared" si="66"/>
        <v>3</v>
      </c>
      <c r="AD241" s="12" t="str">
        <f t="shared" si="67"/>
        <v>2000/7000/14000</v>
      </c>
      <c r="AE241" s="12" t="str">
        <f t="shared" si="68"/>
        <v/>
      </c>
      <c r="AF241" s="12" t="str">
        <f t="shared" si="69"/>
        <v/>
      </c>
      <c r="AG241" s="12" t="str">
        <f t="shared" si="70"/>
        <v/>
      </c>
      <c r="AH241" s="12" t="str">
        <f t="shared" si="71"/>
        <v/>
      </c>
      <c r="AI241" s="12" t="str">
        <f t="shared" si="72"/>
        <v>10/5</v>
      </c>
    </row>
    <row r="242" spans="1:35" s="8" customFormat="1" ht="21.95" customHeight="1">
      <c r="A242" s="9">
        <v>240</v>
      </c>
      <c r="B242" s="17">
        <v>240</v>
      </c>
      <c r="C242" s="6">
        <v>0</v>
      </c>
      <c r="D242" s="6">
        <v>120</v>
      </c>
      <c r="E242" s="5">
        <v>100</v>
      </c>
      <c r="F242" s="5">
        <v>100</v>
      </c>
      <c r="G242" s="5">
        <v>0</v>
      </c>
      <c r="H242" s="5">
        <v>100</v>
      </c>
      <c r="I242" s="5">
        <v>100</v>
      </c>
      <c r="J242" s="5">
        <v>100</v>
      </c>
      <c r="K242" s="15" t="s">
        <v>54</v>
      </c>
      <c r="L242" s="6">
        <v>3</v>
      </c>
      <c r="M242" s="6">
        <v>0</v>
      </c>
      <c r="N242" s="6">
        <v>0</v>
      </c>
      <c r="O242" s="5">
        <v>0</v>
      </c>
      <c r="P242" s="5">
        <v>0</v>
      </c>
      <c r="Q242" s="5">
        <v>0</v>
      </c>
      <c r="R242" s="5">
        <v>0</v>
      </c>
      <c r="S242" s="5">
        <v>0</v>
      </c>
      <c r="T242" s="5">
        <v>0</v>
      </c>
      <c r="U242" s="6">
        <v>0</v>
      </c>
      <c r="V242" s="5">
        <v>10</v>
      </c>
      <c r="W242" s="5">
        <v>5</v>
      </c>
      <c r="X242" s="16">
        <v>2000</v>
      </c>
      <c r="Y242" s="16">
        <v>7000</v>
      </c>
      <c r="Z242" s="16">
        <v>14000</v>
      </c>
      <c r="AA242" s="12" t="str">
        <f t="shared" si="64"/>
        <v>1/120</v>
      </c>
      <c r="AB242" s="12" t="str">
        <f t="shared" si="65"/>
        <v>100,100,0,100,100,100</v>
      </c>
      <c r="AC242" s="12">
        <f t="shared" si="66"/>
        <v>3</v>
      </c>
      <c r="AD242" s="12" t="str">
        <f t="shared" si="67"/>
        <v>2000/7000/14000</v>
      </c>
      <c r="AE242" s="12" t="str">
        <f t="shared" si="68"/>
        <v/>
      </c>
      <c r="AF242" s="12" t="str">
        <f t="shared" si="69"/>
        <v/>
      </c>
      <c r="AG242" s="12" t="str">
        <f t="shared" si="70"/>
        <v/>
      </c>
      <c r="AH242" s="12" t="str">
        <f t="shared" si="71"/>
        <v/>
      </c>
      <c r="AI242" s="12" t="str">
        <f t="shared" si="72"/>
        <v>10/5</v>
      </c>
    </row>
    <row r="243" spans="1:35" s="8" customFormat="1" ht="21.95" customHeight="1">
      <c r="A243" s="9">
        <v>241</v>
      </c>
      <c r="B243" s="17">
        <v>241</v>
      </c>
      <c r="C243" s="6">
        <v>0</v>
      </c>
      <c r="D243" s="6">
        <v>120</v>
      </c>
      <c r="E243" s="5">
        <v>100</v>
      </c>
      <c r="F243" s="5">
        <v>100</v>
      </c>
      <c r="G243" s="5">
        <v>100</v>
      </c>
      <c r="H243" s="5">
        <v>100</v>
      </c>
      <c r="I243" s="5">
        <v>0</v>
      </c>
      <c r="J243" s="5">
        <v>100</v>
      </c>
      <c r="K243" s="15" t="s">
        <v>52</v>
      </c>
      <c r="L243" s="6">
        <v>3</v>
      </c>
      <c r="M243" s="6">
        <v>2</v>
      </c>
      <c r="N243" s="6">
        <v>4</v>
      </c>
      <c r="O243" s="5">
        <v>0</v>
      </c>
      <c r="P243" s="5">
        <v>0</v>
      </c>
      <c r="Q243" s="5">
        <v>0</v>
      </c>
      <c r="R243" s="5">
        <v>0</v>
      </c>
      <c r="S243" s="5">
        <v>0</v>
      </c>
      <c r="T243" s="5">
        <v>0</v>
      </c>
      <c r="U243" s="6">
        <v>0</v>
      </c>
      <c r="V243" s="5">
        <v>10</v>
      </c>
      <c r="W243" s="5">
        <v>5</v>
      </c>
      <c r="X243" s="16">
        <v>2000</v>
      </c>
      <c r="Y243" s="16">
        <v>7000</v>
      </c>
      <c r="Z243" s="16">
        <v>14000</v>
      </c>
      <c r="AA243" s="12" t="str">
        <f t="shared" si="64"/>
        <v>1/120</v>
      </c>
      <c r="AB243" s="12" t="str">
        <f t="shared" si="65"/>
        <v>100,100,100,100,0,100</v>
      </c>
      <c r="AC243" s="12">
        <f t="shared" si="66"/>
        <v>1</v>
      </c>
      <c r="AD243" s="12" t="str">
        <f t="shared" si="67"/>
        <v>2000/7000/14000</v>
      </c>
      <c r="AE243" s="12" t="str">
        <f t="shared" si="68"/>
        <v>0/1/</v>
      </c>
      <c r="AF243" s="12" t="str">
        <f t="shared" si="69"/>
        <v>2/4/</v>
      </c>
      <c r="AG243" s="12" t="str">
        <f t="shared" si="70"/>
        <v/>
      </c>
      <c r="AH243" s="12" t="str">
        <f t="shared" si="71"/>
        <v/>
      </c>
      <c r="AI243" s="12" t="str">
        <f t="shared" si="72"/>
        <v>10/5</v>
      </c>
    </row>
    <row r="244" spans="1:35" s="8" customFormat="1" ht="21.95" customHeight="1">
      <c r="A244" s="9">
        <v>242</v>
      </c>
      <c r="B244" s="17">
        <v>242</v>
      </c>
      <c r="C244" s="6">
        <v>30</v>
      </c>
      <c r="D244" s="6">
        <v>0</v>
      </c>
      <c r="E244" s="5">
        <v>100</v>
      </c>
      <c r="F244" s="5">
        <v>100</v>
      </c>
      <c r="G244" s="5">
        <v>100</v>
      </c>
      <c r="H244" s="5">
        <v>100</v>
      </c>
      <c r="I244" s="5">
        <v>100</v>
      </c>
      <c r="J244" s="5">
        <v>0</v>
      </c>
      <c r="K244" s="15" t="s">
        <v>54</v>
      </c>
      <c r="L244" s="6">
        <v>3</v>
      </c>
      <c r="M244" s="6">
        <v>0</v>
      </c>
      <c r="N244" s="6">
        <v>0</v>
      </c>
      <c r="O244" s="5">
        <v>0</v>
      </c>
      <c r="P244" s="5">
        <v>0</v>
      </c>
      <c r="Q244" s="5">
        <v>0</v>
      </c>
      <c r="R244" s="5">
        <v>0</v>
      </c>
      <c r="S244" s="5">
        <v>0</v>
      </c>
      <c r="T244" s="5">
        <v>0</v>
      </c>
      <c r="U244" s="6">
        <v>0</v>
      </c>
      <c r="V244" s="5">
        <v>10</v>
      </c>
      <c r="W244" s="5">
        <v>5</v>
      </c>
      <c r="X244" s="16">
        <v>2000</v>
      </c>
      <c r="Y244" s="16">
        <v>7000</v>
      </c>
      <c r="Z244" s="16">
        <v>14000</v>
      </c>
      <c r="AA244" s="12" t="str">
        <f t="shared" si="64"/>
        <v>0/30</v>
      </c>
      <c r="AB244" s="12" t="str">
        <f t="shared" si="65"/>
        <v>100,100,100,100,100,0</v>
      </c>
      <c r="AC244" s="12">
        <f t="shared" si="66"/>
        <v>3</v>
      </c>
      <c r="AD244" s="12" t="str">
        <f t="shared" si="67"/>
        <v>2000/7000/14000</v>
      </c>
      <c r="AE244" s="12" t="str">
        <f t="shared" si="68"/>
        <v/>
      </c>
      <c r="AF244" s="12" t="str">
        <f t="shared" si="69"/>
        <v/>
      </c>
      <c r="AG244" s="12" t="str">
        <f t="shared" si="70"/>
        <v/>
      </c>
      <c r="AH244" s="12" t="str">
        <f t="shared" si="71"/>
        <v/>
      </c>
      <c r="AI244" s="12" t="str">
        <f t="shared" si="72"/>
        <v>10/5</v>
      </c>
    </row>
    <row r="245" spans="1:35" s="8" customFormat="1" ht="21.95" customHeight="1">
      <c r="A245" s="9">
        <v>243</v>
      </c>
      <c r="B245" s="17">
        <v>243</v>
      </c>
      <c r="C245" s="6">
        <v>30</v>
      </c>
      <c r="D245" s="6">
        <v>0</v>
      </c>
      <c r="E245" s="5">
        <v>0</v>
      </c>
      <c r="F245" s="5">
        <v>100</v>
      </c>
      <c r="G245" s="5">
        <v>100</v>
      </c>
      <c r="H245" s="5">
        <v>100</v>
      </c>
      <c r="I245" s="5">
        <v>100</v>
      </c>
      <c r="J245" s="5">
        <v>100</v>
      </c>
      <c r="K245" s="15" t="s">
        <v>54</v>
      </c>
      <c r="L245" s="6">
        <v>3</v>
      </c>
      <c r="M245" s="6">
        <v>0</v>
      </c>
      <c r="N245" s="6">
        <v>0</v>
      </c>
      <c r="O245" s="5">
        <v>0</v>
      </c>
      <c r="P245" s="5">
        <v>0</v>
      </c>
      <c r="Q245" s="5">
        <v>0</v>
      </c>
      <c r="R245" s="5">
        <v>0</v>
      </c>
      <c r="S245" s="5">
        <v>0</v>
      </c>
      <c r="T245" s="5">
        <v>0</v>
      </c>
      <c r="U245" s="6">
        <v>0</v>
      </c>
      <c r="V245" s="5">
        <v>10</v>
      </c>
      <c r="W245" s="5">
        <v>5</v>
      </c>
      <c r="X245" s="16">
        <v>2000</v>
      </c>
      <c r="Y245" s="16">
        <v>7000</v>
      </c>
      <c r="Z245" s="16">
        <v>14000</v>
      </c>
      <c r="AA245" s="12" t="str">
        <f t="shared" si="64"/>
        <v>0/30</v>
      </c>
      <c r="AB245" s="12" t="str">
        <f t="shared" si="65"/>
        <v>0,100,100,100,100,100</v>
      </c>
      <c r="AC245" s="12">
        <f t="shared" si="66"/>
        <v>3</v>
      </c>
      <c r="AD245" s="12" t="str">
        <f t="shared" si="67"/>
        <v>2000/7000/14000</v>
      </c>
      <c r="AE245" s="12" t="str">
        <f t="shared" si="68"/>
        <v/>
      </c>
      <c r="AF245" s="12" t="str">
        <f t="shared" si="69"/>
        <v/>
      </c>
      <c r="AG245" s="12" t="str">
        <f t="shared" si="70"/>
        <v/>
      </c>
      <c r="AH245" s="12" t="str">
        <f t="shared" si="71"/>
        <v/>
      </c>
      <c r="AI245" s="12" t="str">
        <f t="shared" si="72"/>
        <v>10/5</v>
      </c>
    </row>
    <row r="246" spans="1:35" s="8" customFormat="1" ht="21.95" customHeight="1">
      <c r="A246" s="9">
        <v>244</v>
      </c>
      <c r="B246" s="17">
        <v>244</v>
      </c>
      <c r="C246" s="6">
        <v>30</v>
      </c>
      <c r="D246" s="6">
        <v>0</v>
      </c>
      <c r="E246" s="5">
        <v>100</v>
      </c>
      <c r="F246" s="5">
        <v>0</v>
      </c>
      <c r="G246" s="5">
        <v>100</v>
      </c>
      <c r="H246" s="5">
        <v>100</v>
      </c>
      <c r="I246" s="5">
        <v>100</v>
      </c>
      <c r="J246" s="5">
        <v>100</v>
      </c>
      <c r="K246" s="15" t="s">
        <v>55</v>
      </c>
      <c r="L246" s="6">
        <v>3</v>
      </c>
      <c r="M246" s="6">
        <v>0</v>
      </c>
      <c r="N246" s="6">
        <v>0</v>
      </c>
      <c r="O246" s="5">
        <v>0</v>
      </c>
      <c r="P246" s="5">
        <v>0</v>
      </c>
      <c r="Q246" s="5">
        <v>0</v>
      </c>
      <c r="R246" s="5">
        <v>0</v>
      </c>
      <c r="S246" s="5">
        <v>0</v>
      </c>
      <c r="T246" s="5">
        <v>0</v>
      </c>
      <c r="U246" s="6">
        <v>5</v>
      </c>
      <c r="V246" s="5">
        <v>10</v>
      </c>
      <c r="W246" s="5">
        <v>5</v>
      </c>
      <c r="X246" s="16">
        <v>2000</v>
      </c>
      <c r="Y246" s="16">
        <v>7000</v>
      </c>
      <c r="Z246" s="16">
        <v>14000</v>
      </c>
      <c r="AA246" s="12" t="str">
        <f t="shared" si="64"/>
        <v>0/30</v>
      </c>
      <c r="AB246" s="12" t="str">
        <f t="shared" si="65"/>
        <v>100,0,100,100,100,100</v>
      </c>
      <c r="AC246" s="12">
        <f t="shared" si="66"/>
        <v>4</v>
      </c>
      <c r="AD246" s="12" t="str">
        <f t="shared" si="67"/>
        <v>2000/7000/14000</v>
      </c>
      <c r="AE246" s="12" t="str">
        <f t="shared" si="68"/>
        <v/>
      </c>
      <c r="AF246" s="12" t="str">
        <f t="shared" si="69"/>
        <v/>
      </c>
      <c r="AG246" s="12" t="str">
        <f t="shared" si="70"/>
        <v/>
      </c>
      <c r="AH246" s="12" t="str">
        <f t="shared" si="71"/>
        <v/>
      </c>
      <c r="AI246" s="12" t="str">
        <f t="shared" si="72"/>
        <v>10/5</v>
      </c>
    </row>
    <row r="247" spans="1:35" s="8" customFormat="1" ht="21.95" customHeight="1">
      <c r="A247" s="9">
        <v>245</v>
      </c>
      <c r="B247" s="17">
        <v>245</v>
      </c>
      <c r="C247" s="6">
        <v>30</v>
      </c>
      <c r="D247" s="6">
        <v>0</v>
      </c>
      <c r="E247" s="5">
        <v>100</v>
      </c>
      <c r="F247" s="5">
        <v>100</v>
      </c>
      <c r="G247" s="5">
        <v>0</v>
      </c>
      <c r="H247" s="5">
        <v>100</v>
      </c>
      <c r="I247" s="5">
        <v>100</v>
      </c>
      <c r="J247" s="5">
        <v>100</v>
      </c>
      <c r="K247" s="15" t="s">
        <v>55</v>
      </c>
      <c r="L247" s="6">
        <v>3</v>
      </c>
      <c r="M247" s="6">
        <v>0</v>
      </c>
      <c r="N247" s="6">
        <v>0</v>
      </c>
      <c r="O247" s="5">
        <v>0</v>
      </c>
      <c r="P247" s="5">
        <v>0</v>
      </c>
      <c r="Q247" s="5">
        <v>0</v>
      </c>
      <c r="R247" s="5">
        <v>0</v>
      </c>
      <c r="S247" s="5">
        <v>0</v>
      </c>
      <c r="T247" s="5">
        <v>0</v>
      </c>
      <c r="U247" s="6">
        <v>5</v>
      </c>
      <c r="V247" s="5">
        <v>10</v>
      </c>
      <c r="W247" s="5">
        <v>5</v>
      </c>
      <c r="X247" s="16">
        <v>2000</v>
      </c>
      <c r="Y247" s="16">
        <v>7000</v>
      </c>
      <c r="Z247" s="16">
        <v>14000</v>
      </c>
      <c r="AA247" s="12" t="str">
        <f t="shared" si="64"/>
        <v>0/30</v>
      </c>
      <c r="AB247" s="12" t="str">
        <f t="shared" si="65"/>
        <v>100,100,0,100,100,100</v>
      </c>
      <c r="AC247" s="12">
        <f t="shared" si="66"/>
        <v>4</v>
      </c>
      <c r="AD247" s="12" t="str">
        <f t="shared" si="67"/>
        <v>2000/7000/14000</v>
      </c>
      <c r="AE247" s="12" t="str">
        <f t="shared" si="68"/>
        <v/>
      </c>
      <c r="AF247" s="12" t="str">
        <f t="shared" si="69"/>
        <v/>
      </c>
      <c r="AG247" s="12" t="str">
        <f t="shared" si="70"/>
        <v/>
      </c>
      <c r="AH247" s="12" t="str">
        <f t="shared" si="71"/>
        <v/>
      </c>
      <c r="AI247" s="12" t="str">
        <f t="shared" si="72"/>
        <v>10/5</v>
      </c>
    </row>
    <row r="248" spans="1:35" s="8" customFormat="1" ht="21.95" customHeight="1">
      <c r="A248" s="9">
        <v>246</v>
      </c>
      <c r="B248" s="17">
        <v>246</v>
      </c>
      <c r="C248" s="6">
        <v>32</v>
      </c>
      <c r="D248" s="6">
        <v>0</v>
      </c>
      <c r="E248" s="5">
        <v>100</v>
      </c>
      <c r="F248" s="5">
        <v>100</v>
      </c>
      <c r="G248" s="5">
        <v>100</v>
      </c>
      <c r="H248" s="5">
        <v>0</v>
      </c>
      <c r="I248" s="5">
        <v>100</v>
      </c>
      <c r="J248" s="5">
        <v>100</v>
      </c>
      <c r="K248" s="15" t="s">
        <v>51</v>
      </c>
      <c r="L248" s="6">
        <v>3</v>
      </c>
      <c r="M248" s="6">
        <v>0</v>
      </c>
      <c r="N248" s="6">
        <v>0</v>
      </c>
      <c r="O248" s="5">
        <v>0</v>
      </c>
      <c r="P248" s="5">
        <v>0</v>
      </c>
      <c r="Q248" s="5">
        <v>0</v>
      </c>
      <c r="R248" s="5">
        <v>0</v>
      </c>
      <c r="S248" s="5">
        <v>0</v>
      </c>
      <c r="T248" s="5">
        <v>0</v>
      </c>
      <c r="U248" s="6">
        <v>0</v>
      </c>
      <c r="V248" s="5">
        <v>10</v>
      </c>
      <c r="W248" s="5">
        <v>5</v>
      </c>
      <c r="X248" s="16">
        <v>2000</v>
      </c>
      <c r="Y248" s="16">
        <v>7000</v>
      </c>
      <c r="Z248" s="16">
        <v>14000</v>
      </c>
      <c r="AA248" s="12" t="str">
        <f t="shared" si="64"/>
        <v>0/32</v>
      </c>
      <c r="AB248" s="12" t="str">
        <f t="shared" si="65"/>
        <v>100,100,100,0,100,100</v>
      </c>
      <c r="AC248" s="12">
        <f t="shared" si="66"/>
        <v>0</v>
      </c>
      <c r="AD248" s="12" t="str">
        <f t="shared" si="67"/>
        <v>2000/7000/14000</v>
      </c>
      <c r="AE248" s="12" t="str">
        <f t="shared" si="68"/>
        <v/>
      </c>
      <c r="AF248" s="12" t="str">
        <f t="shared" si="69"/>
        <v/>
      </c>
      <c r="AG248" s="12" t="str">
        <f t="shared" si="70"/>
        <v/>
      </c>
      <c r="AH248" s="12" t="str">
        <f t="shared" si="71"/>
        <v/>
      </c>
      <c r="AI248" s="12" t="str">
        <f t="shared" si="72"/>
        <v>10/5</v>
      </c>
    </row>
    <row r="249" spans="1:35" s="8" customFormat="1" ht="21.95" customHeight="1">
      <c r="A249" s="9">
        <v>247</v>
      </c>
      <c r="B249" s="17">
        <v>247</v>
      </c>
      <c r="C249" s="6">
        <v>30</v>
      </c>
      <c r="D249" s="6">
        <v>0</v>
      </c>
      <c r="E249" s="5">
        <v>100</v>
      </c>
      <c r="F249" s="5">
        <v>100</v>
      </c>
      <c r="G249" s="5">
        <v>0</v>
      </c>
      <c r="H249" s="5">
        <v>100</v>
      </c>
      <c r="I249" s="5">
        <v>100</v>
      </c>
      <c r="J249" s="5">
        <v>100</v>
      </c>
      <c r="K249" s="15" t="s">
        <v>56</v>
      </c>
      <c r="L249" s="6">
        <v>3</v>
      </c>
      <c r="M249" s="6">
        <v>0</v>
      </c>
      <c r="N249" s="6">
        <v>0</v>
      </c>
      <c r="O249" s="5">
        <v>0</v>
      </c>
      <c r="P249" s="5">
        <v>0</v>
      </c>
      <c r="Q249" s="5">
        <v>0</v>
      </c>
      <c r="R249" s="5">
        <v>0</v>
      </c>
      <c r="S249" s="5">
        <v>0</v>
      </c>
      <c r="T249" s="5">
        <v>0</v>
      </c>
      <c r="U249" s="6">
        <v>0</v>
      </c>
      <c r="V249" s="5">
        <v>10</v>
      </c>
      <c r="W249" s="5">
        <v>5</v>
      </c>
      <c r="X249" s="16">
        <v>2000</v>
      </c>
      <c r="Y249" s="16">
        <v>7000</v>
      </c>
      <c r="Z249" s="16">
        <v>14000</v>
      </c>
      <c r="AA249" s="12" t="str">
        <f t="shared" si="64"/>
        <v>0/30</v>
      </c>
      <c r="AB249" s="12" t="str">
        <f t="shared" si="65"/>
        <v>100,100,0,100,100,100</v>
      </c>
      <c r="AC249" s="12">
        <f t="shared" si="66"/>
        <v>5</v>
      </c>
      <c r="AD249" s="12" t="str">
        <f t="shared" si="67"/>
        <v>2000/7000/14000</v>
      </c>
      <c r="AE249" s="12" t="str">
        <f t="shared" si="68"/>
        <v/>
      </c>
      <c r="AF249" s="12" t="str">
        <f t="shared" si="69"/>
        <v/>
      </c>
      <c r="AG249" s="12" t="str">
        <f t="shared" si="70"/>
        <v/>
      </c>
      <c r="AH249" s="12" t="str">
        <f t="shared" si="71"/>
        <v/>
      </c>
      <c r="AI249" s="12" t="str">
        <f t="shared" si="72"/>
        <v>10/5</v>
      </c>
    </row>
    <row r="250" spans="1:35" s="8" customFormat="1" ht="21.95" customHeight="1">
      <c r="A250" s="9">
        <v>248</v>
      </c>
      <c r="B250" s="17">
        <v>248</v>
      </c>
      <c r="C250" s="6">
        <v>30</v>
      </c>
      <c r="D250" s="6">
        <v>0</v>
      </c>
      <c r="E250" s="5">
        <v>100</v>
      </c>
      <c r="F250" s="5">
        <v>100</v>
      </c>
      <c r="G250" s="5">
        <v>100</v>
      </c>
      <c r="H250" s="5">
        <v>0</v>
      </c>
      <c r="I250" s="5">
        <v>100</v>
      </c>
      <c r="J250" s="5">
        <v>100</v>
      </c>
      <c r="K250" s="15" t="s">
        <v>53</v>
      </c>
      <c r="L250" s="6">
        <v>3</v>
      </c>
      <c r="M250" s="6">
        <v>0</v>
      </c>
      <c r="N250" s="6">
        <v>0</v>
      </c>
      <c r="O250" s="5">
        <v>0</v>
      </c>
      <c r="P250" s="5">
        <v>0</v>
      </c>
      <c r="Q250" s="5">
        <v>0</v>
      </c>
      <c r="R250" s="5">
        <v>0</v>
      </c>
      <c r="S250" s="5">
        <v>18</v>
      </c>
      <c r="T250" s="5">
        <v>16</v>
      </c>
      <c r="U250" s="6">
        <v>0</v>
      </c>
      <c r="V250" s="5">
        <v>10</v>
      </c>
      <c r="W250" s="5">
        <v>5</v>
      </c>
      <c r="X250" s="16">
        <v>2000</v>
      </c>
      <c r="Y250" s="16">
        <v>7000</v>
      </c>
      <c r="Z250" s="16">
        <v>14000</v>
      </c>
      <c r="AA250" s="12" t="str">
        <f t="shared" si="64"/>
        <v>0/30</v>
      </c>
      <c r="AB250" s="12" t="str">
        <f t="shared" si="65"/>
        <v>100,100,100,0,100,100</v>
      </c>
      <c r="AC250" s="12">
        <f t="shared" si="66"/>
        <v>2</v>
      </c>
      <c r="AD250" s="12" t="str">
        <f t="shared" si="67"/>
        <v>2000/7000/14000</v>
      </c>
      <c r="AE250" s="12" t="str">
        <f t="shared" si="68"/>
        <v/>
      </c>
      <c r="AF250" s="12" t="str">
        <f t="shared" si="69"/>
        <v/>
      </c>
      <c r="AG250" s="12" t="str">
        <f t="shared" si="70"/>
        <v>4/5/</v>
      </c>
      <c r="AH250" s="12" t="str">
        <f t="shared" si="71"/>
        <v>18/16/</v>
      </c>
      <c r="AI250" s="12" t="str">
        <f t="shared" si="72"/>
        <v>10/5</v>
      </c>
    </row>
    <row r="251" spans="1:35" s="8" customFormat="1" ht="21.95" customHeight="1">
      <c r="A251" s="9">
        <v>249</v>
      </c>
      <c r="B251" s="17">
        <v>249</v>
      </c>
      <c r="C251" s="6">
        <v>30</v>
      </c>
      <c r="D251" s="6">
        <v>0</v>
      </c>
      <c r="E251" s="5">
        <v>100</v>
      </c>
      <c r="F251" s="5">
        <v>100</v>
      </c>
      <c r="G251" s="5">
        <v>100</v>
      </c>
      <c r="H251" s="5">
        <v>100</v>
      </c>
      <c r="I251" s="5">
        <v>0</v>
      </c>
      <c r="J251" s="5">
        <v>100</v>
      </c>
      <c r="K251" s="15" t="s">
        <v>53</v>
      </c>
      <c r="L251" s="6">
        <v>3</v>
      </c>
      <c r="M251" s="6">
        <v>0</v>
      </c>
      <c r="N251" s="6">
        <v>0</v>
      </c>
      <c r="O251" s="5">
        <v>16</v>
      </c>
      <c r="P251" s="5">
        <v>0</v>
      </c>
      <c r="Q251" s="5">
        <v>0</v>
      </c>
      <c r="R251" s="5">
        <v>0</v>
      </c>
      <c r="S251" s="5">
        <v>0</v>
      </c>
      <c r="T251" s="5">
        <v>18</v>
      </c>
      <c r="U251" s="6">
        <v>0</v>
      </c>
      <c r="V251" s="5">
        <v>10</v>
      </c>
      <c r="W251" s="5">
        <v>5</v>
      </c>
      <c r="X251" s="16">
        <v>2000</v>
      </c>
      <c r="Y251" s="16">
        <v>7000</v>
      </c>
      <c r="Z251" s="16">
        <v>14000</v>
      </c>
      <c r="AA251" s="12" t="str">
        <f t="shared" si="64"/>
        <v>0/30</v>
      </c>
      <c r="AB251" s="12" t="str">
        <f t="shared" si="65"/>
        <v>100,100,100,100,0,100</v>
      </c>
      <c r="AC251" s="12">
        <f t="shared" si="66"/>
        <v>2</v>
      </c>
      <c r="AD251" s="12" t="str">
        <f t="shared" si="67"/>
        <v>2000/7000/14000</v>
      </c>
      <c r="AE251" s="12" t="str">
        <f t="shared" si="68"/>
        <v/>
      </c>
      <c r="AF251" s="12" t="str">
        <f t="shared" si="69"/>
        <v/>
      </c>
      <c r="AG251" s="12" t="str">
        <f t="shared" si="70"/>
        <v>0/5/</v>
      </c>
      <c r="AH251" s="12" t="str">
        <f t="shared" si="71"/>
        <v>16/18/</v>
      </c>
      <c r="AI251" s="12" t="str">
        <f t="shared" si="72"/>
        <v>10/5</v>
      </c>
    </row>
    <row r="252" spans="1:35" s="8" customFormat="1" ht="21.95" customHeight="1">
      <c r="A252" s="9">
        <v>250</v>
      </c>
      <c r="B252" s="17">
        <v>250</v>
      </c>
      <c r="C252" s="6">
        <v>30</v>
      </c>
      <c r="D252" s="6">
        <v>0</v>
      </c>
      <c r="E252" s="5">
        <v>100</v>
      </c>
      <c r="F252" s="5">
        <v>100</v>
      </c>
      <c r="G252" s="5">
        <v>100</v>
      </c>
      <c r="H252" s="5">
        <v>100</v>
      </c>
      <c r="I252" s="5">
        <v>100</v>
      </c>
      <c r="J252" s="5">
        <v>0</v>
      </c>
      <c r="K252" s="15" t="s">
        <v>52</v>
      </c>
      <c r="L252" s="6">
        <v>3</v>
      </c>
      <c r="M252" s="6">
        <v>6</v>
      </c>
      <c r="N252" s="6">
        <v>0</v>
      </c>
      <c r="O252" s="5">
        <v>0</v>
      </c>
      <c r="P252" s="5">
        <v>0</v>
      </c>
      <c r="Q252" s="5">
        <v>0</v>
      </c>
      <c r="R252" s="5">
        <v>0</v>
      </c>
      <c r="S252" s="5">
        <v>0</v>
      </c>
      <c r="T252" s="5">
        <v>0</v>
      </c>
      <c r="U252" s="6">
        <v>0</v>
      </c>
      <c r="V252" s="5">
        <v>10</v>
      </c>
      <c r="W252" s="5">
        <v>5</v>
      </c>
      <c r="X252" s="16">
        <v>2000</v>
      </c>
      <c r="Y252" s="16">
        <v>7000</v>
      </c>
      <c r="Z252" s="16">
        <v>14000</v>
      </c>
      <c r="AA252" s="12" t="str">
        <f t="shared" si="64"/>
        <v>0/30</v>
      </c>
      <c r="AB252" s="12" t="str">
        <f t="shared" si="65"/>
        <v>100,100,100,100,100,0</v>
      </c>
      <c r="AC252" s="12">
        <f t="shared" si="66"/>
        <v>1</v>
      </c>
      <c r="AD252" s="12" t="str">
        <f t="shared" si="67"/>
        <v>2000/7000/14000</v>
      </c>
      <c r="AE252" s="12" t="str">
        <f t="shared" si="68"/>
        <v>0/</v>
      </c>
      <c r="AF252" s="12" t="str">
        <f t="shared" si="69"/>
        <v>6/</v>
      </c>
      <c r="AG252" s="12" t="str">
        <f t="shared" si="70"/>
        <v/>
      </c>
      <c r="AH252" s="12" t="str">
        <f t="shared" si="71"/>
        <v/>
      </c>
      <c r="AI252" s="12" t="str">
        <f t="shared" si="72"/>
        <v>10/5</v>
      </c>
    </row>
    <row r="253" spans="1:35" s="8" customFormat="1" ht="21.95" customHeight="1">
      <c r="A253" s="9">
        <v>251</v>
      </c>
      <c r="B253" s="17">
        <v>251</v>
      </c>
      <c r="C253" s="6">
        <v>30</v>
      </c>
      <c r="D253" s="6">
        <v>0</v>
      </c>
      <c r="E253" s="5">
        <v>0</v>
      </c>
      <c r="F253" s="5">
        <v>100</v>
      </c>
      <c r="G253" s="5">
        <v>100</v>
      </c>
      <c r="H253" s="5">
        <v>100</v>
      </c>
      <c r="I253" s="5">
        <v>100</v>
      </c>
      <c r="J253" s="5">
        <v>100</v>
      </c>
      <c r="K253" s="15" t="s">
        <v>52</v>
      </c>
      <c r="L253" s="6">
        <v>3</v>
      </c>
      <c r="M253" s="6">
        <v>0</v>
      </c>
      <c r="N253" s="6">
        <v>6</v>
      </c>
      <c r="O253" s="5">
        <v>0</v>
      </c>
      <c r="P253" s="5">
        <v>0</v>
      </c>
      <c r="Q253" s="5">
        <v>0</v>
      </c>
      <c r="R253" s="5">
        <v>0</v>
      </c>
      <c r="S253" s="5">
        <v>0</v>
      </c>
      <c r="T253" s="5">
        <v>0</v>
      </c>
      <c r="U253" s="6">
        <v>0</v>
      </c>
      <c r="V253" s="5">
        <v>10</v>
      </c>
      <c r="W253" s="5">
        <v>5</v>
      </c>
      <c r="X253" s="16">
        <v>2000</v>
      </c>
      <c r="Y253" s="16">
        <v>7000</v>
      </c>
      <c r="Z253" s="16">
        <v>14000</v>
      </c>
      <c r="AA253" s="12" t="str">
        <f t="shared" si="64"/>
        <v>0/30</v>
      </c>
      <c r="AB253" s="12" t="str">
        <f t="shared" si="65"/>
        <v>0,100,100,100,100,100</v>
      </c>
      <c r="AC253" s="12">
        <f t="shared" si="66"/>
        <v>1</v>
      </c>
      <c r="AD253" s="12" t="str">
        <f t="shared" si="67"/>
        <v>2000/7000/14000</v>
      </c>
      <c r="AE253" s="12" t="str">
        <f t="shared" si="68"/>
        <v>1/</v>
      </c>
      <c r="AF253" s="12" t="str">
        <f t="shared" si="69"/>
        <v>6/</v>
      </c>
      <c r="AG253" s="12" t="str">
        <f t="shared" si="70"/>
        <v/>
      </c>
      <c r="AH253" s="12" t="str">
        <f t="shared" si="71"/>
        <v/>
      </c>
      <c r="AI253" s="12" t="str">
        <f t="shared" si="72"/>
        <v>10/5</v>
      </c>
    </row>
    <row r="254" spans="1:35" s="8" customFormat="1" ht="21.95" customHeight="1">
      <c r="A254" s="9">
        <v>252</v>
      </c>
      <c r="B254" s="17">
        <v>252</v>
      </c>
      <c r="C254" s="6">
        <v>0</v>
      </c>
      <c r="D254" s="6">
        <v>120</v>
      </c>
      <c r="E254" s="5">
        <v>100</v>
      </c>
      <c r="F254" s="5">
        <v>0</v>
      </c>
      <c r="G254" s="5">
        <v>100</v>
      </c>
      <c r="H254" s="5">
        <v>100</v>
      </c>
      <c r="I254" s="5">
        <v>100</v>
      </c>
      <c r="J254" s="5">
        <v>100</v>
      </c>
      <c r="K254" s="15" t="s">
        <v>54</v>
      </c>
      <c r="L254" s="6">
        <v>3</v>
      </c>
      <c r="M254" s="6">
        <v>0</v>
      </c>
      <c r="N254" s="6">
        <v>0</v>
      </c>
      <c r="O254" s="5">
        <v>0</v>
      </c>
      <c r="P254" s="5">
        <v>0</v>
      </c>
      <c r="Q254" s="5">
        <v>0</v>
      </c>
      <c r="R254" s="5">
        <v>0</v>
      </c>
      <c r="S254" s="5">
        <v>0</v>
      </c>
      <c r="T254" s="5">
        <v>0</v>
      </c>
      <c r="U254" s="6">
        <v>0</v>
      </c>
      <c r="V254" s="5">
        <v>10</v>
      </c>
      <c r="W254" s="5">
        <v>5</v>
      </c>
      <c r="X254" s="16">
        <v>2000</v>
      </c>
      <c r="Y254" s="16">
        <v>7000</v>
      </c>
      <c r="Z254" s="16">
        <v>14000</v>
      </c>
      <c r="AA254" s="12" t="str">
        <f t="shared" si="64"/>
        <v>1/120</v>
      </c>
      <c r="AB254" s="12" t="str">
        <f t="shared" si="65"/>
        <v>100,0,100,100,100,100</v>
      </c>
      <c r="AC254" s="12">
        <f t="shared" si="66"/>
        <v>3</v>
      </c>
      <c r="AD254" s="12" t="str">
        <f t="shared" si="67"/>
        <v>2000/7000/14000</v>
      </c>
      <c r="AE254" s="12" t="str">
        <f t="shared" si="68"/>
        <v/>
      </c>
      <c r="AF254" s="12" t="str">
        <f t="shared" si="69"/>
        <v/>
      </c>
      <c r="AG254" s="12" t="str">
        <f t="shared" si="70"/>
        <v/>
      </c>
      <c r="AH254" s="12" t="str">
        <f t="shared" si="71"/>
        <v/>
      </c>
      <c r="AI254" s="12" t="str">
        <f t="shared" si="72"/>
        <v>10/5</v>
      </c>
    </row>
    <row r="255" spans="1:35" s="8" customFormat="1" ht="21.95" customHeight="1">
      <c r="A255" s="9">
        <v>253</v>
      </c>
      <c r="B255" s="17">
        <v>253</v>
      </c>
      <c r="C255" s="6">
        <v>0</v>
      </c>
      <c r="D255" s="6">
        <v>120</v>
      </c>
      <c r="E255" s="5">
        <v>100</v>
      </c>
      <c r="F255" s="5">
        <v>100</v>
      </c>
      <c r="G255" s="5">
        <v>0</v>
      </c>
      <c r="H255" s="5">
        <v>100</v>
      </c>
      <c r="I255" s="5">
        <v>100</v>
      </c>
      <c r="J255" s="5">
        <v>100</v>
      </c>
      <c r="K255" s="15" t="s">
        <v>56</v>
      </c>
      <c r="L255" s="6">
        <v>3</v>
      </c>
      <c r="M255" s="6">
        <v>0</v>
      </c>
      <c r="N255" s="6">
        <v>0</v>
      </c>
      <c r="O255" s="5">
        <v>0</v>
      </c>
      <c r="P255" s="5">
        <v>0</v>
      </c>
      <c r="Q255" s="5">
        <v>0</v>
      </c>
      <c r="R255" s="5">
        <v>0</v>
      </c>
      <c r="S255" s="5">
        <v>0</v>
      </c>
      <c r="T255" s="5">
        <v>0</v>
      </c>
      <c r="U255" s="6">
        <v>0</v>
      </c>
      <c r="V255" s="5">
        <v>10</v>
      </c>
      <c r="W255" s="5">
        <v>5</v>
      </c>
      <c r="X255" s="16">
        <v>2000</v>
      </c>
      <c r="Y255" s="16">
        <v>7000</v>
      </c>
      <c r="Z255" s="16">
        <v>14000</v>
      </c>
      <c r="AA255" s="12" t="str">
        <f t="shared" si="64"/>
        <v>1/120</v>
      </c>
      <c r="AB255" s="12" t="str">
        <f t="shared" si="65"/>
        <v>100,100,0,100,100,100</v>
      </c>
      <c r="AC255" s="12">
        <f t="shared" si="66"/>
        <v>5</v>
      </c>
      <c r="AD255" s="12" t="str">
        <f t="shared" si="67"/>
        <v>2000/7000/14000</v>
      </c>
      <c r="AE255" s="12" t="str">
        <f t="shared" si="68"/>
        <v/>
      </c>
      <c r="AF255" s="12" t="str">
        <f t="shared" si="69"/>
        <v/>
      </c>
      <c r="AG255" s="12" t="str">
        <f t="shared" si="70"/>
        <v/>
      </c>
      <c r="AH255" s="12" t="str">
        <f t="shared" si="71"/>
        <v/>
      </c>
      <c r="AI255" s="12" t="str">
        <f t="shared" si="72"/>
        <v>10/5</v>
      </c>
    </row>
    <row r="256" spans="1:35" s="8" customFormat="1" ht="21.95" customHeight="1">
      <c r="A256" s="9">
        <v>254</v>
      </c>
      <c r="B256" s="17">
        <v>254</v>
      </c>
      <c r="C256" s="6">
        <v>0</v>
      </c>
      <c r="D256" s="6">
        <v>120</v>
      </c>
      <c r="E256" s="5">
        <v>100</v>
      </c>
      <c r="F256" s="5">
        <v>100</v>
      </c>
      <c r="G256" s="5">
        <v>100</v>
      </c>
      <c r="H256" s="5">
        <v>0</v>
      </c>
      <c r="I256" s="5">
        <v>100</v>
      </c>
      <c r="J256" s="5">
        <v>100</v>
      </c>
      <c r="K256" s="15" t="s">
        <v>53</v>
      </c>
      <c r="L256" s="6">
        <v>3</v>
      </c>
      <c r="M256" s="6">
        <v>0</v>
      </c>
      <c r="N256" s="6">
        <v>0</v>
      </c>
      <c r="O256" s="5">
        <v>0</v>
      </c>
      <c r="P256" s="5">
        <v>0</v>
      </c>
      <c r="Q256" s="5">
        <v>0</v>
      </c>
      <c r="R256" s="5">
        <v>0</v>
      </c>
      <c r="S256" s="5">
        <v>18</v>
      </c>
      <c r="T256" s="5">
        <v>16</v>
      </c>
      <c r="U256" s="6">
        <v>0</v>
      </c>
      <c r="V256" s="5">
        <v>10</v>
      </c>
      <c r="W256" s="5">
        <v>5</v>
      </c>
      <c r="X256" s="16">
        <v>2000</v>
      </c>
      <c r="Y256" s="16">
        <v>7000</v>
      </c>
      <c r="Z256" s="16">
        <v>14000</v>
      </c>
      <c r="AA256" s="12" t="str">
        <f t="shared" si="64"/>
        <v>1/120</v>
      </c>
      <c r="AB256" s="12" t="str">
        <f t="shared" si="65"/>
        <v>100,100,100,0,100,100</v>
      </c>
      <c r="AC256" s="12">
        <f t="shared" si="66"/>
        <v>2</v>
      </c>
      <c r="AD256" s="12" t="str">
        <f t="shared" si="67"/>
        <v>2000/7000/14000</v>
      </c>
      <c r="AE256" s="12" t="str">
        <f t="shared" si="68"/>
        <v/>
      </c>
      <c r="AF256" s="12" t="str">
        <f t="shared" si="69"/>
        <v/>
      </c>
      <c r="AG256" s="12" t="str">
        <f t="shared" si="70"/>
        <v>4/5/</v>
      </c>
      <c r="AH256" s="12" t="str">
        <f t="shared" si="71"/>
        <v>18/16/</v>
      </c>
      <c r="AI256" s="12" t="str">
        <f t="shared" si="72"/>
        <v>10/5</v>
      </c>
    </row>
    <row r="257" spans="1:35" s="8" customFormat="1" ht="21.95" customHeight="1">
      <c r="A257" s="9">
        <v>255</v>
      </c>
      <c r="B257" s="17">
        <v>255</v>
      </c>
      <c r="C257" s="6">
        <v>30</v>
      </c>
      <c r="D257" s="6">
        <v>0</v>
      </c>
      <c r="E257" s="5">
        <v>100</v>
      </c>
      <c r="F257" s="5">
        <v>100</v>
      </c>
      <c r="G257" s="5">
        <v>100</v>
      </c>
      <c r="H257" s="5">
        <v>100</v>
      </c>
      <c r="I257" s="5">
        <v>0</v>
      </c>
      <c r="J257" s="5">
        <v>100</v>
      </c>
      <c r="K257" s="15" t="s">
        <v>53</v>
      </c>
      <c r="L257" s="6">
        <v>3</v>
      </c>
      <c r="M257" s="6">
        <v>0</v>
      </c>
      <c r="N257" s="6">
        <v>0</v>
      </c>
      <c r="O257" s="5">
        <v>16</v>
      </c>
      <c r="P257" s="5">
        <v>0</v>
      </c>
      <c r="Q257" s="5">
        <v>0</v>
      </c>
      <c r="R257" s="5">
        <v>0</v>
      </c>
      <c r="S257" s="5">
        <v>0</v>
      </c>
      <c r="T257" s="5">
        <v>18</v>
      </c>
      <c r="U257" s="6">
        <v>0</v>
      </c>
      <c r="V257" s="5">
        <v>10</v>
      </c>
      <c r="W257" s="5">
        <v>5</v>
      </c>
      <c r="X257" s="16">
        <v>2000</v>
      </c>
      <c r="Y257" s="16">
        <v>7000</v>
      </c>
      <c r="Z257" s="16">
        <v>14000</v>
      </c>
      <c r="AA257" s="12" t="str">
        <f t="shared" si="64"/>
        <v>0/30</v>
      </c>
      <c r="AB257" s="12" t="str">
        <f t="shared" si="65"/>
        <v>100,100,100,100,0,100</v>
      </c>
      <c r="AC257" s="12">
        <f t="shared" si="66"/>
        <v>2</v>
      </c>
      <c r="AD257" s="12" t="str">
        <f t="shared" si="67"/>
        <v>2000/7000/14000</v>
      </c>
      <c r="AE257" s="12" t="str">
        <f t="shared" si="68"/>
        <v/>
      </c>
      <c r="AF257" s="12" t="str">
        <f t="shared" si="69"/>
        <v/>
      </c>
      <c r="AG257" s="12" t="str">
        <f t="shared" si="70"/>
        <v>0/5/</v>
      </c>
      <c r="AH257" s="12" t="str">
        <f t="shared" si="71"/>
        <v>16/18/</v>
      </c>
      <c r="AI257" s="12" t="str">
        <f t="shared" si="72"/>
        <v>10/5</v>
      </c>
    </row>
    <row r="258" spans="1:35" s="8" customFormat="1" ht="21.95" customHeight="1">
      <c r="A258" s="9">
        <v>256</v>
      </c>
      <c r="B258" s="17">
        <v>256</v>
      </c>
      <c r="C258" s="6">
        <v>30</v>
      </c>
      <c r="D258" s="6">
        <v>0</v>
      </c>
      <c r="E258" s="5">
        <v>100</v>
      </c>
      <c r="F258" s="5">
        <v>100</v>
      </c>
      <c r="G258" s="5">
        <v>100</v>
      </c>
      <c r="H258" s="5">
        <v>100</v>
      </c>
      <c r="I258" s="5">
        <v>100</v>
      </c>
      <c r="J258" s="5">
        <v>0</v>
      </c>
      <c r="K258" s="15" t="s">
        <v>52</v>
      </c>
      <c r="L258" s="6">
        <v>3</v>
      </c>
      <c r="M258" s="6">
        <v>6</v>
      </c>
      <c r="N258" s="6">
        <v>0</v>
      </c>
      <c r="O258" s="5">
        <v>0</v>
      </c>
      <c r="P258" s="5">
        <v>0</v>
      </c>
      <c r="Q258" s="5">
        <v>0</v>
      </c>
      <c r="R258" s="5">
        <v>0</v>
      </c>
      <c r="S258" s="5">
        <v>0</v>
      </c>
      <c r="T258" s="5">
        <v>0</v>
      </c>
      <c r="U258" s="6">
        <v>0</v>
      </c>
      <c r="V258" s="5">
        <v>10</v>
      </c>
      <c r="W258" s="5">
        <v>5</v>
      </c>
      <c r="X258" s="16">
        <v>2000</v>
      </c>
      <c r="Y258" s="16">
        <v>7000</v>
      </c>
      <c r="Z258" s="16">
        <v>14000</v>
      </c>
      <c r="AA258" s="12" t="str">
        <f t="shared" si="64"/>
        <v>0/30</v>
      </c>
      <c r="AB258" s="12" t="str">
        <f t="shared" si="65"/>
        <v>100,100,100,100,100,0</v>
      </c>
      <c r="AC258" s="12">
        <f t="shared" si="66"/>
        <v>1</v>
      </c>
      <c r="AD258" s="12" t="str">
        <f t="shared" si="67"/>
        <v>2000/7000/14000</v>
      </c>
      <c r="AE258" s="12" t="str">
        <f t="shared" si="68"/>
        <v>0/</v>
      </c>
      <c r="AF258" s="12" t="str">
        <f t="shared" si="69"/>
        <v>6/</v>
      </c>
      <c r="AG258" s="12" t="str">
        <f t="shared" si="70"/>
        <v/>
      </c>
      <c r="AH258" s="12" t="str">
        <f t="shared" si="71"/>
        <v/>
      </c>
      <c r="AI258" s="12" t="str">
        <f t="shared" si="72"/>
        <v>10/5</v>
      </c>
    </row>
    <row r="259" spans="1:35" s="8" customFormat="1" ht="21.95" customHeight="1">
      <c r="A259" s="9">
        <v>257</v>
      </c>
      <c r="B259" s="17">
        <v>257</v>
      </c>
      <c r="C259" s="6">
        <v>30</v>
      </c>
      <c r="D259" s="6">
        <v>0</v>
      </c>
      <c r="E259" s="5">
        <v>0</v>
      </c>
      <c r="F259" s="5">
        <v>100</v>
      </c>
      <c r="G259" s="5">
        <v>100</v>
      </c>
      <c r="H259" s="5">
        <v>100</v>
      </c>
      <c r="I259" s="5">
        <v>100</v>
      </c>
      <c r="J259" s="5">
        <v>100</v>
      </c>
      <c r="K259" s="15" t="s">
        <v>52</v>
      </c>
      <c r="L259" s="6">
        <v>3</v>
      </c>
      <c r="M259" s="6">
        <v>0</v>
      </c>
      <c r="N259" s="6">
        <v>6</v>
      </c>
      <c r="O259" s="5">
        <v>0</v>
      </c>
      <c r="P259" s="5">
        <v>0</v>
      </c>
      <c r="Q259" s="5">
        <v>0</v>
      </c>
      <c r="R259" s="5">
        <v>0</v>
      </c>
      <c r="S259" s="5">
        <v>0</v>
      </c>
      <c r="T259" s="5">
        <v>0</v>
      </c>
      <c r="U259" s="6">
        <v>0</v>
      </c>
      <c r="V259" s="5">
        <v>10</v>
      </c>
      <c r="W259" s="5">
        <v>5</v>
      </c>
      <c r="X259" s="16">
        <v>2000</v>
      </c>
      <c r="Y259" s="16">
        <v>7000</v>
      </c>
      <c r="Z259" s="16">
        <v>14000</v>
      </c>
      <c r="AA259" s="12" t="str">
        <f t="shared" si="64"/>
        <v>0/30</v>
      </c>
      <c r="AB259" s="12" t="str">
        <f t="shared" si="65"/>
        <v>0,100,100,100,100,100</v>
      </c>
      <c r="AC259" s="12">
        <f t="shared" si="66"/>
        <v>1</v>
      </c>
      <c r="AD259" s="12" t="str">
        <f t="shared" si="67"/>
        <v>2000/7000/14000</v>
      </c>
      <c r="AE259" s="12" t="str">
        <f t="shared" si="68"/>
        <v>1/</v>
      </c>
      <c r="AF259" s="12" t="str">
        <f t="shared" si="69"/>
        <v>6/</v>
      </c>
      <c r="AG259" s="12" t="str">
        <f t="shared" si="70"/>
        <v/>
      </c>
      <c r="AH259" s="12" t="str">
        <f t="shared" si="71"/>
        <v/>
      </c>
      <c r="AI259" s="12" t="str">
        <f t="shared" si="72"/>
        <v>10/5</v>
      </c>
    </row>
    <row r="260" spans="1:35" s="8" customFormat="1" ht="21.95" customHeight="1">
      <c r="A260" s="9">
        <v>258</v>
      </c>
      <c r="B260" s="17">
        <v>258</v>
      </c>
      <c r="C260" s="6">
        <v>0</v>
      </c>
      <c r="D260" s="6">
        <v>120</v>
      </c>
      <c r="E260" s="5">
        <v>100</v>
      </c>
      <c r="F260" s="5">
        <v>0</v>
      </c>
      <c r="G260" s="5">
        <v>100</v>
      </c>
      <c r="H260" s="5">
        <v>100</v>
      </c>
      <c r="I260" s="5">
        <v>100</v>
      </c>
      <c r="J260" s="5">
        <v>100</v>
      </c>
      <c r="K260" s="15" t="s">
        <v>54</v>
      </c>
      <c r="L260" s="6">
        <v>3</v>
      </c>
      <c r="M260" s="6">
        <v>0</v>
      </c>
      <c r="N260" s="6">
        <v>0</v>
      </c>
      <c r="O260" s="5">
        <v>0</v>
      </c>
      <c r="P260" s="5">
        <v>0</v>
      </c>
      <c r="Q260" s="5">
        <v>0</v>
      </c>
      <c r="R260" s="5">
        <v>0</v>
      </c>
      <c r="S260" s="5">
        <v>0</v>
      </c>
      <c r="T260" s="5">
        <v>0</v>
      </c>
      <c r="U260" s="6">
        <v>0</v>
      </c>
      <c r="V260" s="5">
        <v>10</v>
      </c>
      <c r="W260" s="5">
        <v>5</v>
      </c>
      <c r="X260" s="16">
        <v>2000</v>
      </c>
      <c r="Y260" s="16">
        <v>7000</v>
      </c>
      <c r="Z260" s="16">
        <v>14000</v>
      </c>
      <c r="AA260" s="12" t="str">
        <f t="shared" si="64"/>
        <v>1/120</v>
      </c>
      <c r="AB260" s="12" t="str">
        <f t="shared" si="65"/>
        <v>100,0,100,100,100,100</v>
      </c>
      <c r="AC260" s="12">
        <f t="shared" si="66"/>
        <v>3</v>
      </c>
      <c r="AD260" s="12" t="str">
        <f t="shared" si="67"/>
        <v>2000/7000/14000</v>
      </c>
      <c r="AE260" s="12" t="str">
        <f t="shared" si="68"/>
        <v/>
      </c>
      <c r="AF260" s="12" t="str">
        <f t="shared" si="69"/>
        <v/>
      </c>
      <c r="AG260" s="12" t="str">
        <f t="shared" si="70"/>
        <v/>
      </c>
      <c r="AH260" s="12" t="str">
        <f t="shared" si="71"/>
        <v/>
      </c>
      <c r="AI260" s="12" t="str">
        <f t="shared" si="72"/>
        <v>10/5</v>
      </c>
    </row>
    <row r="261" spans="1:35" s="8" customFormat="1" ht="21.95" customHeight="1">
      <c r="A261" s="9">
        <v>259</v>
      </c>
      <c r="B261" s="17">
        <v>259</v>
      </c>
      <c r="C261" s="6">
        <v>0</v>
      </c>
      <c r="D261" s="6">
        <v>120</v>
      </c>
      <c r="E261" s="5">
        <v>100</v>
      </c>
      <c r="F261" s="5">
        <v>100</v>
      </c>
      <c r="G261" s="5">
        <v>0</v>
      </c>
      <c r="H261" s="5">
        <v>100</v>
      </c>
      <c r="I261" s="5">
        <v>100</v>
      </c>
      <c r="J261" s="5">
        <v>100</v>
      </c>
      <c r="K261" s="15" t="s">
        <v>54</v>
      </c>
      <c r="L261" s="6">
        <v>3</v>
      </c>
      <c r="M261" s="6">
        <v>0</v>
      </c>
      <c r="N261" s="6">
        <v>0</v>
      </c>
      <c r="O261" s="5">
        <v>0</v>
      </c>
      <c r="P261" s="5">
        <v>0</v>
      </c>
      <c r="Q261" s="5">
        <v>0</v>
      </c>
      <c r="R261" s="5">
        <v>0</v>
      </c>
      <c r="S261" s="5">
        <v>0</v>
      </c>
      <c r="T261" s="5">
        <v>0</v>
      </c>
      <c r="U261" s="6">
        <v>0</v>
      </c>
      <c r="V261" s="5">
        <v>10</v>
      </c>
      <c r="W261" s="5">
        <v>5</v>
      </c>
      <c r="X261" s="16">
        <v>2000</v>
      </c>
      <c r="Y261" s="16">
        <v>7000</v>
      </c>
      <c r="Z261" s="16">
        <v>14000</v>
      </c>
      <c r="AA261" s="12" t="str">
        <f t="shared" si="64"/>
        <v>1/120</v>
      </c>
      <c r="AB261" s="12" t="str">
        <f t="shared" si="65"/>
        <v>100,100,0,100,100,100</v>
      </c>
      <c r="AC261" s="12">
        <f t="shared" si="66"/>
        <v>3</v>
      </c>
      <c r="AD261" s="12" t="str">
        <f t="shared" si="67"/>
        <v>2000/7000/14000</v>
      </c>
      <c r="AE261" s="12" t="str">
        <f t="shared" si="68"/>
        <v/>
      </c>
      <c r="AF261" s="12" t="str">
        <f t="shared" si="69"/>
        <v/>
      </c>
      <c r="AG261" s="12" t="str">
        <f t="shared" si="70"/>
        <v/>
      </c>
      <c r="AH261" s="12" t="str">
        <f t="shared" si="71"/>
        <v/>
      </c>
      <c r="AI261" s="12" t="str">
        <f t="shared" si="72"/>
        <v>10/5</v>
      </c>
    </row>
    <row r="262" spans="1:35" s="8" customFormat="1" ht="21.95" customHeight="1">
      <c r="A262" s="9">
        <v>260</v>
      </c>
      <c r="B262" s="17">
        <v>260</v>
      </c>
      <c r="C262" s="6">
        <v>30</v>
      </c>
      <c r="D262" s="6">
        <v>0</v>
      </c>
      <c r="E262" s="5">
        <v>100</v>
      </c>
      <c r="F262" s="5">
        <v>100</v>
      </c>
      <c r="G262" s="5">
        <v>100</v>
      </c>
      <c r="H262" s="5">
        <v>0</v>
      </c>
      <c r="I262" s="5">
        <v>100</v>
      </c>
      <c r="J262" s="5">
        <v>100</v>
      </c>
      <c r="K262" s="15" t="s">
        <v>55</v>
      </c>
      <c r="L262" s="6">
        <v>3</v>
      </c>
      <c r="M262" s="6">
        <v>0</v>
      </c>
      <c r="N262" s="6">
        <v>0</v>
      </c>
      <c r="O262" s="5">
        <v>0</v>
      </c>
      <c r="P262" s="5">
        <v>0</v>
      </c>
      <c r="Q262" s="5">
        <v>0</v>
      </c>
      <c r="R262" s="5">
        <v>0</v>
      </c>
      <c r="S262" s="5">
        <v>0</v>
      </c>
      <c r="T262" s="5">
        <v>0</v>
      </c>
      <c r="U262" s="6">
        <v>5</v>
      </c>
      <c r="V262" s="5">
        <v>10</v>
      </c>
      <c r="W262" s="5">
        <v>5</v>
      </c>
      <c r="X262" s="16">
        <v>2000</v>
      </c>
      <c r="Y262" s="16">
        <v>7000</v>
      </c>
      <c r="Z262" s="16">
        <v>14000</v>
      </c>
      <c r="AA262" s="12" t="str">
        <f t="shared" si="64"/>
        <v>0/30</v>
      </c>
      <c r="AB262" s="12" t="str">
        <f t="shared" si="65"/>
        <v>100,100,100,0,100,100</v>
      </c>
      <c r="AC262" s="12">
        <f t="shared" si="66"/>
        <v>4</v>
      </c>
      <c r="AD262" s="12" t="str">
        <f t="shared" si="67"/>
        <v>2000/7000/14000</v>
      </c>
      <c r="AE262" s="12" t="str">
        <f t="shared" si="68"/>
        <v/>
      </c>
      <c r="AF262" s="12" t="str">
        <f t="shared" si="69"/>
        <v/>
      </c>
      <c r="AG262" s="12" t="str">
        <f t="shared" si="70"/>
        <v/>
      </c>
      <c r="AH262" s="12" t="str">
        <f t="shared" si="71"/>
        <v/>
      </c>
      <c r="AI262" s="12" t="str">
        <f t="shared" si="72"/>
        <v>10/5</v>
      </c>
    </row>
    <row r="263" spans="1:35" s="8" customFormat="1" ht="21.95" customHeight="1">
      <c r="A263" s="9">
        <v>261</v>
      </c>
      <c r="B263" s="17">
        <v>261</v>
      </c>
      <c r="C263" s="6">
        <v>30</v>
      </c>
      <c r="D263" s="6">
        <v>0</v>
      </c>
      <c r="E263" s="5">
        <v>100</v>
      </c>
      <c r="F263" s="5">
        <v>100</v>
      </c>
      <c r="G263" s="5">
        <v>100</v>
      </c>
      <c r="H263" s="5">
        <v>100</v>
      </c>
      <c r="I263" s="5">
        <v>0</v>
      </c>
      <c r="J263" s="5">
        <v>100</v>
      </c>
      <c r="K263" s="15" t="s">
        <v>55</v>
      </c>
      <c r="L263" s="6">
        <v>3</v>
      </c>
      <c r="M263" s="6">
        <v>0</v>
      </c>
      <c r="N263" s="6">
        <v>0</v>
      </c>
      <c r="O263" s="5">
        <v>0</v>
      </c>
      <c r="P263" s="5">
        <v>0</v>
      </c>
      <c r="Q263" s="5">
        <v>0</v>
      </c>
      <c r="R263" s="5">
        <v>0</v>
      </c>
      <c r="S263" s="5">
        <v>0</v>
      </c>
      <c r="T263" s="5">
        <v>0</v>
      </c>
      <c r="U263" s="6">
        <v>5</v>
      </c>
      <c r="V263" s="5">
        <v>10</v>
      </c>
      <c r="W263" s="5">
        <v>5</v>
      </c>
      <c r="X263" s="16">
        <v>2000</v>
      </c>
      <c r="Y263" s="16">
        <v>7000</v>
      </c>
      <c r="Z263" s="16">
        <v>14000</v>
      </c>
      <c r="AA263" s="12" t="str">
        <f t="shared" si="64"/>
        <v>0/30</v>
      </c>
      <c r="AB263" s="12" t="str">
        <f t="shared" si="65"/>
        <v>100,100,100,100,0,100</v>
      </c>
      <c r="AC263" s="12">
        <f t="shared" si="66"/>
        <v>4</v>
      </c>
      <c r="AD263" s="12" t="str">
        <f t="shared" si="67"/>
        <v>2000/7000/14000</v>
      </c>
      <c r="AE263" s="12" t="str">
        <f t="shared" si="68"/>
        <v/>
      </c>
      <c r="AF263" s="12" t="str">
        <f t="shared" si="69"/>
        <v/>
      </c>
      <c r="AG263" s="12" t="str">
        <f t="shared" si="70"/>
        <v/>
      </c>
      <c r="AH263" s="12" t="str">
        <f t="shared" si="71"/>
        <v/>
      </c>
      <c r="AI263" s="12" t="str">
        <f t="shared" si="72"/>
        <v>10/5</v>
      </c>
    </row>
    <row r="264" spans="1:35" s="8" customFormat="1" ht="21.95" customHeight="1">
      <c r="A264" s="9">
        <v>262</v>
      </c>
      <c r="B264" s="17">
        <v>262</v>
      </c>
      <c r="C264" s="6">
        <v>30</v>
      </c>
      <c r="D264" s="6">
        <v>0</v>
      </c>
      <c r="E264" s="5">
        <v>100</v>
      </c>
      <c r="F264" s="5">
        <v>100</v>
      </c>
      <c r="G264" s="5">
        <v>100</v>
      </c>
      <c r="H264" s="5">
        <v>100</v>
      </c>
      <c r="I264" s="5">
        <v>100</v>
      </c>
      <c r="J264" s="5">
        <v>0</v>
      </c>
      <c r="K264" s="15" t="s">
        <v>56</v>
      </c>
      <c r="L264" s="6">
        <v>3</v>
      </c>
      <c r="M264" s="6">
        <v>0</v>
      </c>
      <c r="N264" s="6">
        <v>0</v>
      </c>
      <c r="O264" s="5">
        <v>0</v>
      </c>
      <c r="P264" s="5">
        <v>0</v>
      </c>
      <c r="Q264" s="5">
        <v>0</v>
      </c>
      <c r="R264" s="5">
        <v>0</v>
      </c>
      <c r="S264" s="5">
        <v>0</v>
      </c>
      <c r="T264" s="5">
        <v>0</v>
      </c>
      <c r="U264" s="6">
        <v>0</v>
      </c>
      <c r="V264" s="5">
        <v>10</v>
      </c>
      <c r="W264" s="5">
        <v>5</v>
      </c>
      <c r="X264" s="16">
        <v>2000</v>
      </c>
      <c r="Y264" s="16">
        <v>7000</v>
      </c>
      <c r="Z264" s="16">
        <v>14000</v>
      </c>
      <c r="AA264" s="12" t="str">
        <f t="shared" si="64"/>
        <v>0/30</v>
      </c>
      <c r="AB264" s="12" t="str">
        <f t="shared" si="65"/>
        <v>100,100,100,100,100,0</v>
      </c>
      <c r="AC264" s="12">
        <f t="shared" si="66"/>
        <v>5</v>
      </c>
      <c r="AD264" s="12" t="str">
        <f t="shared" si="67"/>
        <v>2000/7000/14000</v>
      </c>
      <c r="AE264" s="12" t="str">
        <f t="shared" si="68"/>
        <v/>
      </c>
      <c r="AF264" s="12" t="str">
        <f t="shared" si="69"/>
        <v/>
      </c>
      <c r="AG264" s="12" t="str">
        <f t="shared" si="70"/>
        <v/>
      </c>
      <c r="AH264" s="12" t="str">
        <f t="shared" si="71"/>
        <v/>
      </c>
      <c r="AI264" s="12" t="str">
        <f t="shared" si="72"/>
        <v>10/5</v>
      </c>
    </row>
    <row r="265" spans="1:35" s="8" customFormat="1" ht="21.95" customHeight="1">
      <c r="A265" s="9">
        <v>263</v>
      </c>
      <c r="B265" s="17">
        <v>263</v>
      </c>
      <c r="C265" s="6">
        <v>30</v>
      </c>
      <c r="D265" s="6">
        <v>0</v>
      </c>
      <c r="E265" s="5">
        <v>0</v>
      </c>
      <c r="F265" s="5">
        <v>100</v>
      </c>
      <c r="G265" s="5">
        <v>100</v>
      </c>
      <c r="H265" s="5">
        <v>100</v>
      </c>
      <c r="I265" s="5">
        <v>100</v>
      </c>
      <c r="J265" s="5">
        <v>100</v>
      </c>
      <c r="K265" s="15" t="s">
        <v>56</v>
      </c>
      <c r="L265" s="6">
        <v>3</v>
      </c>
      <c r="M265" s="6">
        <v>0</v>
      </c>
      <c r="N265" s="6">
        <v>0</v>
      </c>
      <c r="O265" s="5">
        <v>0</v>
      </c>
      <c r="P265" s="5">
        <v>0</v>
      </c>
      <c r="Q265" s="5">
        <v>0</v>
      </c>
      <c r="R265" s="5">
        <v>0</v>
      </c>
      <c r="S265" s="5">
        <v>0</v>
      </c>
      <c r="T265" s="5">
        <v>0</v>
      </c>
      <c r="U265" s="6">
        <v>0</v>
      </c>
      <c r="V265" s="5">
        <v>10</v>
      </c>
      <c r="W265" s="5">
        <v>5</v>
      </c>
      <c r="X265" s="16">
        <v>2000</v>
      </c>
      <c r="Y265" s="16">
        <v>7000</v>
      </c>
      <c r="Z265" s="16">
        <v>14000</v>
      </c>
      <c r="AA265" s="12" t="str">
        <f t="shared" si="64"/>
        <v>0/30</v>
      </c>
      <c r="AB265" s="12" t="str">
        <f t="shared" si="65"/>
        <v>0,100,100,100,100,100</v>
      </c>
      <c r="AC265" s="12">
        <f t="shared" si="66"/>
        <v>5</v>
      </c>
      <c r="AD265" s="12" t="str">
        <f t="shared" si="67"/>
        <v>2000/7000/14000</v>
      </c>
      <c r="AE265" s="12" t="str">
        <f t="shared" si="68"/>
        <v/>
      </c>
      <c r="AF265" s="12" t="str">
        <f t="shared" si="69"/>
        <v/>
      </c>
      <c r="AG265" s="12" t="str">
        <f t="shared" si="70"/>
        <v/>
      </c>
      <c r="AH265" s="12" t="str">
        <f t="shared" si="71"/>
        <v/>
      </c>
      <c r="AI265" s="12" t="str">
        <f t="shared" si="72"/>
        <v>10/5</v>
      </c>
    </row>
    <row r="266" spans="1:35" s="8" customFormat="1" ht="21.95" customHeight="1">
      <c r="A266" s="9">
        <v>264</v>
      </c>
      <c r="B266" s="17">
        <v>264</v>
      </c>
      <c r="C266" s="6">
        <v>30</v>
      </c>
      <c r="D266" s="6">
        <v>0</v>
      </c>
      <c r="E266" s="5">
        <v>100</v>
      </c>
      <c r="F266" s="5">
        <v>0</v>
      </c>
      <c r="G266" s="5">
        <v>100</v>
      </c>
      <c r="H266" s="5">
        <v>100</v>
      </c>
      <c r="I266" s="5">
        <v>100</v>
      </c>
      <c r="J266" s="5">
        <v>100</v>
      </c>
      <c r="K266" s="15" t="s">
        <v>53</v>
      </c>
      <c r="L266" s="6">
        <v>3</v>
      </c>
      <c r="M266" s="6">
        <v>0</v>
      </c>
      <c r="N266" s="6">
        <v>0</v>
      </c>
      <c r="O266" s="5">
        <v>0</v>
      </c>
      <c r="P266" s="5">
        <v>0</v>
      </c>
      <c r="Q266" s="5">
        <v>20</v>
      </c>
      <c r="R266" s="5">
        <v>24</v>
      </c>
      <c r="S266" s="5">
        <v>0</v>
      </c>
      <c r="T266" s="5">
        <v>0</v>
      </c>
      <c r="U266" s="6">
        <v>0</v>
      </c>
      <c r="V266" s="5">
        <v>10</v>
      </c>
      <c r="W266" s="5">
        <v>5</v>
      </c>
      <c r="X266" s="16">
        <v>2000</v>
      </c>
      <c r="Y266" s="16">
        <v>7000</v>
      </c>
      <c r="Z266" s="16">
        <v>14000</v>
      </c>
      <c r="AA266" s="12" t="str">
        <f t="shared" si="64"/>
        <v>0/30</v>
      </c>
      <c r="AB266" s="12" t="str">
        <f t="shared" si="65"/>
        <v>100,0,100,100,100,100</v>
      </c>
      <c r="AC266" s="12">
        <f t="shared" si="66"/>
        <v>2</v>
      </c>
      <c r="AD266" s="12" t="str">
        <f t="shared" si="67"/>
        <v>2000/7000/14000</v>
      </c>
      <c r="AE266" s="12" t="str">
        <f t="shared" si="68"/>
        <v/>
      </c>
      <c r="AF266" s="12" t="str">
        <f t="shared" si="69"/>
        <v/>
      </c>
      <c r="AG266" s="12" t="str">
        <f t="shared" si="70"/>
        <v>2/3/</v>
      </c>
      <c r="AH266" s="12" t="str">
        <f t="shared" si="71"/>
        <v>20/24/</v>
      </c>
      <c r="AI266" s="12" t="str">
        <f t="shared" si="72"/>
        <v>10/5</v>
      </c>
    </row>
    <row r="267" spans="1:35" s="8" customFormat="1" ht="21.95" customHeight="1">
      <c r="A267" s="9">
        <v>265</v>
      </c>
      <c r="B267" s="17">
        <v>265</v>
      </c>
      <c r="C267" s="6">
        <v>30</v>
      </c>
      <c r="D267" s="6">
        <v>0</v>
      </c>
      <c r="E267" s="5">
        <v>100</v>
      </c>
      <c r="F267" s="5">
        <v>100</v>
      </c>
      <c r="G267" s="5">
        <v>0</v>
      </c>
      <c r="H267" s="5">
        <v>100</v>
      </c>
      <c r="I267" s="5">
        <v>100</v>
      </c>
      <c r="J267" s="5">
        <v>100</v>
      </c>
      <c r="K267" s="15" t="s">
        <v>53</v>
      </c>
      <c r="L267" s="6">
        <v>3</v>
      </c>
      <c r="M267" s="6">
        <v>0</v>
      </c>
      <c r="N267" s="6">
        <v>0</v>
      </c>
      <c r="O267" s="5">
        <v>0</v>
      </c>
      <c r="P267" s="5">
        <v>0</v>
      </c>
      <c r="Q267" s="5">
        <v>0</v>
      </c>
      <c r="R267" s="5">
        <v>18</v>
      </c>
      <c r="S267" s="5">
        <v>32</v>
      </c>
      <c r="T267" s="5">
        <v>0</v>
      </c>
      <c r="U267" s="6">
        <v>0</v>
      </c>
      <c r="V267" s="5">
        <v>10</v>
      </c>
      <c r="W267" s="5">
        <v>5</v>
      </c>
      <c r="X267" s="16">
        <v>2000</v>
      </c>
      <c r="Y267" s="16">
        <v>7000</v>
      </c>
      <c r="Z267" s="16">
        <v>14000</v>
      </c>
      <c r="AA267" s="12" t="str">
        <f t="shared" si="64"/>
        <v>0/30</v>
      </c>
      <c r="AB267" s="12" t="str">
        <f t="shared" si="65"/>
        <v>100,100,0,100,100,100</v>
      </c>
      <c r="AC267" s="12">
        <f t="shared" si="66"/>
        <v>2</v>
      </c>
      <c r="AD267" s="12" t="str">
        <f t="shared" si="67"/>
        <v>2000/7000/14000</v>
      </c>
      <c r="AE267" s="12" t="str">
        <f t="shared" si="68"/>
        <v/>
      </c>
      <c r="AF267" s="12" t="str">
        <f t="shared" si="69"/>
        <v/>
      </c>
      <c r="AG267" s="12" t="str">
        <f t="shared" si="70"/>
        <v>3/4/</v>
      </c>
      <c r="AH267" s="12" t="str">
        <f t="shared" si="71"/>
        <v>18/32/</v>
      </c>
      <c r="AI267" s="12" t="str">
        <f t="shared" si="72"/>
        <v>10/5</v>
      </c>
    </row>
    <row r="268" spans="1:35" s="8" customFormat="1" ht="21.95" customHeight="1">
      <c r="A268" s="9">
        <v>266</v>
      </c>
      <c r="B268" s="17">
        <v>266</v>
      </c>
      <c r="C268" s="6">
        <v>0</v>
      </c>
      <c r="D268" s="6">
        <v>120</v>
      </c>
      <c r="E268" s="5">
        <v>100</v>
      </c>
      <c r="F268" s="5">
        <v>100</v>
      </c>
      <c r="G268" s="5">
        <v>100</v>
      </c>
      <c r="H268" s="5">
        <v>0</v>
      </c>
      <c r="I268" s="5">
        <v>100</v>
      </c>
      <c r="J268" s="5">
        <v>100</v>
      </c>
      <c r="K268" s="15" t="s">
        <v>52</v>
      </c>
      <c r="L268" s="6">
        <v>3</v>
      </c>
      <c r="M268" s="6">
        <v>6</v>
      </c>
      <c r="N268" s="6">
        <v>0</v>
      </c>
      <c r="O268" s="5">
        <v>0</v>
      </c>
      <c r="P268" s="5">
        <v>0</v>
      </c>
      <c r="Q268" s="5">
        <v>0</v>
      </c>
      <c r="R268" s="5">
        <v>0</v>
      </c>
      <c r="S268" s="5">
        <v>0</v>
      </c>
      <c r="T268" s="5">
        <v>0</v>
      </c>
      <c r="U268" s="6">
        <v>0</v>
      </c>
      <c r="V268" s="5">
        <v>10</v>
      </c>
      <c r="W268" s="5">
        <v>5</v>
      </c>
      <c r="X268" s="16">
        <v>2000</v>
      </c>
      <c r="Y268" s="16">
        <v>7000</v>
      </c>
      <c r="Z268" s="16">
        <v>14000</v>
      </c>
      <c r="AA268" s="12" t="str">
        <f t="shared" si="64"/>
        <v>1/120</v>
      </c>
      <c r="AB268" s="12" t="str">
        <f t="shared" si="65"/>
        <v>100,100,100,0,100,100</v>
      </c>
      <c r="AC268" s="12">
        <f t="shared" si="66"/>
        <v>1</v>
      </c>
      <c r="AD268" s="12" t="str">
        <f t="shared" si="67"/>
        <v>2000/7000/14000</v>
      </c>
      <c r="AE268" s="12" t="str">
        <f t="shared" si="68"/>
        <v>0/</v>
      </c>
      <c r="AF268" s="12" t="str">
        <f t="shared" si="69"/>
        <v>6/</v>
      </c>
      <c r="AG268" s="12" t="str">
        <f t="shared" si="70"/>
        <v/>
      </c>
      <c r="AH268" s="12" t="str">
        <f t="shared" si="71"/>
        <v/>
      </c>
      <c r="AI268" s="12" t="str">
        <f t="shared" si="72"/>
        <v>10/5</v>
      </c>
    </row>
    <row r="269" spans="1:35" s="8" customFormat="1" ht="21.95" customHeight="1">
      <c r="A269" s="9">
        <v>267</v>
      </c>
      <c r="B269" s="17">
        <v>267</v>
      </c>
      <c r="C269" s="6">
        <v>0</v>
      </c>
      <c r="D269" s="6">
        <v>120</v>
      </c>
      <c r="E269" s="5">
        <v>100</v>
      </c>
      <c r="F269" s="5">
        <v>100</v>
      </c>
      <c r="G269" s="5">
        <v>100</v>
      </c>
      <c r="H269" s="5">
        <v>100</v>
      </c>
      <c r="I269" s="5">
        <v>0</v>
      </c>
      <c r="J269" s="5">
        <v>100</v>
      </c>
      <c r="K269" s="15" t="s">
        <v>52</v>
      </c>
      <c r="L269" s="6">
        <v>3</v>
      </c>
      <c r="M269" s="6">
        <v>2</v>
      </c>
      <c r="N269" s="6">
        <v>4</v>
      </c>
      <c r="O269" s="5">
        <v>0</v>
      </c>
      <c r="P269" s="5">
        <v>0</v>
      </c>
      <c r="Q269" s="5">
        <v>0</v>
      </c>
      <c r="R269" s="5">
        <v>0</v>
      </c>
      <c r="S269" s="5">
        <v>0</v>
      </c>
      <c r="T269" s="5">
        <v>0</v>
      </c>
      <c r="U269" s="6">
        <v>0</v>
      </c>
      <c r="V269" s="5">
        <v>10</v>
      </c>
      <c r="W269" s="5">
        <v>5</v>
      </c>
      <c r="X269" s="16">
        <v>2000</v>
      </c>
      <c r="Y269" s="16">
        <v>7000</v>
      </c>
      <c r="Z269" s="16">
        <v>14000</v>
      </c>
      <c r="AA269" s="12" t="str">
        <f t="shared" si="64"/>
        <v>1/120</v>
      </c>
      <c r="AB269" s="12" t="str">
        <f t="shared" si="65"/>
        <v>100,100,100,100,0,100</v>
      </c>
      <c r="AC269" s="12">
        <f t="shared" si="66"/>
        <v>1</v>
      </c>
      <c r="AD269" s="12" t="str">
        <f t="shared" si="67"/>
        <v>2000/7000/14000</v>
      </c>
      <c r="AE269" s="12" t="str">
        <f t="shared" si="68"/>
        <v>0/1/</v>
      </c>
      <c r="AF269" s="12" t="str">
        <f t="shared" si="69"/>
        <v>2/4/</v>
      </c>
      <c r="AG269" s="12" t="str">
        <f t="shared" si="70"/>
        <v/>
      </c>
      <c r="AH269" s="12" t="str">
        <f t="shared" si="71"/>
        <v/>
      </c>
      <c r="AI269" s="12" t="str">
        <f t="shared" si="72"/>
        <v>10/5</v>
      </c>
    </row>
    <row r="270" spans="1:35" s="8" customFormat="1" ht="21.95" customHeight="1">
      <c r="A270" s="9">
        <v>268</v>
      </c>
      <c r="B270" s="17">
        <v>268</v>
      </c>
      <c r="C270" s="6">
        <v>30</v>
      </c>
      <c r="D270" s="6">
        <v>0</v>
      </c>
      <c r="E270" s="5">
        <v>100</v>
      </c>
      <c r="F270" s="5">
        <v>100</v>
      </c>
      <c r="G270" s="5">
        <v>100</v>
      </c>
      <c r="H270" s="5">
        <v>100</v>
      </c>
      <c r="I270" s="5">
        <v>100</v>
      </c>
      <c r="J270" s="5">
        <v>0</v>
      </c>
      <c r="K270" s="15" t="s">
        <v>54</v>
      </c>
      <c r="L270" s="6">
        <v>3</v>
      </c>
      <c r="M270" s="6">
        <v>0</v>
      </c>
      <c r="N270" s="6">
        <v>0</v>
      </c>
      <c r="O270" s="5">
        <v>0</v>
      </c>
      <c r="P270" s="5">
        <v>0</v>
      </c>
      <c r="Q270" s="5">
        <v>0</v>
      </c>
      <c r="R270" s="5">
        <v>0</v>
      </c>
      <c r="S270" s="5">
        <v>0</v>
      </c>
      <c r="T270" s="5">
        <v>0</v>
      </c>
      <c r="U270" s="6">
        <v>0</v>
      </c>
      <c r="V270" s="5">
        <v>10</v>
      </c>
      <c r="W270" s="5">
        <v>5</v>
      </c>
      <c r="X270" s="16">
        <v>2000</v>
      </c>
      <c r="Y270" s="16">
        <v>7000</v>
      </c>
      <c r="Z270" s="16">
        <v>14000</v>
      </c>
      <c r="AA270" s="12" t="str">
        <f t="shared" si="64"/>
        <v>0/30</v>
      </c>
      <c r="AB270" s="12" t="str">
        <f t="shared" si="65"/>
        <v>100,100,100,100,100,0</v>
      </c>
      <c r="AC270" s="12">
        <f t="shared" si="66"/>
        <v>3</v>
      </c>
      <c r="AD270" s="12" t="str">
        <f t="shared" si="67"/>
        <v>2000/7000/14000</v>
      </c>
      <c r="AE270" s="12" t="str">
        <f t="shared" si="68"/>
        <v/>
      </c>
      <c r="AF270" s="12" t="str">
        <f t="shared" si="69"/>
        <v/>
      </c>
      <c r="AG270" s="12" t="str">
        <f t="shared" si="70"/>
        <v/>
      </c>
      <c r="AH270" s="12" t="str">
        <f t="shared" si="71"/>
        <v/>
      </c>
      <c r="AI270" s="12" t="str">
        <f t="shared" si="72"/>
        <v>10/5</v>
      </c>
    </row>
    <row r="271" spans="1:35" s="8" customFormat="1" ht="21.95" customHeight="1">
      <c r="A271" s="9">
        <v>269</v>
      </c>
      <c r="B271" s="17">
        <v>269</v>
      </c>
      <c r="C271" s="6">
        <v>30</v>
      </c>
      <c r="D271" s="6">
        <v>0</v>
      </c>
      <c r="E271" s="5">
        <v>0</v>
      </c>
      <c r="F271" s="5">
        <v>100</v>
      </c>
      <c r="G271" s="5">
        <v>100</v>
      </c>
      <c r="H271" s="5">
        <v>100</v>
      </c>
      <c r="I271" s="5">
        <v>100</v>
      </c>
      <c r="J271" s="5">
        <v>100</v>
      </c>
      <c r="K271" s="15" t="s">
        <v>54</v>
      </c>
      <c r="L271" s="6">
        <v>3</v>
      </c>
      <c r="M271" s="6">
        <v>0</v>
      </c>
      <c r="N271" s="6">
        <v>0</v>
      </c>
      <c r="O271" s="5">
        <v>0</v>
      </c>
      <c r="P271" s="5">
        <v>0</v>
      </c>
      <c r="Q271" s="5">
        <v>0</v>
      </c>
      <c r="R271" s="5">
        <v>0</v>
      </c>
      <c r="S271" s="5">
        <v>0</v>
      </c>
      <c r="T271" s="5">
        <v>0</v>
      </c>
      <c r="U271" s="6">
        <v>0</v>
      </c>
      <c r="V271" s="5">
        <v>10</v>
      </c>
      <c r="W271" s="5">
        <v>5</v>
      </c>
      <c r="X271" s="16">
        <v>2000</v>
      </c>
      <c r="Y271" s="16">
        <v>7000</v>
      </c>
      <c r="Z271" s="16">
        <v>14000</v>
      </c>
      <c r="AA271" s="12" t="str">
        <f t="shared" si="64"/>
        <v>0/30</v>
      </c>
      <c r="AB271" s="12" t="str">
        <f t="shared" si="65"/>
        <v>0,100,100,100,100,100</v>
      </c>
      <c r="AC271" s="12">
        <f t="shared" si="66"/>
        <v>3</v>
      </c>
      <c r="AD271" s="12" t="str">
        <f t="shared" si="67"/>
        <v>2000/7000/14000</v>
      </c>
      <c r="AE271" s="12" t="str">
        <f t="shared" si="68"/>
        <v/>
      </c>
      <c r="AF271" s="12" t="str">
        <f t="shared" si="69"/>
        <v/>
      </c>
      <c r="AG271" s="12" t="str">
        <f t="shared" si="70"/>
        <v/>
      </c>
      <c r="AH271" s="12" t="str">
        <f t="shared" si="71"/>
        <v/>
      </c>
      <c r="AI271" s="12" t="str">
        <f t="shared" si="72"/>
        <v>10/5</v>
      </c>
    </row>
    <row r="272" spans="1:35" s="8" customFormat="1" ht="21.95" customHeight="1">
      <c r="A272" s="9">
        <v>270</v>
      </c>
      <c r="B272" s="17">
        <v>270</v>
      </c>
      <c r="C272" s="6">
        <v>30</v>
      </c>
      <c r="D272" s="6">
        <v>0</v>
      </c>
      <c r="E272" s="5">
        <v>100</v>
      </c>
      <c r="F272" s="5">
        <v>0</v>
      </c>
      <c r="G272" s="5">
        <v>100</v>
      </c>
      <c r="H272" s="5">
        <v>100</v>
      </c>
      <c r="I272" s="5">
        <v>100</v>
      </c>
      <c r="J272" s="5">
        <v>100</v>
      </c>
      <c r="K272" s="15" t="s">
        <v>55</v>
      </c>
      <c r="L272" s="6">
        <v>3</v>
      </c>
      <c r="M272" s="6">
        <v>0</v>
      </c>
      <c r="N272" s="6">
        <v>0</v>
      </c>
      <c r="O272" s="5">
        <v>0</v>
      </c>
      <c r="P272" s="5">
        <v>0</v>
      </c>
      <c r="Q272" s="5">
        <v>0</v>
      </c>
      <c r="R272" s="5">
        <v>0</v>
      </c>
      <c r="S272" s="5">
        <v>0</v>
      </c>
      <c r="T272" s="5">
        <v>0</v>
      </c>
      <c r="U272" s="6">
        <v>5</v>
      </c>
      <c r="V272" s="5">
        <v>10</v>
      </c>
      <c r="W272" s="5">
        <v>5</v>
      </c>
      <c r="X272" s="16">
        <v>2000</v>
      </c>
      <c r="Y272" s="16">
        <v>7000</v>
      </c>
      <c r="Z272" s="16">
        <v>14000</v>
      </c>
      <c r="AA272" s="12" t="str">
        <f t="shared" si="64"/>
        <v>0/30</v>
      </c>
      <c r="AB272" s="12" t="str">
        <f t="shared" si="65"/>
        <v>100,0,100,100,100,100</v>
      </c>
      <c r="AC272" s="12">
        <f t="shared" si="66"/>
        <v>4</v>
      </c>
      <c r="AD272" s="12" t="str">
        <f t="shared" si="67"/>
        <v>2000/7000/14000</v>
      </c>
      <c r="AE272" s="12" t="str">
        <f t="shared" si="68"/>
        <v/>
      </c>
      <c r="AF272" s="12" t="str">
        <f t="shared" si="69"/>
        <v/>
      </c>
      <c r="AG272" s="12" t="str">
        <f t="shared" si="70"/>
        <v/>
      </c>
      <c r="AH272" s="12" t="str">
        <f t="shared" si="71"/>
        <v/>
      </c>
      <c r="AI272" s="12" t="str">
        <f t="shared" si="72"/>
        <v>10/5</v>
      </c>
    </row>
    <row r="273" spans="1:35" s="8" customFormat="1" ht="21.95" customHeight="1">
      <c r="A273" s="9">
        <v>271</v>
      </c>
      <c r="B273" s="17">
        <v>271</v>
      </c>
      <c r="C273" s="6">
        <v>30</v>
      </c>
      <c r="D273" s="6">
        <v>0</v>
      </c>
      <c r="E273" s="5">
        <v>100</v>
      </c>
      <c r="F273" s="5">
        <v>100</v>
      </c>
      <c r="G273" s="5">
        <v>0</v>
      </c>
      <c r="H273" s="5">
        <v>100</v>
      </c>
      <c r="I273" s="5">
        <v>100</v>
      </c>
      <c r="J273" s="5">
        <v>100</v>
      </c>
      <c r="K273" s="15" t="s">
        <v>55</v>
      </c>
      <c r="L273" s="6">
        <v>3</v>
      </c>
      <c r="M273" s="6">
        <v>0</v>
      </c>
      <c r="N273" s="6">
        <v>0</v>
      </c>
      <c r="O273" s="5">
        <v>0</v>
      </c>
      <c r="P273" s="5">
        <v>0</v>
      </c>
      <c r="Q273" s="5">
        <v>0</v>
      </c>
      <c r="R273" s="5">
        <v>0</v>
      </c>
      <c r="S273" s="5">
        <v>0</v>
      </c>
      <c r="T273" s="5">
        <v>0</v>
      </c>
      <c r="U273" s="6">
        <v>5</v>
      </c>
      <c r="V273" s="5">
        <v>10</v>
      </c>
      <c r="W273" s="5">
        <v>5</v>
      </c>
      <c r="X273" s="16">
        <v>2000</v>
      </c>
      <c r="Y273" s="16">
        <v>7000</v>
      </c>
      <c r="Z273" s="16">
        <v>14000</v>
      </c>
      <c r="AA273" s="12" t="str">
        <f t="shared" si="64"/>
        <v>0/30</v>
      </c>
      <c r="AB273" s="12" t="str">
        <f t="shared" si="65"/>
        <v>100,100,0,100,100,100</v>
      </c>
      <c r="AC273" s="12">
        <f t="shared" si="66"/>
        <v>4</v>
      </c>
      <c r="AD273" s="12" t="str">
        <f t="shared" si="67"/>
        <v>2000/7000/14000</v>
      </c>
      <c r="AE273" s="12" t="str">
        <f t="shared" si="68"/>
        <v/>
      </c>
      <c r="AF273" s="12" t="str">
        <f t="shared" si="69"/>
        <v/>
      </c>
      <c r="AG273" s="12" t="str">
        <f t="shared" si="70"/>
        <v/>
      </c>
      <c r="AH273" s="12" t="str">
        <f t="shared" si="71"/>
        <v/>
      </c>
      <c r="AI273" s="12" t="str">
        <f t="shared" si="72"/>
        <v>10/5</v>
      </c>
    </row>
    <row r="274" spans="1:35" s="8" customFormat="1" ht="21.95" customHeight="1">
      <c r="A274" s="9">
        <v>272</v>
      </c>
      <c r="B274" s="17">
        <v>272</v>
      </c>
      <c r="C274" s="6">
        <v>32</v>
      </c>
      <c r="D274" s="6">
        <v>0</v>
      </c>
      <c r="E274" s="5">
        <v>100</v>
      </c>
      <c r="F274" s="5">
        <v>100</v>
      </c>
      <c r="G274" s="5">
        <v>100</v>
      </c>
      <c r="H274" s="5">
        <v>0</v>
      </c>
      <c r="I274" s="5">
        <v>100</v>
      </c>
      <c r="J274" s="5">
        <v>100</v>
      </c>
      <c r="K274" s="15" t="s">
        <v>51</v>
      </c>
      <c r="L274" s="6">
        <v>3</v>
      </c>
      <c r="M274" s="6">
        <v>0</v>
      </c>
      <c r="N274" s="6">
        <v>0</v>
      </c>
      <c r="O274" s="5">
        <v>0</v>
      </c>
      <c r="P274" s="5">
        <v>0</v>
      </c>
      <c r="Q274" s="5">
        <v>0</v>
      </c>
      <c r="R274" s="5">
        <v>0</v>
      </c>
      <c r="S274" s="5">
        <v>0</v>
      </c>
      <c r="T274" s="5">
        <v>0</v>
      </c>
      <c r="U274" s="6">
        <v>0</v>
      </c>
      <c r="V274" s="5">
        <v>10</v>
      </c>
      <c r="W274" s="5">
        <v>5</v>
      </c>
      <c r="X274" s="16">
        <v>2000</v>
      </c>
      <c r="Y274" s="16">
        <v>7000</v>
      </c>
      <c r="Z274" s="16">
        <v>14000</v>
      </c>
      <c r="AA274" s="12" t="str">
        <f t="shared" si="64"/>
        <v>0/32</v>
      </c>
      <c r="AB274" s="12" t="str">
        <f t="shared" si="65"/>
        <v>100,100,100,0,100,100</v>
      </c>
      <c r="AC274" s="12">
        <f t="shared" si="66"/>
        <v>0</v>
      </c>
      <c r="AD274" s="12" t="str">
        <f t="shared" si="67"/>
        <v>2000/7000/14000</v>
      </c>
      <c r="AE274" s="12" t="str">
        <f t="shared" si="68"/>
        <v/>
      </c>
      <c r="AF274" s="12" t="str">
        <f t="shared" si="69"/>
        <v/>
      </c>
      <c r="AG274" s="12" t="str">
        <f t="shared" si="70"/>
        <v/>
      </c>
      <c r="AH274" s="12" t="str">
        <f t="shared" si="71"/>
        <v/>
      </c>
      <c r="AI274" s="12" t="str">
        <f t="shared" si="72"/>
        <v>10/5</v>
      </c>
    </row>
    <row r="275" spans="1:35" s="8" customFormat="1" ht="21.95" customHeight="1">
      <c r="A275" s="9">
        <v>273</v>
      </c>
      <c r="B275" s="17">
        <v>273</v>
      </c>
      <c r="C275" s="6">
        <v>30</v>
      </c>
      <c r="D275" s="6">
        <v>0</v>
      </c>
      <c r="E275" s="5">
        <v>100</v>
      </c>
      <c r="F275" s="5">
        <v>100</v>
      </c>
      <c r="G275" s="5">
        <v>0</v>
      </c>
      <c r="H275" s="5">
        <v>100</v>
      </c>
      <c r="I275" s="5">
        <v>100</v>
      </c>
      <c r="J275" s="5">
        <v>100</v>
      </c>
      <c r="K275" s="15" t="s">
        <v>56</v>
      </c>
      <c r="L275" s="6">
        <v>3</v>
      </c>
      <c r="M275" s="6">
        <v>0</v>
      </c>
      <c r="N275" s="6">
        <v>0</v>
      </c>
      <c r="O275" s="5">
        <v>0</v>
      </c>
      <c r="P275" s="5">
        <v>0</v>
      </c>
      <c r="Q275" s="5">
        <v>0</v>
      </c>
      <c r="R275" s="5">
        <v>0</v>
      </c>
      <c r="S275" s="5">
        <v>0</v>
      </c>
      <c r="T275" s="5">
        <v>0</v>
      </c>
      <c r="U275" s="6">
        <v>0</v>
      </c>
      <c r="V275" s="5">
        <v>10</v>
      </c>
      <c r="W275" s="5">
        <v>5</v>
      </c>
      <c r="X275" s="16">
        <v>2000</v>
      </c>
      <c r="Y275" s="16">
        <v>7000</v>
      </c>
      <c r="Z275" s="16">
        <v>14000</v>
      </c>
      <c r="AA275" s="12" t="str">
        <f t="shared" si="64"/>
        <v>0/30</v>
      </c>
      <c r="AB275" s="12" t="str">
        <f t="shared" si="65"/>
        <v>100,100,0,100,100,100</v>
      </c>
      <c r="AC275" s="12">
        <f t="shared" si="66"/>
        <v>5</v>
      </c>
      <c r="AD275" s="12" t="str">
        <f t="shared" si="67"/>
        <v>2000/7000/14000</v>
      </c>
      <c r="AE275" s="12" t="str">
        <f t="shared" si="68"/>
        <v/>
      </c>
      <c r="AF275" s="12" t="str">
        <f t="shared" si="69"/>
        <v/>
      </c>
      <c r="AG275" s="12" t="str">
        <f t="shared" si="70"/>
        <v/>
      </c>
      <c r="AH275" s="12" t="str">
        <f t="shared" si="71"/>
        <v/>
      </c>
      <c r="AI275" s="12" t="str">
        <f t="shared" si="72"/>
        <v>10/5</v>
      </c>
    </row>
    <row r="276" spans="1:35" s="8" customFormat="1" ht="21.95" customHeight="1">
      <c r="A276" s="9">
        <v>274</v>
      </c>
      <c r="B276" s="17">
        <v>274</v>
      </c>
      <c r="C276" s="6">
        <v>30</v>
      </c>
      <c r="D276" s="6">
        <v>0</v>
      </c>
      <c r="E276" s="5">
        <v>100</v>
      </c>
      <c r="F276" s="5">
        <v>100</v>
      </c>
      <c r="G276" s="5">
        <v>100</v>
      </c>
      <c r="H276" s="5">
        <v>0</v>
      </c>
      <c r="I276" s="5">
        <v>100</v>
      </c>
      <c r="J276" s="5">
        <v>100</v>
      </c>
      <c r="K276" s="15" t="s">
        <v>53</v>
      </c>
      <c r="L276" s="6">
        <v>3</v>
      </c>
      <c r="M276" s="6">
        <v>0</v>
      </c>
      <c r="N276" s="6">
        <v>0</v>
      </c>
      <c r="O276" s="5">
        <v>0</v>
      </c>
      <c r="P276" s="5">
        <v>0</v>
      </c>
      <c r="Q276" s="5">
        <v>0</v>
      </c>
      <c r="R276" s="5">
        <v>0</v>
      </c>
      <c r="S276" s="5">
        <v>18</v>
      </c>
      <c r="T276" s="5">
        <v>16</v>
      </c>
      <c r="U276" s="6">
        <v>0</v>
      </c>
      <c r="V276" s="5">
        <v>10</v>
      </c>
      <c r="W276" s="5">
        <v>5</v>
      </c>
      <c r="X276" s="16">
        <v>2000</v>
      </c>
      <c r="Y276" s="16">
        <v>7000</v>
      </c>
      <c r="Z276" s="16">
        <v>14000</v>
      </c>
      <c r="AA276" s="12" t="str">
        <f t="shared" si="64"/>
        <v>0/30</v>
      </c>
      <c r="AB276" s="12" t="str">
        <f t="shared" si="65"/>
        <v>100,100,100,0,100,100</v>
      </c>
      <c r="AC276" s="12">
        <f t="shared" si="66"/>
        <v>2</v>
      </c>
      <c r="AD276" s="12" t="str">
        <f t="shared" si="67"/>
        <v>2000/7000/14000</v>
      </c>
      <c r="AE276" s="12" t="str">
        <f t="shared" si="68"/>
        <v/>
      </c>
      <c r="AF276" s="12" t="str">
        <f t="shared" si="69"/>
        <v/>
      </c>
      <c r="AG276" s="12" t="str">
        <f t="shared" si="70"/>
        <v>4/5/</v>
      </c>
      <c r="AH276" s="12" t="str">
        <f t="shared" si="71"/>
        <v>18/16/</v>
      </c>
      <c r="AI276" s="12" t="str">
        <f t="shared" si="72"/>
        <v>10/5</v>
      </c>
    </row>
    <row r="277" spans="1:35" s="8" customFormat="1" ht="21.95" customHeight="1">
      <c r="A277" s="9">
        <v>275</v>
      </c>
      <c r="B277" s="17">
        <v>275</v>
      </c>
      <c r="C277" s="6">
        <v>30</v>
      </c>
      <c r="D277" s="6">
        <v>0</v>
      </c>
      <c r="E277" s="5">
        <v>100</v>
      </c>
      <c r="F277" s="5">
        <v>100</v>
      </c>
      <c r="G277" s="5">
        <v>100</v>
      </c>
      <c r="H277" s="5">
        <v>100</v>
      </c>
      <c r="I277" s="5">
        <v>0</v>
      </c>
      <c r="J277" s="5">
        <v>100</v>
      </c>
      <c r="K277" s="15" t="s">
        <v>53</v>
      </c>
      <c r="L277" s="6">
        <v>3</v>
      </c>
      <c r="M277" s="6">
        <v>0</v>
      </c>
      <c r="N277" s="6">
        <v>0</v>
      </c>
      <c r="O277" s="5">
        <v>16</v>
      </c>
      <c r="P277" s="5">
        <v>0</v>
      </c>
      <c r="Q277" s="5">
        <v>0</v>
      </c>
      <c r="R277" s="5">
        <v>0</v>
      </c>
      <c r="S277" s="5">
        <v>0</v>
      </c>
      <c r="T277" s="5">
        <v>18</v>
      </c>
      <c r="U277" s="6">
        <v>0</v>
      </c>
      <c r="V277" s="5">
        <v>10</v>
      </c>
      <c r="W277" s="5">
        <v>5</v>
      </c>
      <c r="X277" s="16">
        <v>2000</v>
      </c>
      <c r="Y277" s="16">
        <v>7000</v>
      </c>
      <c r="Z277" s="16">
        <v>14000</v>
      </c>
      <c r="AA277" s="12" t="str">
        <f t="shared" si="64"/>
        <v>0/30</v>
      </c>
      <c r="AB277" s="12" t="str">
        <f t="shared" si="65"/>
        <v>100,100,100,100,0,100</v>
      </c>
      <c r="AC277" s="12">
        <f t="shared" si="66"/>
        <v>2</v>
      </c>
      <c r="AD277" s="12" t="str">
        <f t="shared" si="67"/>
        <v>2000/7000/14000</v>
      </c>
      <c r="AE277" s="12" t="str">
        <f t="shared" si="68"/>
        <v/>
      </c>
      <c r="AF277" s="12" t="str">
        <f t="shared" si="69"/>
        <v/>
      </c>
      <c r="AG277" s="12" t="str">
        <f t="shared" si="70"/>
        <v>0/5/</v>
      </c>
      <c r="AH277" s="12" t="str">
        <f t="shared" si="71"/>
        <v>16/18/</v>
      </c>
      <c r="AI277" s="12" t="str">
        <f t="shared" si="72"/>
        <v>10/5</v>
      </c>
    </row>
    <row r="278" spans="1:35" s="8" customFormat="1" ht="21.95" customHeight="1">
      <c r="A278" s="9">
        <v>276</v>
      </c>
      <c r="B278" s="17">
        <v>276</v>
      </c>
      <c r="C278" s="6">
        <v>30</v>
      </c>
      <c r="D278" s="6">
        <v>0</v>
      </c>
      <c r="E278" s="5">
        <v>100</v>
      </c>
      <c r="F278" s="5">
        <v>100</v>
      </c>
      <c r="G278" s="5">
        <v>100</v>
      </c>
      <c r="H278" s="5">
        <v>100</v>
      </c>
      <c r="I278" s="5">
        <v>100</v>
      </c>
      <c r="J278" s="5">
        <v>0</v>
      </c>
      <c r="K278" s="15" t="s">
        <v>52</v>
      </c>
      <c r="L278" s="6">
        <v>3</v>
      </c>
      <c r="M278" s="6">
        <v>6</v>
      </c>
      <c r="N278" s="6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0</v>
      </c>
      <c r="U278" s="6">
        <v>0</v>
      </c>
      <c r="V278" s="5">
        <v>10</v>
      </c>
      <c r="W278" s="5">
        <v>5</v>
      </c>
      <c r="X278" s="16">
        <v>2000</v>
      </c>
      <c r="Y278" s="16">
        <v>7000</v>
      </c>
      <c r="Z278" s="16">
        <v>14000</v>
      </c>
      <c r="AA278" s="12" t="str">
        <f t="shared" si="64"/>
        <v>0/30</v>
      </c>
      <c r="AB278" s="12" t="str">
        <f t="shared" si="65"/>
        <v>100,100,100,100,100,0</v>
      </c>
      <c r="AC278" s="12">
        <f t="shared" si="66"/>
        <v>1</v>
      </c>
      <c r="AD278" s="12" t="str">
        <f t="shared" si="67"/>
        <v>2000/7000/14000</v>
      </c>
      <c r="AE278" s="12" t="str">
        <f t="shared" si="68"/>
        <v>0/</v>
      </c>
      <c r="AF278" s="12" t="str">
        <f t="shared" si="69"/>
        <v>6/</v>
      </c>
      <c r="AG278" s="12" t="str">
        <f t="shared" si="70"/>
        <v/>
      </c>
      <c r="AH278" s="12" t="str">
        <f t="shared" si="71"/>
        <v/>
      </c>
      <c r="AI278" s="12" t="str">
        <f t="shared" si="72"/>
        <v>10/5</v>
      </c>
    </row>
    <row r="279" spans="1:35" s="8" customFormat="1" ht="21.95" customHeight="1">
      <c r="A279" s="9">
        <v>277</v>
      </c>
      <c r="B279" s="17">
        <v>277</v>
      </c>
      <c r="C279" s="6">
        <v>30</v>
      </c>
      <c r="D279" s="6">
        <v>0</v>
      </c>
      <c r="E279" s="5">
        <v>0</v>
      </c>
      <c r="F279" s="5">
        <v>100</v>
      </c>
      <c r="G279" s="5">
        <v>100</v>
      </c>
      <c r="H279" s="5">
        <v>100</v>
      </c>
      <c r="I279" s="5">
        <v>100</v>
      </c>
      <c r="J279" s="5">
        <v>100</v>
      </c>
      <c r="K279" s="15" t="s">
        <v>52</v>
      </c>
      <c r="L279" s="6">
        <v>3</v>
      </c>
      <c r="M279" s="6">
        <v>0</v>
      </c>
      <c r="N279" s="6">
        <v>6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0</v>
      </c>
      <c r="U279" s="6">
        <v>0</v>
      </c>
      <c r="V279" s="5">
        <v>10</v>
      </c>
      <c r="W279" s="5">
        <v>5</v>
      </c>
      <c r="X279" s="16">
        <v>2000</v>
      </c>
      <c r="Y279" s="16">
        <v>7000</v>
      </c>
      <c r="Z279" s="16">
        <v>14000</v>
      </c>
      <c r="AA279" s="12" t="str">
        <f t="shared" si="64"/>
        <v>0/30</v>
      </c>
      <c r="AB279" s="12" t="str">
        <f t="shared" si="65"/>
        <v>0,100,100,100,100,100</v>
      </c>
      <c r="AC279" s="12">
        <f t="shared" si="66"/>
        <v>1</v>
      </c>
      <c r="AD279" s="12" t="str">
        <f t="shared" si="67"/>
        <v>2000/7000/14000</v>
      </c>
      <c r="AE279" s="12" t="str">
        <f t="shared" si="68"/>
        <v>1/</v>
      </c>
      <c r="AF279" s="12" t="str">
        <f t="shared" si="69"/>
        <v>6/</v>
      </c>
      <c r="AG279" s="12" t="str">
        <f t="shared" si="70"/>
        <v/>
      </c>
      <c r="AH279" s="12" t="str">
        <f t="shared" si="71"/>
        <v/>
      </c>
      <c r="AI279" s="12" t="str">
        <f t="shared" si="72"/>
        <v>10/5</v>
      </c>
    </row>
    <row r="280" spans="1:35" s="8" customFormat="1" ht="21.95" customHeight="1">
      <c r="A280" s="9">
        <v>278</v>
      </c>
      <c r="B280" s="17">
        <v>278</v>
      </c>
      <c r="C280" s="6">
        <v>0</v>
      </c>
      <c r="D280" s="6">
        <v>120</v>
      </c>
      <c r="E280" s="5">
        <v>100</v>
      </c>
      <c r="F280" s="5">
        <v>0</v>
      </c>
      <c r="G280" s="5">
        <v>100</v>
      </c>
      <c r="H280" s="5">
        <v>100</v>
      </c>
      <c r="I280" s="5">
        <v>100</v>
      </c>
      <c r="J280" s="5">
        <v>100</v>
      </c>
      <c r="K280" s="15" t="s">
        <v>54</v>
      </c>
      <c r="L280" s="6">
        <v>3</v>
      </c>
      <c r="M280" s="6">
        <v>0</v>
      </c>
      <c r="N280" s="6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0</v>
      </c>
      <c r="U280" s="6">
        <v>0</v>
      </c>
      <c r="V280" s="5">
        <v>10</v>
      </c>
      <c r="W280" s="5">
        <v>5</v>
      </c>
      <c r="X280" s="16">
        <v>2000</v>
      </c>
      <c r="Y280" s="16">
        <v>7000</v>
      </c>
      <c r="Z280" s="16">
        <v>14000</v>
      </c>
      <c r="AA280" s="12" t="str">
        <f t="shared" si="64"/>
        <v>1/120</v>
      </c>
      <c r="AB280" s="12" t="str">
        <f t="shared" si="65"/>
        <v>100,0,100,100,100,100</v>
      </c>
      <c r="AC280" s="12">
        <f t="shared" si="66"/>
        <v>3</v>
      </c>
      <c r="AD280" s="12" t="str">
        <f t="shared" si="67"/>
        <v>2000/7000/14000</v>
      </c>
      <c r="AE280" s="12" t="str">
        <f t="shared" si="68"/>
        <v/>
      </c>
      <c r="AF280" s="12" t="str">
        <f t="shared" si="69"/>
        <v/>
      </c>
      <c r="AG280" s="12" t="str">
        <f t="shared" si="70"/>
        <v/>
      </c>
      <c r="AH280" s="12" t="str">
        <f t="shared" si="71"/>
        <v/>
      </c>
      <c r="AI280" s="12" t="str">
        <f t="shared" si="72"/>
        <v>10/5</v>
      </c>
    </row>
    <row r="281" spans="1:35" s="8" customFormat="1" ht="21.95" customHeight="1">
      <c r="A281" s="9">
        <v>279</v>
      </c>
      <c r="B281" s="17">
        <v>279</v>
      </c>
      <c r="C281" s="6">
        <v>0</v>
      </c>
      <c r="D281" s="6">
        <v>120</v>
      </c>
      <c r="E281" s="5">
        <v>100</v>
      </c>
      <c r="F281" s="5">
        <v>100</v>
      </c>
      <c r="G281" s="5">
        <v>0</v>
      </c>
      <c r="H281" s="5">
        <v>100</v>
      </c>
      <c r="I281" s="5">
        <v>100</v>
      </c>
      <c r="J281" s="5">
        <v>100</v>
      </c>
      <c r="K281" s="15" t="s">
        <v>54</v>
      </c>
      <c r="L281" s="6">
        <v>3</v>
      </c>
      <c r="M281" s="6">
        <v>0</v>
      </c>
      <c r="N281" s="6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0</v>
      </c>
      <c r="U281" s="6">
        <v>0</v>
      </c>
      <c r="V281" s="5">
        <v>10</v>
      </c>
      <c r="W281" s="5">
        <v>5</v>
      </c>
      <c r="X281" s="16">
        <v>2000</v>
      </c>
      <c r="Y281" s="16">
        <v>7000</v>
      </c>
      <c r="Z281" s="16">
        <v>14000</v>
      </c>
      <c r="AA281" s="12" t="str">
        <f t="shared" si="64"/>
        <v>1/120</v>
      </c>
      <c r="AB281" s="12" t="str">
        <f t="shared" si="65"/>
        <v>100,100,0,100,100,100</v>
      </c>
      <c r="AC281" s="12">
        <f t="shared" si="66"/>
        <v>3</v>
      </c>
      <c r="AD281" s="12" t="str">
        <f t="shared" si="67"/>
        <v>2000/7000/14000</v>
      </c>
      <c r="AE281" s="12" t="str">
        <f t="shared" si="68"/>
        <v/>
      </c>
      <c r="AF281" s="12" t="str">
        <f t="shared" si="69"/>
        <v/>
      </c>
      <c r="AG281" s="12" t="str">
        <f t="shared" si="70"/>
        <v/>
      </c>
      <c r="AH281" s="12" t="str">
        <f t="shared" si="71"/>
        <v/>
      </c>
      <c r="AI281" s="12" t="str">
        <f t="shared" si="72"/>
        <v>10/5</v>
      </c>
    </row>
    <row r="282" spans="1:35" s="8" customFormat="1" ht="21.95" customHeight="1">
      <c r="A282" s="9">
        <v>280</v>
      </c>
      <c r="B282" s="17">
        <v>280</v>
      </c>
      <c r="C282" s="6">
        <v>30</v>
      </c>
      <c r="D282" s="6">
        <v>0</v>
      </c>
      <c r="E282" s="5">
        <v>100</v>
      </c>
      <c r="F282" s="5">
        <v>100</v>
      </c>
      <c r="G282" s="5">
        <v>100</v>
      </c>
      <c r="H282" s="5">
        <v>0</v>
      </c>
      <c r="I282" s="5">
        <v>100</v>
      </c>
      <c r="J282" s="5">
        <v>100</v>
      </c>
      <c r="K282" s="15" t="s">
        <v>55</v>
      </c>
      <c r="L282" s="6">
        <v>3</v>
      </c>
      <c r="M282" s="6">
        <v>0</v>
      </c>
      <c r="N282" s="6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0</v>
      </c>
      <c r="U282" s="6">
        <v>5</v>
      </c>
      <c r="V282" s="5">
        <v>10</v>
      </c>
      <c r="W282" s="5">
        <v>5</v>
      </c>
      <c r="X282" s="16">
        <v>2000</v>
      </c>
      <c r="Y282" s="16">
        <v>7000</v>
      </c>
      <c r="Z282" s="16">
        <v>14000</v>
      </c>
      <c r="AA282" s="12" t="str">
        <f t="shared" si="64"/>
        <v>0/30</v>
      </c>
      <c r="AB282" s="12" t="str">
        <f t="shared" si="65"/>
        <v>100,100,100,0,100,100</v>
      </c>
      <c r="AC282" s="12">
        <f t="shared" si="66"/>
        <v>4</v>
      </c>
      <c r="AD282" s="12" t="str">
        <f t="shared" si="67"/>
        <v>2000/7000/14000</v>
      </c>
      <c r="AE282" s="12" t="str">
        <f t="shared" si="68"/>
        <v/>
      </c>
      <c r="AF282" s="12" t="str">
        <f t="shared" si="69"/>
        <v/>
      </c>
      <c r="AG282" s="12" t="str">
        <f t="shared" si="70"/>
        <v/>
      </c>
      <c r="AH282" s="12" t="str">
        <f t="shared" si="71"/>
        <v/>
      </c>
      <c r="AI282" s="12" t="str">
        <f t="shared" si="72"/>
        <v>10/5</v>
      </c>
    </row>
    <row r="283" spans="1:35" s="8" customFormat="1" ht="21.95" customHeight="1">
      <c r="A283" s="9">
        <v>281</v>
      </c>
      <c r="B283" s="17">
        <v>281</v>
      </c>
      <c r="C283" s="6">
        <v>30</v>
      </c>
      <c r="D283" s="6">
        <v>0</v>
      </c>
      <c r="E283" s="5">
        <v>100</v>
      </c>
      <c r="F283" s="5">
        <v>100</v>
      </c>
      <c r="G283" s="5">
        <v>100</v>
      </c>
      <c r="H283" s="5">
        <v>100</v>
      </c>
      <c r="I283" s="5">
        <v>0</v>
      </c>
      <c r="J283" s="5">
        <v>100</v>
      </c>
      <c r="K283" s="15" t="s">
        <v>55</v>
      </c>
      <c r="L283" s="6">
        <v>3</v>
      </c>
      <c r="M283" s="6">
        <v>0</v>
      </c>
      <c r="N283" s="6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0</v>
      </c>
      <c r="U283" s="6">
        <v>5</v>
      </c>
      <c r="V283" s="5">
        <v>10</v>
      </c>
      <c r="W283" s="5">
        <v>5</v>
      </c>
      <c r="X283" s="16">
        <v>2000</v>
      </c>
      <c r="Y283" s="16">
        <v>7000</v>
      </c>
      <c r="Z283" s="16">
        <v>14000</v>
      </c>
      <c r="AA283" s="12" t="str">
        <f t="shared" si="64"/>
        <v>0/30</v>
      </c>
      <c r="AB283" s="12" t="str">
        <f t="shared" si="65"/>
        <v>100,100,100,100,0,100</v>
      </c>
      <c r="AC283" s="12">
        <f t="shared" si="66"/>
        <v>4</v>
      </c>
      <c r="AD283" s="12" t="str">
        <f t="shared" si="67"/>
        <v>2000/7000/14000</v>
      </c>
      <c r="AE283" s="12" t="str">
        <f t="shared" si="68"/>
        <v/>
      </c>
      <c r="AF283" s="12" t="str">
        <f t="shared" si="69"/>
        <v/>
      </c>
      <c r="AG283" s="12" t="str">
        <f t="shared" si="70"/>
        <v/>
      </c>
      <c r="AH283" s="12" t="str">
        <f t="shared" si="71"/>
        <v/>
      </c>
      <c r="AI283" s="12" t="str">
        <f t="shared" si="72"/>
        <v>10/5</v>
      </c>
    </row>
    <row r="284" spans="1:35" s="8" customFormat="1" ht="21.95" customHeight="1">
      <c r="A284" s="9">
        <v>282</v>
      </c>
      <c r="B284" s="17">
        <v>282</v>
      </c>
      <c r="C284" s="6">
        <v>30</v>
      </c>
      <c r="D284" s="6">
        <v>0</v>
      </c>
      <c r="E284" s="5">
        <v>100</v>
      </c>
      <c r="F284" s="5">
        <v>100</v>
      </c>
      <c r="G284" s="5">
        <v>100</v>
      </c>
      <c r="H284" s="5">
        <v>100</v>
      </c>
      <c r="I284" s="5">
        <v>100</v>
      </c>
      <c r="J284" s="5">
        <v>0</v>
      </c>
      <c r="K284" s="15" t="s">
        <v>56</v>
      </c>
      <c r="L284" s="6">
        <v>3</v>
      </c>
      <c r="M284" s="6">
        <v>0</v>
      </c>
      <c r="N284" s="6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0</v>
      </c>
      <c r="U284" s="6">
        <v>0</v>
      </c>
      <c r="V284" s="5">
        <v>10</v>
      </c>
      <c r="W284" s="5">
        <v>5</v>
      </c>
      <c r="X284" s="16">
        <v>2000</v>
      </c>
      <c r="Y284" s="16">
        <v>7000</v>
      </c>
      <c r="Z284" s="16">
        <v>14000</v>
      </c>
      <c r="AA284" s="12" t="str">
        <f t="shared" si="64"/>
        <v>0/30</v>
      </c>
      <c r="AB284" s="12" t="str">
        <f t="shared" si="65"/>
        <v>100,100,100,100,100,0</v>
      </c>
      <c r="AC284" s="12">
        <f t="shared" si="66"/>
        <v>5</v>
      </c>
      <c r="AD284" s="12" t="str">
        <f t="shared" si="67"/>
        <v>2000/7000/14000</v>
      </c>
      <c r="AE284" s="12" t="str">
        <f t="shared" si="68"/>
        <v/>
      </c>
      <c r="AF284" s="12" t="str">
        <f t="shared" si="69"/>
        <v/>
      </c>
      <c r="AG284" s="12" t="str">
        <f t="shared" si="70"/>
        <v/>
      </c>
      <c r="AH284" s="12" t="str">
        <f t="shared" si="71"/>
        <v/>
      </c>
      <c r="AI284" s="12" t="str">
        <f t="shared" si="72"/>
        <v>10/5</v>
      </c>
    </row>
    <row r="285" spans="1:35" s="8" customFormat="1" ht="21.95" customHeight="1">
      <c r="A285" s="9">
        <v>283</v>
      </c>
      <c r="B285" s="17">
        <v>283</v>
      </c>
      <c r="C285" s="6">
        <v>0</v>
      </c>
      <c r="D285" s="6">
        <v>120</v>
      </c>
      <c r="E285" s="5">
        <v>0</v>
      </c>
      <c r="F285" s="5">
        <v>100</v>
      </c>
      <c r="G285" s="5">
        <v>100</v>
      </c>
      <c r="H285" s="5">
        <v>100</v>
      </c>
      <c r="I285" s="5">
        <v>100</v>
      </c>
      <c r="J285" s="5">
        <v>100</v>
      </c>
      <c r="K285" s="15" t="s">
        <v>56</v>
      </c>
      <c r="L285" s="6">
        <v>3</v>
      </c>
      <c r="M285" s="6">
        <v>0</v>
      </c>
      <c r="N285" s="6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0</v>
      </c>
      <c r="U285" s="6">
        <v>0</v>
      </c>
      <c r="V285" s="5">
        <v>10</v>
      </c>
      <c r="W285" s="5">
        <v>5</v>
      </c>
      <c r="X285" s="16">
        <v>2000</v>
      </c>
      <c r="Y285" s="16">
        <v>7000</v>
      </c>
      <c r="Z285" s="16">
        <v>14000</v>
      </c>
      <c r="AA285" s="12" t="str">
        <f t="shared" si="64"/>
        <v>1/120</v>
      </c>
      <c r="AB285" s="12" t="str">
        <f t="shared" si="65"/>
        <v>0,100,100,100,100,100</v>
      </c>
      <c r="AC285" s="12">
        <f t="shared" si="66"/>
        <v>5</v>
      </c>
      <c r="AD285" s="12" t="str">
        <f t="shared" si="67"/>
        <v>2000/7000/14000</v>
      </c>
      <c r="AE285" s="12" t="str">
        <f t="shared" si="68"/>
        <v/>
      </c>
      <c r="AF285" s="12" t="str">
        <f t="shared" si="69"/>
        <v/>
      </c>
      <c r="AG285" s="12" t="str">
        <f t="shared" si="70"/>
        <v/>
      </c>
      <c r="AH285" s="12" t="str">
        <f t="shared" si="71"/>
        <v/>
      </c>
      <c r="AI285" s="12" t="str">
        <f t="shared" si="72"/>
        <v>10/5</v>
      </c>
    </row>
    <row r="286" spans="1:35" s="8" customFormat="1" ht="21.95" customHeight="1">
      <c r="A286" s="9">
        <v>284</v>
      </c>
      <c r="B286" s="17">
        <v>284</v>
      </c>
      <c r="C286" s="6">
        <v>30</v>
      </c>
      <c r="D286" s="6">
        <v>0</v>
      </c>
      <c r="E286" s="5">
        <v>100</v>
      </c>
      <c r="F286" s="5">
        <v>0</v>
      </c>
      <c r="G286" s="5">
        <v>100</v>
      </c>
      <c r="H286" s="5">
        <v>100</v>
      </c>
      <c r="I286" s="5">
        <v>100</v>
      </c>
      <c r="J286" s="5">
        <v>100</v>
      </c>
      <c r="K286" s="15" t="s">
        <v>53</v>
      </c>
      <c r="L286" s="6">
        <v>3</v>
      </c>
      <c r="M286" s="6">
        <v>0</v>
      </c>
      <c r="N286" s="6">
        <v>0</v>
      </c>
      <c r="O286" s="5">
        <v>0</v>
      </c>
      <c r="P286" s="5">
        <v>0</v>
      </c>
      <c r="Q286" s="5">
        <v>20</v>
      </c>
      <c r="R286" s="5">
        <v>24</v>
      </c>
      <c r="S286" s="5">
        <v>0</v>
      </c>
      <c r="T286" s="5">
        <v>0</v>
      </c>
      <c r="U286" s="6">
        <v>0</v>
      </c>
      <c r="V286" s="5">
        <v>10</v>
      </c>
      <c r="W286" s="5">
        <v>5</v>
      </c>
      <c r="X286" s="16">
        <v>2000</v>
      </c>
      <c r="Y286" s="16">
        <v>7000</v>
      </c>
      <c r="Z286" s="16">
        <v>14000</v>
      </c>
      <c r="AA286" s="12" t="str">
        <f t="shared" si="64"/>
        <v>0/30</v>
      </c>
      <c r="AB286" s="12" t="str">
        <f t="shared" si="65"/>
        <v>100,0,100,100,100,100</v>
      </c>
      <c r="AC286" s="12">
        <f t="shared" si="66"/>
        <v>2</v>
      </c>
      <c r="AD286" s="12" t="str">
        <f t="shared" si="67"/>
        <v>2000/7000/14000</v>
      </c>
      <c r="AE286" s="12" t="str">
        <f t="shared" si="68"/>
        <v/>
      </c>
      <c r="AF286" s="12" t="str">
        <f t="shared" si="69"/>
        <v/>
      </c>
      <c r="AG286" s="12" t="str">
        <f t="shared" si="70"/>
        <v>2/3/</v>
      </c>
      <c r="AH286" s="12" t="str">
        <f t="shared" si="71"/>
        <v>20/24/</v>
      </c>
      <c r="AI286" s="12" t="str">
        <f t="shared" si="72"/>
        <v>10/5</v>
      </c>
    </row>
    <row r="287" spans="1:35" s="8" customFormat="1" ht="21.95" customHeight="1">
      <c r="A287" s="9">
        <v>285</v>
      </c>
      <c r="B287" s="17">
        <v>285</v>
      </c>
      <c r="C287" s="6">
        <v>30</v>
      </c>
      <c r="D287" s="6">
        <v>0</v>
      </c>
      <c r="E287" s="5">
        <v>100</v>
      </c>
      <c r="F287" s="5">
        <v>100</v>
      </c>
      <c r="G287" s="5">
        <v>0</v>
      </c>
      <c r="H287" s="5">
        <v>100</v>
      </c>
      <c r="I287" s="5">
        <v>100</v>
      </c>
      <c r="J287" s="5">
        <v>100</v>
      </c>
      <c r="K287" s="15" t="s">
        <v>53</v>
      </c>
      <c r="L287" s="6">
        <v>3</v>
      </c>
      <c r="M287" s="6">
        <v>0</v>
      </c>
      <c r="N287" s="6">
        <v>0</v>
      </c>
      <c r="O287" s="5">
        <v>0</v>
      </c>
      <c r="P287" s="5">
        <v>0</v>
      </c>
      <c r="Q287" s="5">
        <v>0</v>
      </c>
      <c r="R287" s="5">
        <v>18</v>
      </c>
      <c r="S287" s="5">
        <v>32</v>
      </c>
      <c r="T287" s="5">
        <v>0</v>
      </c>
      <c r="U287" s="6">
        <v>0</v>
      </c>
      <c r="V287" s="5">
        <v>10</v>
      </c>
      <c r="W287" s="5">
        <v>5</v>
      </c>
      <c r="X287" s="16">
        <v>2000</v>
      </c>
      <c r="Y287" s="16">
        <v>7000</v>
      </c>
      <c r="Z287" s="16">
        <v>14000</v>
      </c>
      <c r="AA287" s="12" t="str">
        <f t="shared" si="64"/>
        <v>0/30</v>
      </c>
      <c r="AB287" s="12" t="str">
        <f t="shared" si="65"/>
        <v>100,100,0,100,100,100</v>
      </c>
      <c r="AC287" s="12">
        <f t="shared" si="66"/>
        <v>2</v>
      </c>
      <c r="AD287" s="12" t="str">
        <f t="shared" si="67"/>
        <v>2000/7000/14000</v>
      </c>
      <c r="AE287" s="12" t="str">
        <f t="shared" si="68"/>
        <v/>
      </c>
      <c r="AF287" s="12" t="str">
        <f t="shared" si="69"/>
        <v/>
      </c>
      <c r="AG287" s="12" t="str">
        <f t="shared" si="70"/>
        <v>3/4/</v>
      </c>
      <c r="AH287" s="12" t="str">
        <f t="shared" si="71"/>
        <v>18/32/</v>
      </c>
      <c r="AI287" s="12" t="str">
        <f t="shared" si="72"/>
        <v>10/5</v>
      </c>
    </row>
    <row r="288" spans="1:35" s="8" customFormat="1" ht="21.95" customHeight="1">
      <c r="A288" s="9">
        <v>286</v>
      </c>
      <c r="B288" s="17">
        <v>286</v>
      </c>
      <c r="C288" s="6">
        <v>30</v>
      </c>
      <c r="D288" s="6">
        <v>0</v>
      </c>
      <c r="E288" s="5">
        <v>100</v>
      </c>
      <c r="F288" s="5">
        <v>100</v>
      </c>
      <c r="G288" s="5">
        <v>100</v>
      </c>
      <c r="H288" s="5">
        <v>0</v>
      </c>
      <c r="I288" s="5">
        <v>100</v>
      </c>
      <c r="J288" s="5">
        <v>100</v>
      </c>
      <c r="K288" s="15" t="s">
        <v>52</v>
      </c>
      <c r="L288" s="6">
        <v>3</v>
      </c>
      <c r="M288" s="6">
        <v>6</v>
      </c>
      <c r="N288" s="6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0</v>
      </c>
      <c r="U288" s="6">
        <v>0</v>
      </c>
      <c r="V288" s="5">
        <v>10</v>
      </c>
      <c r="W288" s="5">
        <v>5</v>
      </c>
      <c r="X288" s="16">
        <v>2000</v>
      </c>
      <c r="Y288" s="16">
        <v>7000</v>
      </c>
      <c r="Z288" s="16">
        <v>14000</v>
      </c>
      <c r="AA288" s="12" t="str">
        <f t="shared" si="64"/>
        <v>0/30</v>
      </c>
      <c r="AB288" s="12" t="str">
        <f t="shared" si="65"/>
        <v>100,100,100,0,100,100</v>
      </c>
      <c r="AC288" s="12">
        <f t="shared" si="66"/>
        <v>1</v>
      </c>
      <c r="AD288" s="12" t="str">
        <f t="shared" si="67"/>
        <v>2000/7000/14000</v>
      </c>
      <c r="AE288" s="12" t="str">
        <f t="shared" si="68"/>
        <v>0/</v>
      </c>
      <c r="AF288" s="12" t="str">
        <f t="shared" si="69"/>
        <v>6/</v>
      </c>
      <c r="AG288" s="12" t="str">
        <f t="shared" si="70"/>
        <v/>
      </c>
      <c r="AH288" s="12" t="str">
        <f t="shared" si="71"/>
        <v/>
      </c>
      <c r="AI288" s="12" t="str">
        <f t="shared" si="72"/>
        <v>10/5</v>
      </c>
    </row>
    <row r="289" spans="1:35" s="8" customFormat="1" ht="21.95" customHeight="1">
      <c r="A289" s="9">
        <v>287</v>
      </c>
      <c r="B289" s="17">
        <v>287</v>
      </c>
      <c r="C289" s="6">
        <v>30</v>
      </c>
      <c r="D289" s="6">
        <v>0</v>
      </c>
      <c r="E289" s="5">
        <v>100</v>
      </c>
      <c r="F289" s="5">
        <v>100</v>
      </c>
      <c r="G289" s="5">
        <v>100</v>
      </c>
      <c r="H289" s="5">
        <v>100</v>
      </c>
      <c r="I289" s="5">
        <v>0</v>
      </c>
      <c r="J289" s="5">
        <v>100</v>
      </c>
      <c r="K289" s="15" t="s">
        <v>52</v>
      </c>
      <c r="L289" s="6">
        <v>3</v>
      </c>
      <c r="M289" s="6">
        <v>2</v>
      </c>
      <c r="N289" s="6">
        <v>4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0</v>
      </c>
      <c r="U289" s="6">
        <v>0</v>
      </c>
      <c r="V289" s="5">
        <v>10</v>
      </c>
      <c r="W289" s="5">
        <v>5</v>
      </c>
      <c r="X289" s="16">
        <v>2000</v>
      </c>
      <c r="Y289" s="16">
        <v>7000</v>
      </c>
      <c r="Z289" s="16">
        <v>14000</v>
      </c>
      <c r="AA289" s="12" t="str">
        <f t="shared" si="64"/>
        <v>0/30</v>
      </c>
      <c r="AB289" s="12" t="str">
        <f t="shared" si="65"/>
        <v>100,100,100,100,0,100</v>
      </c>
      <c r="AC289" s="12">
        <f t="shared" si="66"/>
        <v>1</v>
      </c>
      <c r="AD289" s="12" t="str">
        <f t="shared" si="67"/>
        <v>2000/7000/14000</v>
      </c>
      <c r="AE289" s="12" t="str">
        <f t="shared" si="68"/>
        <v>0/1/</v>
      </c>
      <c r="AF289" s="12" t="str">
        <f t="shared" si="69"/>
        <v>2/4/</v>
      </c>
      <c r="AG289" s="12" t="str">
        <f t="shared" si="70"/>
        <v/>
      </c>
      <c r="AH289" s="12" t="str">
        <f t="shared" si="71"/>
        <v/>
      </c>
      <c r="AI289" s="12" t="str">
        <f t="shared" si="72"/>
        <v>10/5</v>
      </c>
    </row>
    <row r="290" spans="1:35" s="8" customFormat="1" ht="21.95" customHeight="1">
      <c r="A290" s="9">
        <v>288</v>
      </c>
      <c r="B290" s="17">
        <v>288</v>
      </c>
      <c r="C290" s="6">
        <v>0</v>
      </c>
      <c r="D290" s="6">
        <v>120</v>
      </c>
      <c r="E290" s="5">
        <v>100</v>
      </c>
      <c r="F290" s="5">
        <v>100</v>
      </c>
      <c r="G290" s="5">
        <v>100</v>
      </c>
      <c r="H290" s="5">
        <v>100</v>
      </c>
      <c r="I290" s="5">
        <v>100</v>
      </c>
      <c r="J290" s="5">
        <v>0</v>
      </c>
      <c r="K290" s="15" t="s">
        <v>54</v>
      </c>
      <c r="L290" s="6">
        <v>3</v>
      </c>
      <c r="M290" s="6">
        <v>0</v>
      </c>
      <c r="N290" s="6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0</v>
      </c>
      <c r="U290" s="6">
        <v>0</v>
      </c>
      <c r="V290" s="5">
        <v>10</v>
      </c>
      <c r="W290" s="5">
        <v>5</v>
      </c>
      <c r="X290" s="16">
        <v>2000</v>
      </c>
      <c r="Y290" s="16">
        <v>7000</v>
      </c>
      <c r="Z290" s="16">
        <v>14000</v>
      </c>
      <c r="AA290" s="12" t="str">
        <f t="shared" ref="AA290:AA353" si="73">IF(C290=0,CONCATENATE("1/",D290),CONCATENATE("0/",C290))</f>
        <v>1/120</v>
      </c>
      <c r="AB290" s="12" t="str">
        <f t="shared" ref="AB290:AB353" si="74">CONCATENATE(E290,",",F290,",",G290,",",H290,",",I290,",",J290)</f>
        <v>100,100,100,100,100,0</v>
      </c>
      <c r="AC290" s="12">
        <f t="shared" ref="AC290:AC353" si="75">VLOOKUP(K290,$I$1005:$J$1012,2,FALSE)</f>
        <v>3</v>
      </c>
      <c r="AD290" s="12" t="str">
        <f t="shared" ref="AD290:AD353" si="76">CONCATENATE(X290,"/",Y290,"/",Z290)</f>
        <v>2000/7000/14000</v>
      </c>
      <c r="AE290" s="12" t="str">
        <f t="shared" ref="AE290:AE353" si="77">CONCATENATE(IF(M290=0,"","0/"),IF(N290=0,"","1/"))</f>
        <v/>
      </c>
      <c r="AF290" s="12" t="str">
        <f t="shared" ref="AF290:AF353" si="78">CONCATENATE(IF(M290=0,"",CONCATENATE(M290,"/")),IF(N290=0,"",CONCATENATE(N290,"/")))</f>
        <v/>
      </c>
      <c r="AG290" s="12" t="str">
        <f t="shared" ref="AG290:AG353" si="79">CONCATENATE(IF(O290=0,"","0/"),IF(P290=0,"","1/"),IF(Q290=0,"","2/"),IF(R290=0,"","3/"),IF(S290=0,"","4/"),IF(T290=0,"","5/"))</f>
        <v/>
      </c>
      <c r="AH290" s="12" t="str">
        <f t="shared" ref="AH290:AH353" si="80">CONCATENATE(IF(O290=0,"",CONCATENATE(O290,"/")),IF(P290=0,"",CONCATENATE(P290,"/")),IF(Q290=0,"",CONCATENATE(Q290,"/")),IF(R290=0,"",CONCATENATE(R290,"/")),IF(S290=0,"",CONCATENATE(S290,"/")),IF(T290=0,"",CONCATENATE(T290,"/")))</f>
        <v/>
      </c>
      <c r="AI290" s="12" t="str">
        <f t="shared" ref="AI290:AI353" si="81">CONCATENATE(V290,"/",W290)</f>
        <v>10/5</v>
      </c>
    </row>
    <row r="291" spans="1:35" s="8" customFormat="1" ht="21.95" customHeight="1">
      <c r="A291" s="9">
        <v>289</v>
      </c>
      <c r="B291" s="17">
        <v>289</v>
      </c>
      <c r="C291" s="6">
        <v>0</v>
      </c>
      <c r="D291" s="6">
        <v>120</v>
      </c>
      <c r="E291" s="5">
        <v>0</v>
      </c>
      <c r="F291" s="5">
        <v>100</v>
      </c>
      <c r="G291" s="5">
        <v>100</v>
      </c>
      <c r="H291" s="5">
        <v>100</v>
      </c>
      <c r="I291" s="5">
        <v>100</v>
      </c>
      <c r="J291" s="5">
        <v>100</v>
      </c>
      <c r="K291" s="15" t="s">
        <v>54</v>
      </c>
      <c r="L291" s="6">
        <v>3</v>
      </c>
      <c r="M291" s="6">
        <v>0</v>
      </c>
      <c r="N291" s="6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0</v>
      </c>
      <c r="U291" s="6">
        <v>0</v>
      </c>
      <c r="V291" s="5">
        <v>10</v>
      </c>
      <c r="W291" s="5">
        <v>5</v>
      </c>
      <c r="X291" s="16">
        <v>2000</v>
      </c>
      <c r="Y291" s="16">
        <v>7000</v>
      </c>
      <c r="Z291" s="16">
        <v>14000</v>
      </c>
      <c r="AA291" s="12" t="str">
        <f t="shared" si="73"/>
        <v>1/120</v>
      </c>
      <c r="AB291" s="12" t="str">
        <f t="shared" si="74"/>
        <v>0,100,100,100,100,100</v>
      </c>
      <c r="AC291" s="12">
        <f t="shared" si="75"/>
        <v>3</v>
      </c>
      <c r="AD291" s="12" t="str">
        <f t="shared" si="76"/>
        <v>2000/7000/14000</v>
      </c>
      <c r="AE291" s="12" t="str">
        <f t="shared" si="77"/>
        <v/>
      </c>
      <c r="AF291" s="12" t="str">
        <f t="shared" si="78"/>
        <v/>
      </c>
      <c r="AG291" s="12" t="str">
        <f t="shared" si="79"/>
        <v/>
      </c>
      <c r="AH291" s="12" t="str">
        <f t="shared" si="80"/>
        <v/>
      </c>
      <c r="AI291" s="12" t="str">
        <f t="shared" si="81"/>
        <v>10/5</v>
      </c>
    </row>
    <row r="292" spans="1:35" s="8" customFormat="1" ht="21.95" customHeight="1">
      <c r="A292" s="9">
        <v>290</v>
      </c>
      <c r="B292" s="17">
        <v>290</v>
      </c>
      <c r="C292" s="6">
        <v>30</v>
      </c>
      <c r="D292" s="6">
        <v>0</v>
      </c>
      <c r="E292" s="5">
        <v>100</v>
      </c>
      <c r="F292" s="5">
        <v>0</v>
      </c>
      <c r="G292" s="5">
        <v>100</v>
      </c>
      <c r="H292" s="5">
        <v>100</v>
      </c>
      <c r="I292" s="5">
        <v>100</v>
      </c>
      <c r="J292" s="5">
        <v>100</v>
      </c>
      <c r="K292" s="15" t="s">
        <v>55</v>
      </c>
      <c r="L292" s="6">
        <v>3</v>
      </c>
      <c r="M292" s="6">
        <v>0</v>
      </c>
      <c r="N292" s="6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0</v>
      </c>
      <c r="U292" s="6">
        <v>5</v>
      </c>
      <c r="V292" s="5">
        <v>10</v>
      </c>
      <c r="W292" s="5">
        <v>5</v>
      </c>
      <c r="X292" s="16">
        <v>2000</v>
      </c>
      <c r="Y292" s="16">
        <v>7000</v>
      </c>
      <c r="Z292" s="16">
        <v>14000</v>
      </c>
      <c r="AA292" s="12" t="str">
        <f t="shared" si="73"/>
        <v>0/30</v>
      </c>
      <c r="AB292" s="12" t="str">
        <f t="shared" si="74"/>
        <v>100,0,100,100,100,100</v>
      </c>
      <c r="AC292" s="12">
        <f t="shared" si="75"/>
        <v>4</v>
      </c>
      <c r="AD292" s="12" t="str">
        <f t="shared" si="76"/>
        <v>2000/7000/14000</v>
      </c>
      <c r="AE292" s="12" t="str">
        <f t="shared" si="77"/>
        <v/>
      </c>
      <c r="AF292" s="12" t="str">
        <f t="shared" si="78"/>
        <v/>
      </c>
      <c r="AG292" s="12" t="str">
        <f t="shared" si="79"/>
        <v/>
      </c>
      <c r="AH292" s="12" t="str">
        <f t="shared" si="80"/>
        <v/>
      </c>
      <c r="AI292" s="12" t="str">
        <f t="shared" si="81"/>
        <v>10/5</v>
      </c>
    </row>
    <row r="293" spans="1:35" s="8" customFormat="1" ht="21.95" customHeight="1">
      <c r="A293" s="9">
        <v>291</v>
      </c>
      <c r="B293" s="17">
        <v>291</v>
      </c>
      <c r="C293" s="6">
        <v>30</v>
      </c>
      <c r="D293" s="6">
        <v>0</v>
      </c>
      <c r="E293" s="5">
        <v>100</v>
      </c>
      <c r="F293" s="5">
        <v>100</v>
      </c>
      <c r="G293" s="5">
        <v>0</v>
      </c>
      <c r="H293" s="5">
        <v>100</v>
      </c>
      <c r="I293" s="5">
        <v>100</v>
      </c>
      <c r="J293" s="5">
        <v>100</v>
      </c>
      <c r="K293" s="15" t="s">
        <v>55</v>
      </c>
      <c r="L293" s="6">
        <v>3</v>
      </c>
      <c r="M293" s="6">
        <v>0</v>
      </c>
      <c r="N293" s="6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0</v>
      </c>
      <c r="U293" s="6">
        <v>5</v>
      </c>
      <c r="V293" s="5">
        <v>10</v>
      </c>
      <c r="W293" s="5">
        <v>5</v>
      </c>
      <c r="X293" s="16">
        <v>2000</v>
      </c>
      <c r="Y293" s="16">
        <v>7000</v>
      </c>
      <c r="Z293" s="16">
        <v>14000</v>
      </c>
      <c r="AA293" s="12" t="str">
        <f t="shared" si="73"/>
        <v>0/30</v>
      </c>
      <c r="AB293" s="12" t="str">
        <f t="shared" si="74"/>
        <v>100,100,0,100,100,100</v>
      </c>
      <c r="AC293" s="12">
        <f t="shared" si="75"/>
        <v>4</v>
      </c>
      <c r="AD293" s="12" t="str">
        <f t="shared" si="76"/>
        <v>2000/7000/14000</v>
      </c>
      <c r="AE293" s="12" t="str">
        <f t="shared" si="77"/>
        <v/>
      </c>
      <c r="AF293" s="12" t="str">
        <f t="shared" si="78"/>
        <v/>
      </c>
      <c r="AG293" s="12" t="str">
        <f t="shared" si="79"/>
        <v/>
      </c>
      <c r="AH293" s="12" t="str">
        <f t="shared" si="80"/>
        <v/>
      </c>
      <c r="AI293" s="12" t="str">
        <f t="shared" si="81"/>
        <v>10/5</v>
      </c>
    </row>
    <row r="294" spans="1:35" s="8" customFormat="1" ht="21.95" customHeight="1">
      <c r="A294" s="9">
        <v>292</v>
      </c>
      <c r="B294" s="17">
        <v>292</v>
      </c>
      <c r="C294" s="6">
        <v>32</v>
      </c>
      <c r="D294" s="6">
        <v>0</v>
      </c>
      <c r="E294" s="5">
        <v>100</v>
      </c>
      <c r="F294" s="5">
        <v>100</v>
      </c>
      <c r="G294" s="5">
        <v>100</v>
      </c>
      <c r="H294" s="5">
        <v>0</v>
      </c>
      <c r="I294" s="5">
        <v>100</v>
      </c>
      <c r="J294" s="5">
        <v>100</v>
      </c>
      <c r="K294" s="15" t="s">
        <v>51</v>
      </c>
      <c r="L294" s="6">
        <v>3</v>
      </c>
      <c r="M294" s="6">
        <v>0</v>
      </c>
      <c r="N294" s="6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0</v>
      </c>
      <c r="U294" s="6">
        <v>0</v>
      </c>
      <c r="V294" s="5">
        <v>10</v>
      </c>
      <c r="W294" s="5">
        <v>5</v>
      </c>
      <c r="X294" s="16">
        <v>2000</v>
      </c>
      <c r="Y294" s="16">
        <v>7000</v>
      </c>
      <c r="Z294" s="16">
        <v>14000</v>
      </c>
      <c r="AA294" s="12" t="str">
        <f t="shared" si="73"/>
        <v>0/32</v>
      </c>
      <c r="AB294" s="12" t="str">
        <f t="shared" si="74"/>
        <v>100,100,100,0,100,100</v>
      </c>
      <c r="AC294" s="12">
        <f t="shared" si="75"/>
        <v>0</v>
      </c>
      <c r="AD294" s="12" t="str">
        <f t="shared" si="76"/>
        <v>2000/7000/14000</v>
      </c>
      <c r="AE294" s="12" t="str">
        <f t="shared" si="77"/>
        <v/>
      </c>
      <c r="AF294" s="12" t="str">
        <f t="shared" si="78"/>
        <v/>
      </c>
      <c r="AG294" s="12" t="str">
        <f t="shared" si="79"/>
        <v/>
      </c>
      <c r="AH294" s="12" t="str">
        <f t="shared" si="80"/>
        <v/>
      </c>
      <c r="AI294" s="12" t="str">
        <f t="shared" si="81"/>
        <v>10/5</v>
      </c>
    </row>
    <row r="295" spans="1:35" s="8" customFormat="1" ht="21.95" customHeight="1">
      <c r="A295" s="9">
        <v>293</v>
      </c>
      <c r="B295" s="17">
        <v>293</v>
      </c>
      <c r="C295" s="6">
        <v>30</v>
      </c>
      <c r="D295" s="6">
        <v>0</v>
      </c>
      <c r="E295" s="5">
        <v>100</v>
      </c>
      <c r="F295" s="5">
        <v>100</v>
      </c>
      <c r="G295" s="5">
        <v>100</v>
      </c>
      <c r="H295" s="5">
        <v>100</v>
      </c>
      <c r="I295" s="5">
        <v>0</v>
      </c>
      <c r="J295" s="5">
        <v>100</v>
      </c>
      <c r="K295" s="15" t="s">
        <v>53</v>
      </c>
      <c r="L295" s="6">
        <v>3</v>
      </c>
      <c r="M295" s="6">
        <v>0</v>
      </c>
      <c r="N295" s="6">
        <v>0</v>
      </c>
      <c r="O295" s="5">
        <v>16</v>
      </c>
      <c r="P295" s="5">
        <v>0</v>
      </c>
      <c r="Q295" s="5">
        <v>0</v>
      </c>
      <c r="R295" s="5">
        <v>0</v>
      </c>
      <c r="S295" s="5">
        <v>0</v>
      </c>
      <c r="T295" s="5">
        <v>18</v>
      </c>
      <c r="U295" s="6">
        <v>0</v>
      </c>
      <c r="V295" s="5">
        <v>10</v>
      </c>
      <c r="W295" s="5">
        <v>5</v>
      </c>
      <c r="X295" s="16">
        <v>2000</v>
      </c>
      <c r="Y295" s="16">
        <v>7000</v>
      </c>
      <c r="Z295" s="16">
        <v>14000</v>
      </c>
      <c r="AA295" s="12" t="str">
        <f t="shared" si="73"/>
        <v>0/30</v>
      </c>
      <c r="AB295" s="12" t="str">
        <f t="shared" si="74"/>
        <v>100,100,100,100,0,100</v>
      </c>
      <c r="AC295" s="12">
        <f t="shared" si="75"/>
        <v>2</v>
      </c>
      <c r="AD295" s="12" t="str">
        <f t="shared" si="76"/>
        <v>2000/7000/14000</v>
      </c>
      <c r="AE295" s="12" t="str">
        <f t="shared" si="77"/>
        <v/>
      </c>
      <c r="AF295" s="12" t="str">
        <f t="shared" si="78"/>
        <v/>
      </c>
      <c r="AG295" s="12" t="str">
        <f t="shared" si="79"/>
        <v>0/5/</v>
      </c>
      <c r="AH295" s="12" t="str">
        <f t="shared" si="80"/>
        <v>16/18/</v>
      </c>
      <c r="AI295" s="12" t="str">
        <f t="shared" si="81"/>
        <v>10/5</v>
      </c>
    </row>
    <row r="296" spans="1:35" s="8" customFormat="1" ht="21.95" customHeight="1">
      <c r="A296" s="9">
        <v>294</v>
      </c>
      <c r="B296" s="17">
        <v>294</v>
      </c>
      <c r="C296" s="6">
        <v>30</v>
      </c>
      <c r="D296" s="6">
        <v>0</v>
      </c>
      <c r="E296" s="5">
        <v>100</v>
      </c>
      <c r="F296" s="5">
        <v>100</v>
      </c>
      <c r="G296" s="5">
        <v>100</v>
      </c>
      <c r="H296" s="5">
        <v>100</v>
      </c>
      <c r="I296" s="5">
        <v>100</v>
      </c>
      <c r="J296" s="5">
        <v>0</v>
      </c>
      <c r="K296" s="15" t="s">
        <v>52</v>
      </c>
      <c r="L296" s="6">
        <v>3</v>
      </c>
      <c r="M296" s="6">
        <v>6</v>
      </c>
      <c r="N296" s="6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0</v>
      </c>
      <c r="U296" s="6">
        <v>0</v>
      </c>
      <c r="V296" s="5">
        <v>10</v>
      </c>
      <c r="W296" s="5">
        <v>5</v>
      </c>
      <c r="X296" s="16">
        <v>2000</v>
      </c>
      <c r="Y296" s="16">
        <v>7000</v>
      </c>
      <c r="Z296" s="16">
        <v>14000</v>
      </c>
      <c r="AA296" s="12" t="str">
        <f t="shared" si="73"/>
        <v>0/30</v>
      </c>
      <c r="AB296" s="12" t="str">
        <f t="shared" si="74"/>
        <v>100,100,100,100,100,0</v>
      </c>
      <c r="AC296" s="12">
        <f t="shared" si="75"/>
        <v>1</v>
      </c>
      <c r="AD296" s="12" t="str">
        <f t="shared" si="76"/>
        <v>2000/7000/14000</v>
      </c>
      <c r="AE296" s="12" t="str">
        <f t="shared" si="77"/>
        <v>0/</v>
      </c>
      <c r="AF296" s="12" t="str">
        <f t="shared" si="78"/>
        <v>6/</v>
      </c>
      <c r="AG296" s="12" t="str">
        <f t="shared" si="79"/>
        <v/>
      </c>
      <c r="AH296" s="12" t="str">
        <f t="shared" si="80"/>
        <v/>
      </c>
      <c r="AI296" s="12" t="str">
        <f t="shared" si="81"/>
        <v>10/5</v>
      </c>
    </row>
    <row r="297" spans="1:35" s="8" customFormat="1" ht="21.95" customHeight="1">
      <c r="A297" s="9">
        <v>295</v>
      </c>
      <c r="B297" s="17">
        <v>295</v>
      </c>
      <c r="C297" s="6">
        <v>30</v>
      </c>
      <c r="D297" s="6">
        <v>0</v>
      </c>
      <c r="E297" s="5">
        <v>0</v>
      </c>
      <c r="F297" s="5">
        <v>100</v>
      </c>
      <c r="G297" s="5">
        <v>100</v>
      </c>
      <c r="H297" s="5">
        <v>100</v>
      </c>
      <c r="I297" s="5">
        <v>100</v>
      </c>
      <c r="J297" s="5">
        <v>100</v>
      </c>
      <c r="K297" s="15" t="s">
        <v>52</v>
      </c>
      <c r="L297" s="6">
        <v>3</v>
      </c>
      <c r="M297" s="6">
        <v>0</v>
      </c>
      <c r="N297" s="6">
        <v>6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0</v>
      </c>
      <c r="U297" s="6">
        <v>0</v>
      </c>
      <c r="V297" s="5">
        <v>10</v>
      </c>
      <c r="W297" s="5">
        <v>5</v>
      </c>
      <c r="X297" s="16">
        <v>2000</v>
      </c>
      <c r="Y297" s="16">
        <v>7000</v>
      </c>
      <c r="Z297" s="16">
        <v>14000</v>
      </c>
      <c r="AA297" s="12" t="str">
        <f t="shared" si="73"/>
        <v>0/30</v>
      </c>
      <c r="AB297" s="12" t="str">
        <f t="shared" si="74"/>
        <v>0,100,100,100,100,100</v>
      </c>
      <c r="AC297" s="12">
        <f t="shared" si="75"/>
        <v>1</v>
      </c>
      <c r="AD297" s="12" t="str">
        <f t="shared" si="76"/>
        <v>2000/7000/14000</v>
      </c>
      <c r="AE297" s="12" t="str">
        <f t="shared" si="77"/>
        <v>1/</v>
      </c>
      <c r="AF297" s="12" t="str">
        <f t="shared" si="78"/>
        <v>6/</v>
      </c>
      <c r="AG297" s="12" t="str">
        <f t="shared" si="79"/>
        <v/>
      </c>
      <c r="AH297" s="12" t="str">
        <f t="shared" si="80"/>
        <v/>
      </c>
      <c r="AI297" s="12" t="str">
        <f t="shared" si="81"/>
        <v>10/5</v>
      </c>
    </row>
    <row r="298" spans="1:35" s="8" customFormat="1" ht="21.95" customHeight="1">
      <c r="A298" s="9">
        <v>296</v>
      </c>
      <c r="B298" s="17">
        <v>296</v>
      </c>
      <c r="C298" s="6">
        <v>0</v>
      </c>
      <c r="D298" s="6">
        <v>120</v>
      </c>
      <c r="E298" s="5">
        <v>100</v>
      </c>
      <c r="F298" s="5">
        <v>0</v>
      </c>
      <c r="G298" s="5">
        <v>100</v>
      </c>
      <c r="H298" s="5">
        <v>100</v>
      </c>
      <c r="I298" s="5">
        <v>100</v>
      </c>
      <c r="J298" s="5">
        <v>100</v>
      </c>
      <c r="K298" s="15" t="s">
        <v>54</v>
      </c>
      <c r="L298" s="6">
        <v>3</v>
      </c>
      <c r="M298" s="6">
        <v>0</v>
      </c>
      <c r="N298" s="6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0</v>
      </c>
      <c r="U298" s="6">
        <v>0</v>
      </c>
      <c r="V298" s="5">
        <v>10</v>
      </c>
      <c r="W298" s="5">
        <v>5</v>
      </c>
      <c r="X298" s="16">
        <v>2000</v>
      </c>
      <c r="Y298" s="16">
        <v>7000</v>
      </c>
      <c r="Z298" s="16">
        <v>14000</v>
      </c>
      <c r="AA298" s="12" t="str">
        <f t="shared" si="73"/>
        <v>1/120</v>
      </c>
      <c r="AB298" s="12" t="str">
        <f t="shared" si="74"/>
        <v>100,0,100,100,100,100</v>
      </c>
      <c r="AC298" s="12">
        <f t="shared" si="75"/>
        <v>3</v>
      </c>
      <c r="AD298" s="12" t="str">
        <f t="shared" si="76"/>
        <v>2000/7000/14000</v>
      </c>
      <c r="AE298" s="12" t="str">
        <f t="shared" si="77"/>
        <v/>
      </c>
      <c r="AF298" s="12" t="str">
        <f t="shared" si="78"/>
        <v/>
      </c>
      <c r="AG298" s="12" t="str">
        <f t="shared" si="79"/>
        <v/>
      </c>
      <c r="AH298" s="12" t="str">
        <f t="shared" si="80"/>
        <v/>
      </c>
      <c r="AI298" s="12" t="str">
        <f t="shared" si="81"/>
        <v>10/5</v>
      </c>
    </row>
    <row r="299" spans="1:35" s="8" customFormat="1" ht="21.95" customHeight="1">
      <c r="A299" s="9">
        <v>297</v>
      </c>
      <c r="B299" s="17">
        <v>297</v>
      </c>
      <c r="C299" s="6">
        <v>0</v>
      </c>
      <c r="D299" s="6">
        <v>120</v>
      </c>
      <c r="E299" s="5">
        <v>100</v>
      </c>
      <c r="F299" s="5">
        <v>100</v>
      </c>
      <c r="G299" s="5">
        <v>0</v>
      </c>
      <c r="H299" s="5">
        <v>100</v>
      </c>
      <c r="I299" s="5">
        <v>100</v>
      </c>
      <c r="J299" s="5">
        <v>100</v>
      </c>
      <c r="K299" s="15" t="s">
        <v>54</v>
      </c>
      <c r="L299" s="6">
        <v>3</v>
      </c>
      <c r="M299" s="6">
        <v>0</v>
      </c>
      <c r="N299" s="6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0</v>
      </c>
      <c r="U299" s="6">
        <v>0</v>
      </c>
      <c r="V299" s="5">
        <v>10</v>
      </c>
      <c r="W299" s="5">
        <v>5</v>
      </c>
      <c r="X299" s="16">
        <v>2000</v>
      </c>
      <c r="Y299" s="16">
        <v>7000</v>
      </c>
      <c r="Z299" s="16">
        <v>14000</v>
      </c>
      <c r="AA299" s="12" t="str">
        <f t="shared" si="73"/>
        <v>1/120</v>
      </c>
      <c r="AB299" s="12" t="str">
        <f t="shared" si="74"/>
        <v>100,100,0,100,100,100</v>
      </c>
      <c r="AC299" s="12">
        <f t="shared" si="75"/>
        <v>3</v>
      </c>
      <c r="AD299" s="12" t="str">
        <f t="shared" si="76"/>
        <v>2000/7000/14000</v>
      </c>
      <c r="AE299" s="12" t="str">
        <f t="shared" si="77"/>
        <v/>
      </c>
      <c r="AF299" s="12" t="str">
        <f t="shared" si="78"/>
        <v/>
      </c>
      <c r="AG299" s="12" t="str">
        <f t="shared" si="79"/>
        <v/>
      </c>
      <c r="AH299" s="12" t="str">
        <f t="shared" si="80"/>
        <v/>
      </c>
      <c r="AI299" s="12" t="str">
        <f t="shared" si="81"/>
        <v>10/5</v>
      </c>
    </row>
    <row r="300" spans="1:35" s="8" customFormat="1" ht="21.95" customHeight="1">
      <c r="A300" s="9">
        <v>298</v>
      </c>
      <c r="B300" s="17">
        <v>298</v>
      </c>
      <c r="C300" s="6">
        <v>30</v>
      </c>
      <c r="D300" s="6">
        <v>0</v>
      </c>
      <c r="E300" s="5">
        <v>100</v>
      </c>
      <c r="F300" s="5">
        <v>100</v>
      </c>
      <c r="G300" s="5">
        <v>100</v>
      </c>
      <c r="H300" s="5">
        <v>0</v>
      </c>
      <c r="I300" s="5">
        <v>100</v>
      </c>
      <c r="J300" s="5">
        <v>100</v>
      </c>
      <c r="K300" s="15" t="s">
        <v>55</v>
      </c>
      <c r="L300" s="6">
        <v>3</v>
      </c>
      <c r="M300" s="6">
        <v>0</v>
      </c>
      <c r="N300" s="6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0</v>
      </c>
      <c r="U300" s="6">
        <v>5</v>
      </c>
      <c r="V300" s="5">
        <v>10</v>
      </c>
      <c r="W300" s="5">
        <v>5</v>
      </c>
      <c r="X300" s="16">
        <v>2000</v>
      </c>
      <c r="Y300" s="16">
        <v>7000</v>
      </c>
      <c r="Z300" s="16">
        <v>14000</v>
      </c>
      <c r="AA300" s="12" t="str">
        <f t="shared" si="73"/>
        <v>0/30</v>
      </c>
      <c r="AB300" s="12" t="str">
        <f t="shared" si="74"/>
        <v>100,100,100,0,100,100</v>
      </c>
      <c r="AC300" s="12">
        <f t="shared" si="75"/>
        <v>4</v>
      </c>
      <c r="AD300" s="12" t="str">
        <f t="shared" si="76"/>
        <v>2000/7000/14000</v>
      </c>
      <c r="AE300" s="12" t="str">
        <f t="shared" si="77"/>
        <v/>
      </c>
      <c r="AF300" s="12" t="str">
        <f t="shared" si="78"/>
        <v/>
      </c>
      <c r="AG300" s="12" t="str">
        <f t="shared" si="79"/>
        <v/>
      </c>
      <c r="AH300" s="12" t="str">
        <f t="shared" si="80"/>
        <v/>
      </c>
      <c r="AI300" s="12" t="str">
        <f t="shared" si="81"/>
        <v>10/5</v>
      </c>
    </row>
    <row r="301" spans="1:35" s="8" customFormat="1" ht="21.95" customHeight="1">
      <c r="A301" s="9">
        <v>299</v>
      </c>
      <c r="B301" s="17">
        <v>299</v>
      </c>
      <c r="C301" s="6">
        <v>30</v>
      </c>
      <c r="D301" s="6">
        <v>0</v>
      </c>
      <c r="E301" s="5">
        <v>100</v>
      </c>
      <c r="F301" s="5">
        <v>100</v>
      </c>
      <c r="G301" s="5">
        <v>100</v>
      </c>
      <c r="H301" s="5">
        <v>100</v>
      </c>
      <c r="I301" s="5">
        <v>0</v>
      </c>
      <c r="J301" s="5">
        <v>100</v>
      </c>
      <c r="K301" s="15" t="s">
        <v>55</v>
      </c>
      <c r="L301" s="6">
        <v>3</v>
      </c>
      <c r="M301" s="6">
        <v>0</v>
      </c>
      <c r="N301" s="6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0</v>
      </c>
      <c r="U301" s="6">
        <v>5</v>
      </c>
      <c r="V301" s="5">
        <v>10</v>
      </c>
      <c r="W301" s="5">
        <v>5</v>
      </c>
      <c r="X301" s="16">
        <v>2000</v>
      </c>
      <c r="Y301" s="16">
        <v>7000</v>
      </c>
      <c r="Z301" s="16">
        <v>14000</v>
      </c>
      <c r="AA301" s="12" t="str">
        <f t="shared" si="73"/>
        <v>0/30</v>
      </c>
      <c r="AB301" s="12" t="str">
        <f t="shared" si="74"/>
        <v>100,100,100,100,0,100</v>
      </c>
      <c r="AC301" s="12">
        <f t="shared" si="75"/>
        <v>4</v>
      </c>
      <c r="AD301" s="12" t="str">
        <f t="shared" si="76"/>
        <v>2000/7000/14000</v>
      </c>
      <c r="AE301" s="12" t="str">
        <f t="shared" si="77"/>
        <v/>
      </c>
      <c r="AF301" s="12" t="str">
        <f t="shared" si="78"/>
        <v/>
      </c>
      <c r="AG301" s="12" t="str">
        <f t="shared" si="79"/>
        <v/>
      </c>
      <c r="AH301" s="12" t="str">
        <f t="shared" si="80"/>
        <v/>
      </c>
      <c r="AI301" s="12" t="str">
        <f t="shared" si="81"/>
        <v>10/5</v>
      </c>
    </row>
    <row r="302" spans="1:35" s="8" customFormat="1" ht="21.95" customHeight="1">
      <c r="A302" s="9">
        <v>300</v>
      </c>
      <c r="B302" s="17">
        <v>300</v>
      </c>
      <c r="C302" s="6">
        <v>30</v>
      </c>
      <c r="D302" s="6">
        <v>0</v>
      </c>
      <c r="E302" s="5">
        <v>100</v>
      </c>
      <c r="F302" s="5">
        <v>100</v>
      </c>
      <c r="G302" s="5">
        <v>100</v>
      </c>
      <c r="H302" s="5">
        <v>100</v>
      </c>
      <c r="I302" s="5">
        <v>100</v>
      </c>
      <c r="J302" s="5">
        <v>0</v>
      </c>
      <c r="K302" s="15" t="s">
        <v>56</v>
      </c>
      <c r="L302" s="6">
        <v>3</v>
      </c>
      <c r="M302" s="6">
        <v>0</v>
      </c>
      <c r="N302" s="6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0</v>
      </c>
      <c r="U302" s="6">
        <v>0</v>
      </c>
      <c r="V302" s="5">
        <v>10</v>
      </c>
      <c r="W302" s="5">
        <v>5</v>
      </c>
      <c r="X302" s="16">
        <v>2000</v>
      </c>
      <c r="Y302" s="16">
        <v>7000</v>
      </c>
      <c r="Z302" s="16">
        <v>14000</v>
      </c>
      <c r="AA302" s="12" t="str">
        <f t="shared" si="73"/>
        <v>0/30</v>
      </c>
      <c r="AB302" s="12" t="str">
        <f t="shared" si="74"/>
        <v>100,100,100,100,100,0</v>
      </c>
      <c r="AC302" s="12">
        <f t="shared" si="75"/>
        <v>5</v>
      </c>
      <c r="AD302" s="12" t="str">
        <f t="shared" si="76"/>
        <v>2000/7000/14000</v>
      </c>
      <c r="AE302" s="12" t="str">
        <f t="shared" si="77"/>
        <v/>
      </c>
      <c r="AF302" s="12" t="str">
        <f t="shared" si="78"/>
        <v/>
      </c>
      <c r="AG302" s="12" t="str">
        <f t="shared" si="79"/>
        <v/>
      </c>
      <c r="AH302" s="12" t="str">
        <f t="shared" si="80"/>
        <v/>
      </c>
      <c r="AI302" s="12" t="str">
        <f t="shared" si="81"/>
        <v>10/5</v>
      </c>
    </row>
    <row r="303" spans="1:35" s="8" customFormat="1" ht="21.95" customHeight="1">
      <c r="A303" s="9">
        <v>301</v>
      </c>
      <c r="B303" s="17">
        <v>301</v>
      </c>
      <c r="C303" s="6">
        <v>0</v>
      </c>
      <c r="D303" s="6">
        <v>60</v>
      </c>
      <c r="E303" s="5">
        <v>0</v>
      </c>
      <c r="F303" s="5">
        <v>100</v>
      </c>
      <c r="G303" s="5">
        <v>100</v>
      </c>
      <c r="H303" s="5">
        <v>100</v>
      </c>
      <c r="I303" s="5">
        <v>100</v>
      </c>
      <c r="J303" s="5">
        <v>100</v>
      </c>
      <c r="K303" s="15" t="s">
        <v>56</v>
      </c>
      <c r="L303" s="6">
        <v>3</v>
      </c>
      <c r="M303" s="6">
        <v>0</v>
      </c>
      <c r="N303" s="6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0</v>
      </c>
      <c r="U303" s="6">
        <v>0</v>
      </c>
      <c r="V303" s="5">
        <v>10</v>
      </c>
      <c r="W303" s="5">
        <v>5</v>
      </c>
      <c r="X303" s="16">
        <v>2000</v>
      </c>
      <c r="Y303" s="16">
        <v>7000</v>
      </c>
      <c r="Z303" s="16">
        <v>14000</v>
      </c>
      <c r="AA303" s="12" t="str">
        <f t="shared" si="73"/>
        <v>1/60</v>
      </c>
      <c r="AB303" s="12" t="str">
        <f t="shared" si="74"/>
        <v>0,100,100,100,100,100</v>
      </c>
      <c r="AC303" s="12">
        <f t="shared" si="75"/>
        <v>5</v>
      </c>
      <c r="AD303" s="12" t="str">
        <f t="shared" si="76"/>
        <v>2000/7000/14000</v>
      </c>
      <c r="AE303" s="12" t="str">
        <f t="shared" si="77"/>
        <v/>
      </c>
      <c r="AF303" s="12" t="str">
        <f t="shared" si="78"/>
        <v/>
      </c>
      <c r="AG303" s="12" t="str">
        <f t="shared" si="79"/>
        <v/>
      </c>
      <c r="AH303" s="12" t="str">
        <f t="shared" si="80"/>
        <v/>
      </c>
      <c r="AI303" s="12" t="str">
        <f t="shared" si="81"/>
        <v>10/5</v>
      </c>
    </row>
    <row r="304" spans="1:35" s="8" customFormat="1" ht="21.95" customHeight="1">
      <c r="A304" s="9">
        <v>302</v>
      </c>
      <c r="B304" s="17">
        <v>302</v>
      </c>
      <c r="C304" s="6">
        <v>0</v>
      </c>
      <c r="D304" s="6">
        <v>60</v>
      </c>
      <c r="E304" s="5">
        <v>0</v>
      </c>
      <c r="F304" s="5">
        <v>100</v>
      </c>
      <c r="G304" s="5">
        <v>100</v>
      </c>
      <c r="H304" s="5">
        <v>100</v>
      </c>
      <c r="I304" s="5">
        <v>100</v>
      </c>
      <c r="J304" s="5">
        <v>100</v>
      </c>
      <c r="K304" s="15" t="s">
        <v>56</v>
      </c>
      <c r="L304" s="6">
        <v>3</v>
      </c>
      <c r="M304" s="6">
        <v>0</v>
      </c>
      <c r="N304" s="6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0</v>
      </c>
      <c r="U304" s="6">
        <v>0</v>
      </c>
      <c r="V304" s="5">
        <v>10</v>
      </c>
      <c r="W304" s="5">
        <v>5</v>
      </c>
      <c r="X304" s="16">
        <v>2000</v>
      </c>
      <c r="Y304" s="16">
        <v>7000</v>
      </c>
      <c r="Z304" s="16">
        <v>14000</v>
      </c>
      <c r="AA304" s="12" t="str">
        <f t="shared" si="73"/>
        <v>1/60</v>
      </c>
      <c r="AB304" s="12" t="str">
        <f t="shared" si="74"/>
        <v>0,100,100,100,100,100</v>
      </c>
      <c r="AC304" s="12">
        <f t="shared" si="75"/>
        <v>5</v>
      </c>
      <c r="AD304" s="12" t="str">
        <f t="shared" si="76"/>
        <v>2000/7000/14000</v>
      </c>
      <c r="AE304" s="12" t="str">
        <f t="shared" si="77"/>
        <v/>
      </c>
      <c r="AF304" s="12" t="str">
        <f t="shared" si="78"/>
        <v/>
      </c>
      <c r="AG304" s="12" t="str">
        <f t="shared" si="79"/>
        <v/>
      </c>
      <c r="AH304" s="12" t="str">
        <f t="shared" si="80"/>
        <v/>
      </c>
      <c r="AI304" s="12" t="str">
        <f t="shared" si="81"/>
        <v>10/5</v>
      </c>
    </row>
    <row r="305" spans="1:35" s="8" customFormat="1" ht="21.95" customHeight="1">
      <c r="A305" s="9">
        <v>303</v>
      </c>
      <c r="B305" s="17">
        <v>303</v>
      </c>
      <c r="C305" s="6">
        <v>30</v>
      </c>
      <c r="D305" s="6">
        <v>0</v>
      </c>
      <c r="E305" s="5">
        <v>100</v>
      </c>
      <c r="F305" s="5">
        <v>0</v>
      </c>
      <c r="G305" s="5">
        <v>100</v>
      </c>
      <c r="H305" s="5">
        <v>100</v>
      </c>
      <c r="I305" s="5">
        <v>100</v>
      </c>
      <c r="J305" s="5">
        <v>100</v>
      </c>
      <c r="K305" s="15" t="s">
        <v>53</v>
      </c>
      <c r="L305" s="6">
        <v>3</v>
      </c>
      <c r="M305" s="6">
        <v>0</v>
      </c>
      <c r="N305" s="6">
        <v>0</v>
      </c>
      <c r="O305" s="5">
        <v>0</v>
      </c>
      <c r="P305" s="5">
        <v>0</v>
      </c>
      <c r="Q305" s="5">
        <v>20</v>
      </c>
      <c r="R305" s="5">
        <v>24</v>
      </c>
      <c r="S305" s="5">
        <v>0</v>
      </c>
      <c r="T305" s="5">
        <v>0</v>
      </c>
      <c r="U305" s="6">
        <v>0</v>
      </c>
      <c r="V305" s="5">
        <v>10</v>
      </c>
      <c r="W305" s="5">
        <v>5</v>
      </c>
      <c r="X305" s="16">
        <v>2000</v>
      </c>
      <c r="Y305" s="16">
        <v>7000</v>
      </c>
      <c r="Z305" s="16">
        <v>14000</v>
      </c>
      <c r="AA305" s="12" t="str">
        <f t="shared" si="73"/>
        <v>0/30</v>
      </c>
      <c r="AB305" s="12" t="str">
        <f t="shared" si="74"/>
        <v>100,0,100,100,100,100</v>
      </c>
      <c r="AC305" s="12">
        <f t="shared" si="75"/>
        <v>2</v>
      </c>
      <c r="AD305" s="12" t="str">
        <f t="shared" si="76"/>
        <v>2000/7000/14000</v>
      </c>
      <c r="AE305" s="12" t="str">
        <f t="shared" si="77"/>
        <v/>
      </c>
      <c r="AF305" s="12" t="str">
        <f t="shared" si="78"/>
        <v/>
      </c>
      <c r="AG305" s="12" t="str">
        <f t="shared" si="79"/>
        <v>2/3/</v>
      </c>
      <c r="AH305" s="12" t="str">
        <f t="shared" si="80"/>
        <v>20/24/</v>
      </c>
      <c r="AI305" s="12" t="str">
        <f t="shared" si="81"/>
        <v>10/5</v>
      </c>
    </row>
    <row r="306" spans="1:35" s="8" customFormat="1" ht="21.95" customHeight="1">
      <c r="A306" s="9">
        <v>304</v>
      </c>
      <c r="B306" s="17">
        <v>304</v>
      </c>
      <c r="C306" s="6">
        <v>30</v>
      </c>
      <c r="D306" s="6">
        <v>0</v>
      </c>
      <c r="E306" s="5">
        <v>100</v>
      </c>
      <c r="F306" s="5">
        <v>100</v>
      </c>
      <c r="G306" s="5">
        <v>0</v>
      </c>
      <c r="H306" s="5">
        <v>100</v>
      </c>
      <c r="I306" s="5">
        <v>100</v>
      </c>
      <c r="J306" s="5">
        <v>100</v>
      </c>
      <c r="K306" s="15" t="s">
        <v>53</v>
      </c>
      <c r="L306" s="6">
        <v>3</v>
      </c>
      <c r="M306" s="6">
        <v>0</v>
      </c>
      <c r="N306" s="6">
        <v>0</v>
      </c>
      <c r="O306" s="5">
        <v>0</v>
      </c>
      <c r="P306" s="5">
        <v>0</v>
      </c>
      <c r="Q306" s="5">
        <v>0</v>
      </c>
      <c r="R306" s="5">
        <v>18</v>
      </c>
      <c r="S306" s="5">
        <v>32</v>
      </c>
      <c r="T306" s="5">
        <v>0</v>
      </c>
      <c r="U306" s="6">
        <v>0</v>
      </c>
      <c r="V306" s="5">
        <v>10</v>
      </c>
      <c r="W306" s="5">
        <v>5</v>
      </c>
      <c r="X306" s="16">
        <v>2000</v>
      </c>
      <c r="Y306" s="16">
        <v>7000</v>
      </c>
      <c r="Z306" s="16">
        <v>14000</v>
      </c>
      <c r="AA306" s="12" t="str">
        <f t="shared" si="73"/>
        <v>0/30</v>
      </c>
      <c r="AB306" s="12" t="str">
        <f t="shared" si="74"/>
        <v>100,100,0,100,100,100</v>
      </c>
      <c r="AC306" s="12">
        <f t="shared" si="75"/>
        <v>2</v>
      </c>
      <c r="AD306" s="12" t="str">
        <f t="shared" si="76"/>
        <v>2000/7000/14000</v>
      </c>
      <c r="AE306" s="12" t="str">
        <f t="shared" si="77"/>
        <v/>
      </c>
      <c r="AF306" s="12" t="str">
        <f t="shared" si="78"/>
        <v/>
      </c>
      <c r="AG306" s="12" t="str">
        <f t="shared" si="79"/>
        <v>3/4/</v>
      </c>
      <c r="AH306" s="12" t="str">
        <f t="shared" si="80"/>
        <v>18/32/</v>
      </c>
      <c r="AI306" s="12" t="str">
        <f t="shared" si="81"/>
        <v>10/5</v>
      </c>
    </row>
    <row r="307" spans="1:35" s="8" customFormat="1" ht="21.95" customHeight="1">
      <c r="A307" s="9">
        <v>305</v>
      </c>
      <c r="B307" s="17">
        <v>305</v>
      </c>
      <c r="C307" s="6">
        <v>30</v>
      </c>
      <c r="D307" s="6">
        <v>0</v>
      </c>
      <c r="E307" s="5">
        <v>100</v>
      </c>
      <c r="F307" s="5">
        <v>100</v>
      </c>
      <c r="G307" s="5">
        <v>100</v>
      </c>
      <c r="H307" s="5">
        <v>0</v>
      </c>
      <c r="I307" s="5">
        <v>100</v>
      </c>
      <c r="J307" s="5">
        <v>100</v>
      </c>
      <c r="K307" s="15" t="s">
        <v>52</v>
      </c>
      <c r="L307" s="6">
        <v>3</v>
      </c>
      <c r="M307" s="6">
        <v>6</v>
      </c>
      <c r="N307" s="6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0</v>
      </c>
      <c r="U307" s="6">
        <v>0</v>
      </c>
      <c r="V307" s="5">
        <v>10</v>
      </c>
      <c r="W307" s="5">
        <v>5</v>
      </c>
      <c r="X307" s="16">
        <v>2000</v>
      </c>
      <c r="Y307" s="16">
        <v>7000</v>
      </c>
      <c r="Z307" s="16">
        <v>14000</v>
      </c>
      <c r="AA307" s="12" t="str">
        <f t="shared" si="73"/>
        <v>0/30</v>
      </c>
      <c r="AB307" s="12" t="str">
        <f t="shared" si="74"/>
        <v>100,100,100,0,100,100</v>
      </c>
      <c r="AC307" s="12">
        <f t="shared" si="75"/>
        <v>1</v>
      </c>
      <c r="AD307" s="12" t="str">
        <f t="shared" si="76"/>
        <v>2000/7000/14000</v>
      </c>
      <c r="AE307" s="12" t="str">
        <f t="shared" si="77"/>
        <v>0/</v>
      </c>
      <c r="AF307" s="12" t="str">
        <f t="shared" si="78"/>
        <v>6/</v>
      </c>
      <c r="AG307" s="12" t="str">
        <f t="shared" si="79"/>
        <v/>
      </c>
      <c r="AH307" s="12" t="str">
        <f t="shared" si="80"/>
        <v/>
      </c>
      <c r="AI307" s="12" t="str">
        <f t="shared" si="81"/>
        <v>10/5</v>
      </c>
    </row>
    <row r="308" spans="1:35" s="8" customFormat="1" ht="21.95" customHeight="1">
      <c r="A308" s="9">
        <v>306</v>
      </c>
      <c r="B308" s="17">
        <v>306</v>
      </c>
      <c r="C308" s="6">
        <v>30</v>
      </c>
      <c r="D308" s="6">
        <v>0</v>
      </c>
      <c r="E308" s="5">
        <v>100</v>
      </c>
      <c r="F308" s="5">
        <v>100</v>
      </c>
      <c r="G308" s="5">
        <v>100</v>
      </c>
      <c r="H308" s="5">
        <v>100</v>
      </c>
      <c r="I308" s="5">
        <v>0</v>
      </c>
      <c r="J308" s="5">
        <v>100</v>
      </c>
      <c r="K308" s="15" t="s">
        <v>52</v>
      </c>
      <c r="L308" s="6">
        <v>3</v>
      </c>
      <c r="M308" s="6">
        <v>2</v>
      </c>
      <c r="N308" s="6">
        <v>4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0</v>
      </c>
      <c r="U308" s="6">
        <v>0</v>
      </c>
      <c r="V308" s="5">
        <v>10</v>
      </c>
      <c r="W308" s="5">
        <v>5</v>
      </c>
      <c r="X308" s="16">
        <v>2000</v>
      </c>
      <c r="Y308" s="16">
        <v>7000</v>
      </c>
      <c r="Z308" s="16">
        <v>14000</v>
      </c>
      <c r="AA308" s="12" t="str">
        <f t="shared" si="73"/>
        <v>0/30</v>
      </c>
      <c r="AB308" s="12" t="str">
        <f t="shared" si="74"/>
        <v>100,100,100,100,0,100</v>
      </c>
      <c r="AC308" s="12">
        <f t="shared" si="75"/>
        <v>1</v>
      </c>
      <c r="AD308" s="12" t="str">
        <f t="shared" si="76"/>
        <v>2000/7000/14000</v>
      </c>
      <c r="AE308" s="12" t="str">
        <f t="shared" si="77"/>
        <v>0/1/</v>
      </c>
      <c r="AF308" s="12" t="str">
        <f t="shared" si="78"/>
        <v>2/4/</v>
      </c>
      <c r="AG308" s="12" t="str">
        <f t="shared" si="79"/>
        <v/>
      </c>
      <c r="AH308" s="12" t="str">
        <f t="shared" si="80"/>
        <v/>
      </c>
      <c r="AI308" s="12" t="str">
        <f t="shared" si="81"/>
        <v>10/5</v>
      </c>
    </row>
    <row r="309" spans="1:35" s="8" customFormat="1" ht="21.95" customHeight="1">
      <c r="A309" s="9">
        <v>307</v>
      </c>
      <c r="B309" s="17">
        <v>307</v>
      </c>
      <c r="C309" s="6">
        <v>0</v>
      </c>
      <c r="D309" s="6">
        <v>60</v>
      </c>
      <c r="E309" s="5">
        <v>100</v>
      </c>
      <c r="F309" s="5">
        <v>100</v>
      </c>
      <c r="G309" s="5">
        <v>100</v>
      </c>
      <c r="H309" s="5">
        <v>100</v>
      </c>
      <c r="I309" s="5">
        <v>100</v>
      </c>
      <c r="J309" s="5">
        <v>0</v>
      </c>
      <c r="K309" s="15" t="s">
        <v>54</v>
      </c>
      <c r="L309" s="6">
        <v>3</v>
      </c>
      <c r="M309" s="6">
        <v>0</v>
      </c>
      <c r="N309" s="6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0</v>
      </c>
      <c r="U309" s="6">
        <v>0</v>
      </c>
      <c r="V309" s="5">
        <v>10</v>
      </c>
      <c r="W309" s="5">
        <v>5</v>
      </c>
      <c r="X309" s="16">
        <v>2000</v>
      </c>
      <c r="Y309" s="16">
        <v>7000</v>
      </c>
      <c r="Z309" s="16">
        <v>14000</v>
      </c>
      <c r="AA309" s="12" t="str">
        <f t="shared" si="73"/>
        <v>1/60</v>
      </c>
      <c r="AB309" s="12" t="str">
        <f t="shared" si="74"/>
        <v>100,100,100,100,100,0</v>
      </c>
      <c r="AC309" s="12">
        <f t="shared" si="75"/>
        <v>3</v>
      </c>
      <c r="AD309" s="12" t="str">
        <f t="shared" si="76"/>
        <v>2000/7000/14000</v>
      </c>
      <c r="AE309" s="12" t="str">
        <f t="shared" si="77"/>
        <v/>
      </c>
      <c r="AF309" s="12" t="str">
        <f t="shared" si="78"/>
        <v/>
      </c>
      <c r="AG309" s="12" t="str">
        <f t="shared" si="79"/>
        <v/>
      </c>
      <c r="AH309" s="12" t="str">
        <f t="shared" si="80"/>
        <v/>
      </c>
      <c r="AI309" s="12" t="str">
        <f t="shared" si="81"/>
        <v>10/5</v>
      </c>
    </row>
    <row r="310" spans="1:35" s="8" customFormat="1" ht="21.95" customHeight="1">
      <c r="A310" s="9">
        <v>308</v>
      </c>
      <c r="B310" s="17">
        <v>308</v>
      </c>
      <c r="C310" s="6">
        <v>0</v>
      </c>
      <c r="D310" s="6">
        <v>60</v>
      </c>
      <c r="E310" s="5">
        <v>0</v>
      </c>
      <c r="F310" s="5">
        <v>100</v>
      </c>
      <c r="G310" s="5">
        <v>100</v>
      </c>
      <c r="H310" s="5">
        <v>100</v>
      </c>
      <c r="I310" s="5">
        <v>100</v>
      </c>
      <c r="J310" s="5">
        <v>100</v>
      </c>
      <c r="K310" s="15" t="s">
        <v>54</v>
      </c>
      <c r="L310" s="6">
        <v>3</v>
      </c>
      <c r="M310" s="6">
        <v>0</v>
      </c>
      <c r="N310" s="6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0</v>
      </c>
      <c r="U310" s="6">
        <v>0</v>
      </c>
      <c r="V310" s="5">
        <v>10</v>
      </c>
      <c r="W310" s="5">
        <v>5</v>
      </c>
      <c r="X310" s="16">
        <v>2000</v>
      </c>
      <c r="Y310" s="16">
        <v>7000</v>
      </c>
      <c r="Z310" s="16">
        <v>14000</v>
      </c>
      <c r="AA310" s="12" t="str">
        <f t="shared" si="73"/>
        <v>1/60</v>
      </c>
      <c r="AB310" s="12" t="str">
        <f t="shared" si="74"/>
        <v>0,100,100,100,100,100</v>
      </c>
      <c r="AC310" s="12">
        <f t="shared" si="75"/>
        <v>3</v>
      </c>
      <c r="AD310" s="12" t="str">
        <f t="shared" si="76"/>
        <v>2000/7000/14000</v>
      </c>
      <c r="AE310" s="12" t="str">
        <f t="shared" si="77"/>
        <v/>
      </c>
      <c r="AF310" s="12" t="str">
        <f t="shared" si="78"/>
        <v/>
      </c>
      <c r="AG310" s="12" t="str">
        <f t="shared" si="79"/>
        <v/>
      </c>
      <c r="AH310" s="12" t="str">
        <f t="shared" si="80"/>
        <v/>
      </c>
      <c r="AI310" s="12" t="str">
        <f t="shared" si="81"/>
        <v>10/5</v>
      </c>
    </row>
    <row r="311" spans="1:35" s="8" customFormat="1" ht="21.95" customHeight="1">
      <c r="A311" s="9">
        <v>309</v>
      </c>
      <c r="B311" s="17">
        <v>309</v>
      </c>
      <c r="C311" s="6">
        <v>30</v>
      </c>
      <c r="D311" s="6">
        <v>0</v>
      </c>
      <c r="E311" s="5">
        <v>100</v>
      </c>
      <c r="F311" s="5">
        <v>0</v>
      </c>
      <c r="G311" s="5">
        <v>100</v>
      </c>
      <c r="H311" s="5">
        <v>100</v>
      </c>
      <c r="I311" s="5">
        <v>100</v>
      </c>
      <c r="J311" s="5">
        <v>100</v>
      </c>
      <c r="K311" s="15" t="s">
        <v>55</v>
      </c>
      <c r="L311" s="6">
        <v>3</v>
      </c>
      <c r="M311" s="6">
        <v>0</v>
      </c>
      <c r="N311" s="6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0</v>
      </c>
      <c r="U311" s="6">
        <v>5</v>
      </c>
      <c r="V311" s="5">
        <v>10</v>
      </c>
      <c r="W311" s="5">
        <v>5</v>
      </c>
      <c r="X311" s="16">
        <v>2000</v>
      </c>
      <c r="Y311" s="16">
        <v>7000</v>
      </c>
      <c r="Z311" s="16">
        <v>14000</v>
      </c>
      <c r="AA311" s="12" t="str">
        <f t="shared" si="73"/>
        <v>0/30</v>
      </c>
      <c r="AB311" s="12" t="str">
        <f t="shared" si="74"/>
        <v>100,0,100,100,100,100</v>
      </c>
      <c r="AC311" s="12">
        <f t="shared" si="75"/>
        <v>4</v>
      </c>
      <c r="AD311" s="12" t="str">
        <f t="shared" si="76"/>
        <v>2000/7000/14000</v>
      </c>
      <c r="AE311" s="12" t="str">
        <f t="shared" si="77"/>
        <v/>
      </c>
      <c r="AF311" s="12" t="str">
        <f t="shared" si="78"/>
        <v/>
      </c>
      <c r="AG311" s="12" t="str">
        <f t="shared" si="79"/>
        <v/>
      </c>
      <c r="AH311" s="12" t="str">
        <f t="shared" si="80"/>
        <v/>
      </c>
      <c r="AI311" s="12" t="str">
        <f t="shared" si="81"/>
        <v>10/5</v>
      </c>
    </row>
    <row r="312" spans="1:35" s="8" customFormat="1" ht="21.95" customHeight="1">
      <c r="A312" s="9">
        <v>310</v>
      </c>
      <c r="B312" s="17">
        <v>310</v>
      </c>
      <c r="C312" s="6">
        <v>30</v>
      </c>
      <c r="D312" s="6">
        <v>0</v>
      </c>
      <c r="E312" s="5">
        <v>100</v>
      </c>
      <c r="F312" s="5">
        <v>100</v>
      </c>
      <c r="G312" s="5">
        <v>0</v>
      </c>
      <c r="H312" s="5">
        <v>100</v>
      </c>
      <c r="I312" s="5">
        <v>100</v>
      </c>
      <c r="J312" s="5">
        <v>100</v>
      </c>
      <c r="K312" s="15" t="s">
        <v>55</v>
      </c>
      <c r="L312" s="6">
        <v>3</v>
      </c>
      <c r="M312" s="6">
        <v>0</v>
      </c>
      <c r="N312" s="6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0</v>
      </c>
      <c r="U312" s="6">
        <v>5</v>
      </c>
      <c r="V312" s="5">
        <v>10</v>
      </c>
      <c r="W312" s="5">
        <v>5</v>
      </c>
      <c r="X312" s="16">
        <v>2000</v>
      </c>
      <c r="Y312" s="16">
        <v>7000</v>
      </c>
      <c r="Z312" s="16">
        <v>14000</v>
      </c>
      <c r="AA312" s="12" t="str">
        <f t="shared" si="73"/>
        <v>0/30</v>
      </c>
      <c r="AB312" s="12" t="str">
        <f t="shared" si="74"/>
        <v>100,100,0,100,100,100</v>
      </c>
      <c r="AC312" s="12">
        <f t="shared" si="75"/>
        <v>4</v>
      </c>
      <c r="AD312" s="12" t="str">
        <f t="shared" si="76"/>
        <v>2000/7000/14000</v>
      </c>
      <c r="AE312" s="12" t="str">
        <f t="shared" si="77"/>
        <v/>
      </c>
      <c r="AF312" s="12" t="str">
        <f t="shared" si="78"/>
        <v/>
      </c>
      <c r="AG312" s="12" t="str">
        <f t="shared" si="79"/>
        <v/>
      </c>
      <c r="AH312" s="12" t="str">
        <f t="shared" si="80"/>
        <v/>
      </c>
      <c r="AI312" s="12" t="str">
        <f t="shared" si="81"/>
        <v>10/5</v>
      </c>
    </row>
    <row r="313" spans="1:35" s="8" customFormat="1" ht="21.95" customHeight="1">
      <c r="A313" s="9">
        <v>311</v>
      </c>
      <c r="B313" s="17">
        <v>311</v>
      </c>
      <c r="C313" s="6">
        <v>32</v>
      </c>
      <c r="D313" s="6">
        <v>0</v>
      </c>
      <c r="E313" s="5">
        <v>100</v>
      </c>
      <c r="F313" s="5">
        <v>100</v>
      </c>
      <c r="G313" s="5">
        <v>100</v>
      </c>
      <c r="H313" s="5">
        <v>0</v>
      </c>
      <c r="I313" s="5">
        <v>100</v>
      </c>
      <c r="J313" s="5">
        <v>100</v>
      </c>
      <c r="K313" s="15" t="s">
        <v>51</v>
      </c>
      <c r="L313" s="6">
        <v>3</v>
      </c>
      <c r="M313" s="6">
        <v>0</v>
      </c>
      <c r="N313" s="6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0</v>
      </c>
      <c r="U313" s="6">
        <v>0</v>
      </c>
      <c r="V313" s="5">
        <v>10</v>
      </c>
      <c r="W313" s="5">
        <v>5</v>
      </c>
      <c r="X313" s="16">
        <v>2000</v>
      </c>
      <c r="Y313" s="16">
        <v>7000</v>
      </c>
      <c r="Z313" s="16">
        <v>14000</v>
      </c>
      <c r="AA313" s="12" t="str">
        <f t="shared" si="73"/>
        <v>0/32</v>
      </c>
      <c r="AB313" s="12" t="str">
        <f t="shared" si="74"/>
        <v>100,100,100,0,100,100</v>
      </c>
      <c r="AC313" s="12">
        <f t="shared" si="75"/>
        <v>0</v>
      </c>
      <c r="AD313" s="12" t="str">
        <f t="shared" si="76"/>
        <v>2000/7000/14000</v>
      </c>
      <c r="AE313" s="12" t="str">
        <f t="shared" si="77"/>
        <v/>
      </c>
      <c r="AF313" s="12" t="str">
        <f t="shared" si="78"/>
        <v/>
      </c>
      <c r="AG313" s="12" t="str">
        <f t="shared" si="79"/>
        <v/>
      </c>
      <c r="AH313" s="12" t="str">
        <f t="shared" si="80"/>
        <v/>
      </c>
      <c r="AI313" s="12" t="str">
        <f t="shared" si="81"/>
        <v>10/5</v>
      </c>
    </row>
    <row r="314" spans="1:35" s="8" customFormat="1" ht="21.95" customHeight="1">
      <c r="A314" s="9">
        <v>312</v>
      </c>
      <c r="B314" s="17">
        <v>312</v>
      </c>
      <c r="C314" s="6">
        <v>30</v>
      </c>
      <c r="D314" s="6">
        <v>0</v>
      </c>
      <c r="E314" s="5">
        <v>100</v>
      </c>
      <c r="F314" s="5">
        <v>100</v>
      </c>
      <c r="G314" s="5">
        <v>100</v>
      </c>
      <c r="H314" s="5">
        <v>100</v>
      </c>
      <c r="I314" s="5">
        <v>0</v>
      </c>
      <c r="J314" s="5">
        <v>100</v>
      </c>
      <c r="K314" s="15" t="s">
        <v>53</v>
      </c>
      <c r="L314" s="6">
        <v>3</v>
      </c>
      <c r="M314" s="6">
        <v>0</v>
      </c>
      <c r="N314" s="6">
        <v>0</v>
      </c>
      <c r="O314" s="5">
        <v>16</v>
      </c>
      <c r="P314" s="5">
        <v>0</v>
      </c>
      <c r="Q314" s="5">
        <v>0</v>
      </c>
      <c r="R314" s="5">
        <v>0</v>
      </c>
      <c r="S314" s="5">
        <v>0</v>
      </c>
      <c r="T314" s="5">
        <v>18</v>
      </c>
      <c r="U314" s="6">
        <v>0</v>
      </c>
      <c r="V314" s="5">
        <v>10</v>
      </c>
      <c r="W314" s="5">
        <v>5</v>
      </c>
      <c r="X314" s="16">
        <v>2000</v>
      </c>
      <c r="Y314" s="16">
        <v>7000</v>
      </c>
      <c r="Z314" s="16">
        <v>14000</v>
      </c>
      <c r="AA314" s="12" t="str">
        <f t="shared" si="73"/>
        <v>0/30</v>
      </c>
      <c r="AB314" s="12" t="str">
        <f t="shared" si="74"/>
        <v>100,100,100,100,0,100</v>
      </c>
      <c r="AC314" s="12">
        <f t="shared" si="75"/>
        <v>2</v>
      </c>
      <c r="AD314" s="12" t="str">
        <f t="shared" si="76"/>
        <v>2000/7000/14000</v>
      </c>
      <c r="AE314" s="12" t="str">
        <f t="shared" si="77"/>
        <v/>
      </c>
      <c r="AF314" s="12" t="str">
        <f t="shared" si="78"/>
        <v/>
      </c>
      <c r="AG314" s="12" t="str">
        <f t="shared" si="79"/>
        <v>0/5/</v>
      </c>
      <c r="AH314" s="12" t="str">
        <f t="shared" si="80"/>
        <v>16/18/</v>
      </c>
      <c r="AI314" s="12" t="str">
        <f t="shared" si="81"/>
        <v>10/5</v>
      </c>
    </row>
    <row r="315" spans="1:35" s="8" customFormat="1" ht="21.95" customHeight="1">
      <c r="A315" s="9">
        <v>313</v>
      </c>
      <c r="B315" s="17">
        <v>313</v>
      </c>
      <c r="C315" s="6">
        <v>30</v>
      </c>
      <c r="D315" s="6">
        <v>0</v>
      </c>
      <c r="E315" s="5">
        <v>100</v>
      </c>
      <c r="F315" s="5">
        <v>100</v>
      </c>
      <c r="G315" s="5">
        <v>100</v>
      </c>
      <c r="H315" s="5">
        <v>100</v>
      </c>
      <c r="I315" s="5">
        <v>100</v>
      </c>
      <c r="J315" s="5">
        <v>0</v>
      </c>
      <c r="K315" s="15" t="s">
        <v>52</v>
      </c>
      <c r="L315" s="6">
        <v>3</v>
      </c>
      <c r="M315" s="6">
        <v>6</v>
      </c>
      <c r="N315" s="6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0</v>
      </c>
      <c r="U315" s="6">
        <v>0</v>
      </c>
      <c r="V315" s="5">
        <v>10</v>
      </c>
      <c r="W315" s="5">
        <v>5</v>
      </c>
      <c r="X315" s="16">
        <v>2000</v>
      </c>
      <c r="Y315" s="16">
        <v>7000</v>
      </c>
      <c r="Z315" s="16">
        <v>14000</v>
      </c>
      <c r="AA315" s="12" t="str">
        <f t="shared" si="73"/>
        <v>0/30</v>
      </c>
      <c r="AB315" s="12" t="str">
        <f t="shared" si="74"/>
        <v>100,100,100,100,100,0</v>
      </c>
      <c r="AC315" s="12">
        <f t="shared" si="75"/>
        <v>1</v>
      </c>
      <c r="AD315" s="12" t="str">
        <f t="shared" si="76"/>
        <v>2000/7000/14000</v>
      </c>
      <c r="AE315" s="12" t="str">
        <f t="shared" si="77"/>
        <v>0/</v>
      </c>
      <c r="AF315" s="12" t="str">
        <f t="shared" si="78"/>
        <v>6/</v>
      </c>
      <c r="AG315" s="12" t="str">
        <f t="shared" si="79"/>
        <v/>
      </c>
      <c r="AH315" s="12" t="str">
        <f t="shared" si="80"/>
        <v/>
      </c>
      <c r="AI315" s="12" t="str">
        <f t="shared" si="81"/>
        <v>10/5</v>
      </c>
    </row>
    <row r="316" spans="1:35" s="8" customFormat="1" ht="21.95" customHeight="1">
      <c r="A316" s="9">
        <v>314</v>
      </c>
      <c r="B316" s="17">
        <v>314</v>
      </c>
      <c r="C316" s="6">
        <v>30</v>
      </c>
      <c r="D316" s="6">
        <v>0</v>
      </c>
      <c r="E316" s="5">
        <v>0</v>
      </c>
      <c r="F316" s="5">
        <v>100</v>
      </c>
      <c r="G316" s="5">
        <v>100</v>
      </c>
      <c r="H316" s="5">
        <v>100</v>
      </c>
      <c r="I316" s="5">
        <v>100</v>
      </c>
      <c r="J316" s="5">
        <v>100</v>
      </c>
      <c r="K316" s="15" t="s">
        <v>52</v>
      </c>
      <c r="L316" s="6">
        <v>3</v>
      </c>
      <c r="M316" s="6">
        <v>0</v>
      </c>
      <c r="N316" s="6">
        <v>6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0</v>
      </c>
      <c r="U316" s="6">
        <v>0</v>
      </c>
      <c r="V316" s="5">
        <v>10</v>
      </c>
      <c r="W316" s="5">
        <v>5</v>
      </c>
      <c r="X316" s="16">
        <v>2000</v>
      </c>
      <c r="Y316" s="16">
        <v>7000</v>
      </c>
      <c r="Z316" s="16">
        <v>14000</v>
      </c>
      <c r="AA316" s="12" t="str">
        <f t="shared" si="73"/>
        <v>0/30</v>
      </c>
      <c r="AB316" s="12" t="str">
        <f t="shared" si="74"/>
        <v>0,100,100,100,100,100</v>
      </c>
      <c r="AC316" s="12">
        <f t="shared" si="75"/>
        <v>1</v>
      </c>
      <c r="AD316" s="12" t="str">
        <f t="shared" si="76"/>
        <v>2000/7000/14000</v>
      </c>
      <c r="AE316" s="12" t="str">
        <f t="shared" si="77"/>
        <v>1/</v>
      </c>
      <c r="AF316" s="12" t="str">
        <f t="shared" si="78"/>
        <v>6/</v>
      </c>
      <c r="AG316" s="12" t="str">
        <f t="shared" si="79"/>
        <v/>
      </c>
      <c r="AH316" s="12" t="str">
        <f t="shared" si="80"/>
        <v/>
      </c>
      <c r="AI316" s="12" t="str">
        <f t="shared" si="81"/>
        <v>10/5</v>
      </c>
    </row>
    <row r="317" spans="1:35" s="8" customFormat="1" ht="21.95" customHeight="1">
      <c r="A317" s="9">
        <v>315</v>
      </c>
      <c r="B317" s="17">
        <v>315</v>
      </c>
      <c r="C317" s="6">
        <v>0</v>
      </c>
      <c r="D317" s="6">
        <v>60</v>
      </c>
      <c r="E317" s="5">
        <v>100</v>
      </c>
      <c r="F317" s="5">
        <v>0</v>
      </c>
      <c r="G317" s="5">
        <v>100</v>
      </c>
      <c r="H317" s="5">
        <v>100</v>
      </c>
      <c r="I317" s="5">
        <v>100</v>
      </c>
      <c r="J317" s="5">
        <v>100</v>
      </c>
      <c r="K317" s="15" t="s">
        <v>54</v>
      </c>
      <c r="L317" s="6">
        <v>3</v>
      </c>
      <c r="M317" s="6">
        <v>0</v>
      </c>
      <c r="N317" s="6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0</v>
      </c>
      <c r="U317" s="6">
        <v>0</v>
      </c>
      <c r="V317" s="5">
        <v>10</v>
      </c>
      <c r="W317" s="5">
        <v>5</v>
      </c>
      <c r="X317" s="16">
        <v>2000</v>
      </c>
      <c r="Y317" s="16">
        <v>7000</v>
      </c>
      <c r="Z317" s="16">
        <v>14000</v>
      </c>
      <c r="AA317" s="12" t="str">
        <f t="shared" si="73"/>
        <v>1/60</v>
      </c>
      <c r="AB317" s="12" t="str">
        <f t="shared" si="74"/>
        <v>100,0,100,100,100,100</v>
      </c>
      <c r="AC317" s="12">
        <f t="shared" si="75"/>
        <v>3</v>
      </c>
      <c r="AD317" s="12" t="str">
        <f t="shared" si="76"/>
        <v>2000/7000/14000</v>
      </c>
      <c r="AE317" s="12" t="str">
        <f t="shared" si="77"/>
        <v/>
      </c>
      <c r="AF317" s="12" t="str">
        <f t="shared" si="78"/>
        <v/>
      </c>
      <c r="AG317" s="12" t="str">
        <f t="shared" si="79"/>
        <v/>
      </c>
      <c r="AH317" s="12" t="str">
        <f t="shared" si="80"/>
        <v/>
      </c>
      <c r="AI317" s="12" t="str">
        <f t="shared" si="81"/>
        <v>10/5</v>
      </c>
    </row>
    <row r="318" spans="1:35" s="8" customFormat="1" ht="21.95" customHeight="1">
      <c r="A318" s="9">
        <v>316</v>
      </c>
      <c r="B318" s="17">
        <v>316</v>
      </c>
      <c r="C318" s="6">
        <v>0</v>
      </c>
      <c r="D318" s="6">
        <v>60</v>
      </c>
      <c r="E318" s="5">
        <v>100</v>
      </c>
      <c r="F318" s="5">
        <v>100</v>
      </c>
      <c r="G318" s="5">
        <v>0</v>
      </c>
      <c r="H318" s="5">
        <v>100</v>
      </c>
      <c r="I318" s="5">
        <v>100</v>
      </c>
      <c r="J318" s="5">
        <v>100</v>
      </c>
      <c r="K318" s="15" t="s">
        <v>54</v>
      </c>
      <c r="L318" s="6">
        <v>3</v>
      </c>
      <c r="M318" s="6">
        <v>0</v>
      </c>
      <c r="N318" s="6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0</v>
      </c>
      <c r="U318" s="6">
        <v>0</v>
      </c>
      <c r="V318" s="5">
        <v>10</v>
      </c>
      <c r="W318" s="5">
        <v>5</v>
      </c>
      <c r="X318" s="16">
        <v>2000</v>
      </c>
      <c r="Y318" s="16">
        <v>7000</v>
      </c>
      <c r="Z318" s="16">
        <v>14000</v>
      </c>
      <c r="AA318" s="12" t="str">
        <f t="shared" si="73"/>
        <v>1/60</v>
      </c>
      <c r="AB318" s="12" t="str">
        <f t="shared" si="74"/>
        <v>100,100,0,100,100,100</v>
      </c>
      <c r="AC318" s="12">
        <f t="shared" si="75"/>
        <v>3</v>
      </c>
      <c r="AD318" s="12" t="str">
        <f t="shared" si="76"/>
        <v>2000/7000/14000</v>
      </c>
      <c r="AE318" s="12" t="str">
        <f t="shared" si="77"/>
        <v/>
      </c>
      <c r="AF318" s="12" t="str">
        <f t="shared" si="78"/>
        <v/>
      </c>
      <c r="AG318" s="12" t="str">
        <f t="shared" si="79"/>
        <v/>
      </c>
      <c r="AH318" s="12" t="str">
        <f t="shared" si="80"/>
        <v/>
      </c>
      <c r="AI318" s="12" t="str">
        <f t="shared" si="81"/>
        <v>10/5</v>
      </c>
    </row>
    <row r="319" spans="1:35" s="8" customFormat="1" ht="21.95" customHeight="1">
      <c r="A319" s="9">
        <v>317</v>
      </c>
      <c r="B319" s="17">
        <v>317</v>
      </c>
      <c r="C319" s="6">
        <v>0</v>
      </c>
      <c r="D319" s="6">
        <v>60</v>
      </c>
      <c r="E319" s="5">
        <v>100</v>
      </c>
      <c r="F319" s="5">
        <v>100</v>
      </c>
      <c r="G319" s="5">
        <v>100</v>
      </c>
      <c r="H319" s="5">
        <v>100</v>
      </c>
      <c r="I319" s="5">
        <v>0</v>
      </c>
      <c r="J319" s="5">
        <v>100</v>
      </c>
      <c r="K319" s="15" t="s">
        <v>52</v>
      </c>
      <c r="L319" s="6">
        <v>3</v>
      </c>
      <c r="M319" s="6">
        <v>2</v>
      </c>
      <c r="N319" s="6">
        <v>4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0</v>
      </c>
      <c r="U319" s="6">
        <v>0</v>
      </c>
      <c r="V319" s="5">
        <v>10</v>
      </c>
      <c r="W319" s="5">
        <v>5</v>
      </c>
      <c r="X319" s="16">
        <v>2000</v>
      </c>
      <c r="Y319" s="16">
        <v>7000</v>
      </c>
      <c r="Z319" s="16">
        <v>14000</v>
      </c>
      <c r="AA319" s="12" t="str">
        <f t="shared" si="73"/>
        <v>1/60</v>
      </c>
      <c r="AB319" s="12" t="str">
        <f t="shared" si="74"/>
        <v>100,100,100,100,0,100</v>
      </c>
      <c r="AC319" s="12">
        <f t="shared" si="75"/>
        <v>1</v>
      </c>
      <c r="AD319" s="12" t="str">
        <f t="shared" si="76"/>
        <v>2000/7000/14000</v>
      </c>
      <c r="AE319" s="12" t="str">
        <f t="shared" si="77"/>
        <v>0/1/</v>
      </c>
      <c r="AF319" s="12" t="str">
        <f t="shared" si="78"/>
        <v>2/4/</v>
      </c>
      <c r="AG319" s="12" t="str">
        <f t="shared" si="79"/>
        <v/>
      </c>
      <c r="AH319" s="12" t="str">
        <f t="shared" si="80"/>
        <v/>
      </c>
      <c r="AI319" s="12" t="str">
        <f t="shared" si="81"/>
        <v>10/5</v>
      </c>
    </row>
    <row r="320" spans="1:35" s="8" customFormat="1" ht="21.95" customHeight="1">
      <c r="A320" s="9">
        <v>318</v>
      </c>
      <c r="B320" s="17">
        <v>318</v>
      </c>
      <c r="C320" s="6">
        <v>30</v>
      </c>
      <c r="D320" s="6">
        <v>0</v>
      </c>
      <c r="E320" s="5">
        <v>100</v>
      </c>
      <c r="F320" s="5">
        <v>100</v>
      </c>
      <c r="G320" s="5">
        <v>100</v>
      </c>
      <c r="H320" s="5">
        <v>100</v>
      </c>
      <c r="I320" s="5">
        <v>100</v>
      </c>
      <c r="J320" s="5">
        <v>0</v>
      </c>
      <c r="K320" s="15" t="s">
        <v>54</v>
      </c>
      <c r="L320" s="6">
        <v>3</v>
      </c>
      <c r="M320" s="6">
        <v>0</v>
      </c>
      <c r="N320" s="6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0</v>
      </c>
      <c r="U320" s="6">
        <v>0</v>
      </c>
      <c r="V320" s="5">
        <v>10</v>
      </c>
      <c r="W320" s="5">
        <v>5</v>
      </c>
      <c r="X320" s="16">
        <v>2000</v>
      </c>
      <c r="Y320" s="16">
        <v>7000</v>
      </c>
      <c r="Z320" s="16">
        <v>14000</v>
      </c>
      <c r="AA320" s="12" t="str">
        <f t="shared" si="73"/>
        <v>0/30</v>
      </c>
      <c r="AB320" s="12" t="str">
        <f t="shared" si="74"/>
        <v>100,100,100,100,100,0</v>
      </c>
      <c r="AC320" s="12">
        <f t="shared" si="75"/>
        <v>3</v>
      </c>
      <c r="AD320" s="12" t="str">
        <f t="shared" si="76"/>
        <v>2000/7000/14000</v>
      </c>
      <c r="AE320" s="12" t="str">
        <f t="shared" si="77"/>
        <v/>
      </c>
      <c r="AF320" s="12" t="str">
        <f t="shared" si="78"/>
        <v/>
      </c>
      <c r="AG320" s="12" t="str">
        <f t="shared" si="79"/>
        <v/>
      </c>
      <c r="AH320" s="12" t="str">
        <f t="shared" si="80"/>
        <v/>
      </c>
      <c r="AI320" s="12" t="str">
        <f t="shared" si="81"/>
        <v>10/5</v>
      </c>
    </row>
    <row r="321" spans="1:35" s="8" customFormat="1" ht="21.95" customHeight="1">
      <c r="A321" s="9">
        <v>319</v>
      </c>
      <c r="B321" s="17">
        <v>319</v>
      </c>
      <c r="C321" s="6">
        <v>30</v>
      </c>
      <c r="D321" s="6">
        <v>0</v>
      </c>
      <c r="E321" s="5">
        <v>0</v>
      </c>
      <c r="F321" s="5">
        <v>100</v>
      </c>
      <c r="G321" s="5">
        <v>100</v>
      </c>
      <c r="H321" s="5">
        <v>100</v>
      </c>
      <c r="I321" s="5">
        <v>100</v>
      </c>
      <c r="J321" s="5">
        <v>100</v>
      </c>
      <c r="K321" s="15" t="s">
        <v>54</v>
      </c>
      <c r="L321" s="6">
        <v>3</v>
      </c>
      <c r="M321" s="6">
        <v>0</v>
      </c>
      <c r="N321" s="6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0</v>
      </c>
      <c r="U321" s="6">
        <v>0</v>
      </c>
      <c r="V321" s="5">
        <v>10</v>
      </c>
      <c r="W321" s="5">
        <v>5</v>
      </c>
      <c r="X321" s="16">
        <v>2000</v>
      </c>
      <c r="Y321" s="16">
        <v>7000</v>
      </c>
      <c r="Z321" s="16">
        <v>14000</v>
      </c>
      <c r="AA321" s="12" t="str">
        <f t="shared" si="73"/>
        <v>0/30</v>
      </c>
      <c r="AB321" s="12" t="str">
        <f t="shared" si="74"/>
        <v>0,100,100,100,100,100</v>
      </c>
      <c r="AC321" s="12">
        <f t="shared" si="75"/>
        <v>3</v>
      </c>
      <c r="AD321" s="12" t="str">
        <f t="shared" si="76"/>
        <v>2000/7000/14000</v>
      </c>
      <c r="AE321" s="12" t="str">
        <f t="shared" si="77"/>
        <v/>
      </c>
      <c r="AF321" s="12" t="str">
        <f t="shared" si="78"/>
        <v/>
      </c>
      <c r="AG321" s="12" t="str">
        <f t="shared" si="79"/>
        <v/>
      </c>
      <c r="AH321" s="12" t="str">
        <f t="shared" si="80"/>
        <v/>
      </c>
      <c r="AI321" s="12" t="str">
        <f t="shared" si="81"/>
        <v>10/5</v>
      </c>
    </row>
    <row r="322" spans="1:35" s="8" customFormat="1" ht="21.95" customHeight="1">
      <c r="A322" s="9">
        <v>320</v>
      </c>
      <c r="B322" s="17">
        <v>320</v>
      </c>
      <c r="C322" s="6">
        <v>30</v>
      </c>
      <c r="D322" s="6">
        <v>0</v>
      </c>
      <c r="E322" s="5">
        <v>100</v>
      </c>
      <c r="F322" s="5">
        <v>0</v>
      </c>
      <c r="G322" s="5">
        <v>100</v>
      </c>
      <c r="H322" s="5">
        <v>100</v>
      </c>
      <c r="I322" s="5">
        <v>100</v>
      </c>
      <c r="J322" s="5">
        <v>100</v>
      </c>
      <c r="K322" s="15" t="s">
        <v>55</v>
      </c>
      <c r="L322" s="6">
        <v>3</v>
      </c>
      <c r="M322" s="6">
        <v>0</v>
      </c>
      <c r="N322" s="6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0</v>
      </c>
      <c r="U322" s="6">
        <v>5</v>
      </c>
      <c r="V322" s="5">
        <v>10</v>
      </c>
      <c r="W322" s="5">
        <v>5</v>
      </c>
      <c r="X322" s="16">
        <v>2000</v>
      </c>
      <c r="Y322" s="16">
        <v>7000</v>
      </c>
      <c r="Z322" s="16">
        <v>14000</v>
      </c>
      <c r="AA322" s="12" t="str">
        <f t="shared" si="73"/>
        <v>0/30</v>
      </c>
      <c r="AB322" s="12" t="str">
        <f t="shared" si="74"/>
        <v>100,0,100,100,100,100</v>
      </c>
      <c r="AC322" s="12">
        <f t="shared" si="75"/>
        <v>4</v>
      </c>
      <c r="AD322" s="12" t="str">
        <f t="shared" si="76"/>
        <v>2000/7000/14000</v>
      </c>
      <c r="AE322" s="12" t="str">
        <f t="shared" si="77"/>
        <v/>
      </c>
      <c r="AF322" s="12" t="str">
        <f t="shared" si="78"/>
        <v/>
      </c>
      <c r="AG322" s="12" t="str">
        <f t="shared" si="79"/>
        <v/>
      </c>
      <c r="AH322" s="12" t="str">
        <f t="shared" si="80"/>
        <v/>
      </c>
      <c r="AI322" s="12" t="str">
        <f t="shared" si="81"/>
        <v>10/5</v>
      </c>
    </row>
    <row r="323" spans="1:35" s="8" customFormat="1" ht="21.95" customHeight="1">
      <c r="A323" s="9">
        <v>321</v>
      </c>
      <c r="B323" s="17">
        <v>321</v>
      </c>
      <c r="C323" s="6">
        <v>30</v>
      </c>
      <c r="D323" s="6">
        <v>0</v>
      </c>
      <c r="E323" s="5">
        <v>100</v>
      </c>
      <c r="F323" s="5">
        <v>100</v>
      </c>
      <c r="G323" s="5">
        <v>0</v>
      </c>
      <c r="H323" s="5">
        <v>100</v>
      </c>
      <c r="I323" s="5">
        <v>100</v>
      </c>
      <c r="J323" s="5">
        <v>100</v>
      </c>
      <c r="K323" s="15" t="s">
        <v>55</v>
      </c>
      <c r="L323" s="6">
        <v>3</v>
      </c>
      <c r="M323" s="6">
        <v>0</v>
      </c>
      <c r="N323" s="6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0</v>
      </c>
      <c r="U323" s="6">
        <v>5</v>
      </c>
      <c r="V323" s="5">
        <v>10</v>
      </c>
      <c r="W323" s="5">
        <v>5</v>
      </c>
      <c r="X323" s="16">
        <v>2000</v>
      </c>
      <c r="Y323" s="16">
        <v>7000</v>
      </c>
      <c r="Z323" s="16">
        <v>14000</v>
      </c>
      <c r="AA323" s="12" t="str">
        <f t="shared" si="73"/>
        <v>0/30</v>
      </c>
      <c r="AB323" s="12" t="str">
        <f t="shared" si="74"/>
        <v>100,100,0,100,100,100</v>
      </c>
      <c r="AC323" s="12">
        <f t="shared" si="75"/>
        <v>4</v>
      </c>
      <c r="AD323" s="12" t="str">
        <f t="shared" si="76"/>
        <v>2000/7000/14000</v>
      </c>
      <c r="AE323" s="12" t="str">
        <f t="shared" si="77"/>
        <v/>
      </c>
      <c r="AF323" s="12" t="str">
        <f t="shared" si="78"/>
        <v/>
      </c>
      <c r="AG323" s="12" t="str">
        <f t="shared" si="79"/>
        <v/>
      </c>
      <c r="AH323" s="12" t="str">
        <f t="shared" si="80"/>
        <v/>
      </c>
      <c r="AI323" s="12" t="str">
        <f t="shared" si="81"/>
        <v>10/5</v>
      </c>
    </row>
    <row r="324" spans="1:35" s="8" customFormat="1" ht="21.95" customHeight="1">
      <c r="A324" s="9">
        <v>322</v>
      </c>
      <c r="B324" s="17">
        <v>322</v>
      </c>
      <c r="C324" s="6">
        <v>32</v>
      </c>
      <c r="D324" s="6">
        <v>0</v>
      </c>
      <c r="E324" s="5">
        <v>100</v>
      </c>
      <c r="F324" s="5">
        <v>100</v>
      </c>
      <c r="G324" s="5">
        <v>100</v>
      </c>
      <c r="H324" s="5">
        <v>0</v>
      </c>
      <c r="I324" s="5">
        <v>100</v>
      </c>
      <c r="J324" s="5">
        <v>100</v>
      </c>
      <c r="K324" s="15" t="s">
        <v>51</v>
      </c>
      <c r="L324" s="6">
        <v>3</v>
      </c>
      <c r="M324" s="6">
        <v>0</v>
      </c>
      <c r="N324" s="6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0</v>
      </c>
      <c r="U324" s="6">
        <v>0</v>
      </c>
      <c r="V324" s="5">
        <v>10</v>
      </c>
      <c r="W324" s="5">
        <v>5</v>
      </c>
      <c r="X324" s="16">
        <v>2000</v>
      </c>
      <c r="Y324" s="16">
        <v>7000</v>
      </c>
      <c r="Z324" s="16">
        <v>14000</v>
      </c>
      <c r="AA324" s="12" t="str">
        <f t="shared" si="73"/>
        <v>0/32</v>
      </c>
      <c r="AB324" s="12" t="str">
        <f t="shared" si="74"/>
        <v>100,100,100,0,100,100</v>
      </c>
      <c r="AC324" s="12">
        <f t="shared" si="75"/>
        <v>0</v>
      </c>
      <c r="AD324" s="12" t="str">
        <f t="shared" si="76"/>
        <v>2000/7000/14000</v>
      </c>
      <c r="AE324" s="12" t="str">
        <f t="shared" si="77"/>
        <v/>
      </c>
      <c r="AF324" s="12" t="str">
        <f t="shared" si="78"/>
        <v/>
      </c>
      <c r="AG324" s="12" t="str">
        <f t="shared" si="79"/>
        <v/>
      </c>
      <c r="AH324" s="12" t="str">
        <f t="shared" si="80"/>
        <v/>
      </c>
      <c r="AI324" s="12" t="str">
        <f t="shared" si="81"/>
        <v>10/5</v>
      </c>
    </row>
    <row r="325" spans="1:35" s="8" customFormat="1" ht="21.95" customHeight="1">
      <c r="A325" s="9">
        <v>323</v>
      </c>
      <c r="B325" s="17">
        <v>323</v>
      </c>
      <c r="C325" s="6">
        <v>30</v>
      </c>
      <c r="D325" s="6">
        <v>0</v>
      </c>
      <c r="E325" s="5">
        <v>100</v>
      </c>
      <c r="F325" s="5">
        <v>100</v>
      </c>
      <c r="G325" s="5">
        <v>0</v>
      </c>
      <c r="H325" s="5">
        <v>100</v>
      </c>
      <c r="I325" s="5">
        <v>100</v>
      </c>
      <c r="J325" s="5">
        <v>100</v>
      </c>
      <c r="K325" s="15" t="s">
        <v>56</v>
      </c>
      <c r="L325" s="6">
        <v>3</v>
      </c>
      <c r="M325" s="6">
        <v>0</v>
      </c>
      <c r="N325" s="6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0</v>
      </c>
      <c r="U325" s="6">
        <v>0</v>
      </c>
      <c r="V325" s="5">
        <v>10</v>
      </c>
      <c r="W325" s="5">
        <v>5</v>
      </c>
      <c r="X325" s="16">
        <v>2000</v>
      </c>
      <c r="Y325" s="16">
        <v>7000</v>
      </c>
      <c r="Z325" s="16">
        <v>14000</v>
      </c>
      <c r="AA325" s="12" t="str">
        <f t="shared" si="73"/>
        <v>0/30</v>
      </c>
      <c r="AB325" s="12" t="str">
        <f t="shared" si="74"/>
        <v>100,100,0,100,100,100</v>
      </c>
      <c r="AC325" s="12">
        <f t="shared" si="75"/>
        <v>5</v>
      </c>
      <c r="AD325" s="12" t="str">
        <f t="shared" si="76"/>
        <v>2000/7000/14000</v>
      </c>
      <c r="AE325" s="12" t="str">
        <f t="shared" si="77"/>
        <v/>
      </c>
      <c r="AF325" s="12" t="str">
        <f t="shared" si="78"/>
        <v/>
      </c>
      <c r="AG325" s="12" t="str">
        <f t="shared" si="79"/>
        <v/>
      </c>
      <c r="AH325" s="12" t="str">
        <f t="shared" si="80"/>
        <v/>
      </c>
      <c r="AI325" s="12" t="str">
        <f t="shared" si="81"/>
        <v>10/5</v>
      </c>
    </row>
    <row r="326" spans="1:35" s="8" customFormat="1" ht="21.95" customHeight="1">
      <c r="A326" s="9">
        <v>324</v>
      </c>
      <c r="B326" s="17">
        <v>324</v>
      </c>
      <c r="C326" s="6">
        <v>30</v>
      </c>
      <c r="D326" s="6">
        <v>0</v>
      </c>
      <c r="E326" s="5">
        <v>100</v>
      </c>
      <c r="F326" s="5">
        <v>100</v>
      </c>
      <c r="G326" s="5">
        <v>100</v>
      </c>
      <c r="H326" s="5">
        <v>0</v>
      </c>
      <c r="I326" s="5">
        <v>100</v>
      </c>
      <c r="J326" s="5">
        <v>100</v>
      </c>
      <c r="K326" s="15" t="s">
        <v>53</v>
      </c>
      <c r="L326" s="6">
        <v>3</v>
      </c>
      <c r="M326" s="6">
        <v>0</v>
      </c>
      <c r="N326" s="6">
        <v>0</v>
      </c>
      <c r="O326" s="5">
        <v>0</v>
      </c>
      <c r="P326" s="5">
        <v>0</v>
      </c>
      <c r="Q326" s="5">
        <v>0</v>
      </c>
      <c r="R326" s="5">
        <v>0</v>
      </c>
      <c r="S326" s="5">
        <v>18</v>
      </c>
      <c r="T326" s="5">
        <v>16</v>
      </c>
      <c r="U326" s="6">
        <v>0</v>
      </c>
      <c r="V326" s="5">
        <v>10</v>
      </c>
      <c r="W326" s="5">
        <v>5</v>
      </c>
      <c r="X326" s="16">
        <v>2000</v>
      </c>
      <c r="Y326" s="16">
        <v>7000</v>
      </c>
      <c r="Z326" s="16">
        <v>14000</v>
      </c>
      <c r="AA326" s="12" t="str">
        <f t="shared" si="73"/>
        <v>0/30</v>
      </c>
      <c r="AB326" s="12" t="str">
        <f t="shared" si="74"/>
        <v>100,100,100,0,100,100</v>
      </c>
      <c r="AC326" s="12">
        <f t="shared" si="75"/>
        <v>2</v>
      </c>
      <c r="AD326" s="12" t="str">
        <f t="shared" si="76"/>
        <v>2000/7000/14000</v>
      </c>
      <c r="AE326" s="12" t="str">
        <f t="shared" si="77"/>
        <v/>
      </c>
      <c r="AF326" s="12" t="str">
        <f t="shared" si="78"/>
        <v/>
      </c>
      <c r="AG326" s="12" t="str">
        <f t="shared" si="79"/>
        <v>4/5/</v>
      </c>
      <c r="AH326" s="12" t="str">
        <f t="shared" si="80"/>
        <v>18/16/</v>
      </c>
      <c r="AI326" s="12" t="str">
        <f t="shared" si="81"/>
        <v>10/5</v>
      </c>
    </row>
    <row r="327" spans="1:35" s="8" customFormat="1" ht="21.95" customHeight="1">
      <c r="A327" s="9">
        <v>325</v>
      </c>
      <c r="B327" s="17">
        <v>325</v>
      </c>
      <c r="C327" s="6">
        <v>30</v>
      </c>
      <c r="D327" s="6">
        <v>0</v>
      </c>
      <c r="E327" s="5">
        <v>100</v>
      </c>
      <c r="F327" s="5">
        <v>100</v>
      </c>
      <c r="G327" s="5">
        <v>100</v>
      </c>
      <c r="H327" s="5">
        <v>100</v>
      </c>
      <c r="I327" s="5">
        <v>0</v>
      </c>
      <c r="J327" s="5">
        <v>100</v>
      </c>
      <c r="K327" s="15" t="s">
        <v>53</v>
      </c>
      <c r="L327" s="6">
        <v>3</v>
      </c>
      <c r="M327" s="6">
        <v>0</v>
      </c>
      <c r="N327" s="6">
        <v>0</v>
      </c>
      <c r="O327" s="5">
        <v>16</v>
      </c>
      <c r="P327" s="5">
        <v>0</v>
      </c>
      <c r="Q327" s="5">
        <v>0</v>
      </c>
      <c r="R327" s="5">
        <v>0</v>
      </c>
      <c r="S327" s="5">
        <v>0</v>
      </c>
      <c r="T327" s="5">
        <v>18</v>
      </c>
      <c r="U327" s="6">
        <v>0</v>
      </c>
      <c r="V327" s="5">
        <v>10</v>
      </c>
      <c r="W327" s="5">
        <v>5</v>
      </c>
      <c r="X327" s="16">
        <v>2000</v>
      </c>
      <c r="Y327" s="16">
        <v>7000</v>
      </c>
      <c r="Z327" s="16">
        <v>14000</v>
      </c>
      <c r="AA327" s="12" t="str">
        <f t="shared" si="73"/>
        <v>0/30</v>
      </c>
      <c r="AB327" s="12" t="str">
        <f t="shared" si="74"/>
        <v>100,100,100,100,0,100</v>
      </c>
      <c r="AC327" s="12">
        <f t="shared" si="75"/>
        <v>2</v>
      </c>
      <c r="AD327" s="12" t="str">
        <f t="shared" si="76"/>
        <v>2000/7000/14000</v>
      </c>
      <c r="AE327" s="12" t="str">
        <f t="shared" si="77"/>
        <v/>
      </c>
      <c r="AF327" s="12" t="str">
        <f t="shared" si="78"/>
        <v/>
      </c>
      <c r="AG327" s="12" t="str">
        <f t="shared" si="79"/>
        <v>0/5/</v>
      </c>
      <c r="AH327" s="12" t="str">
        <f t="shared" si="80"/>
        <v>16/18/</v>
      </c>
      <c r="AI327" s="12" t="str">
        <f t="shared" si="81"/>
        <v>10/5</v>
      </c>
    </row>
    <row r="328" spans="1:35" s="8" customFormat="1" ht="21.95" customHeight="1">
      <c r="A328" s="9">
        <v>326</v>
      </c>
      <c r="B328" s="17">
        <v>326</v>
      </c>
      <c r="C328" s="6">
        <v>30</v>
      </c>
      <c r="D328" s="6">
        <v>0</v>
      </c>
      <c r="E328" s="5">
        <v>100</v>
      </c>
      <c r="F328" s="5">
        <v>100</v>
      </c>
      <c r="G328" s="5">
        <v>100</v>
      </c>
      <c r="H328" s="5">
        <v>100</v>
      </c>
      <c r="I328" s="5">
        <v>100</v>
      </c>
      <c r="J328" s="5">
        <v>0</v>
      </c>
      <c r="K328" s="15" t="s">
        <v>52</v>
      </c>
      <c r="L328" s="6">
        <v>3</v>
      </c>
      <c r="M328" s="6">
        <v>6</v>
      </c>
      <c r="N328" s="6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0</v>
      </c>
      <c r="U328" s="6">
        <v>0</v>
      </c>
      <c r="V328" s="5">
        <v>10</v>
      </c>
      <c r="W328" s="5">
        <v>5</v>
      </c>
      <c r="X328" s="16">
        <v>2000</v>
      </c>
      <c r="Y328" s="16">
        <v>7000</v>
      </c>
      <c r="Z328" s="16">
        <v>14000</v>
      </c>
      <c r="AA328" s="12" t="str">
        <f t="shared" si="73"/>
        <v>0/30</v>
      </c>
      <c r="AB328" s="12" t="str">
        <f t="shared" si="74"/>
        <v>100,100,100,100,100,0</v>
      </c>
      <c r="AC328" s="12">
        <f t="shared" si="75"/>
        <v>1</v>
      </c>
      <c r="AD328" s="12" t="str">
        <f t="shared" si="76"/>
        <v>2000/7000/14000</v>
      </c>
      <c r="AE328" s="12" t="str">
        <f t="shared" si="77"/>
        <v>0/</v>
      </c>
      <c r="AF328" s="12" t="str">
        <f t="shared" si="78"/>
        <v>6/</v>
      </c>
      <c r="AG328" s="12" t="str">
        <f t="shared" si="79"/>
        <v/>
      </c>
      <c r="AH328" s="12" t="str">
        <f t="shared" si="80"/>
        <v/>
      </c>
      <c r="AI328" s="12" t="str">
        <f t="shared" si="81"/>
        <v>10/5</v>
      </c>
    </row>
    <row r="329" spans="1:35" s="8" customFormat="1" ht="21.95" customHeight="1">
      <c r="A329" s="9">
        <v>327</v>
      </c>
      <c r="B329" s="17">
        <v>327</v>
      </c>
      <c r="C329" s="6">
        <v>30</v>
      </c>
      <c r="D329" s="6">
        <v>0</v>
      </c>
      <c r="E329" s="5">
        <v>0</v>
      </c>
      <c r="F329" s="5">
        <v>100</v>
      </c>
      <c r="G329" s="5">
        <v>100</v>
      </c>
      <c r="H329" s="5">
        <v>100</v>
      </c>
      <c r="I329" s="5">
        <v>100</v>
      </c>
      <c r="J329" s="5">
        <v>100</v>
      </c>
      <c r="K329" s="15" t="s">
        <v>52</v>
      </c>
      <c r="L329" s="6">
        <v>3</v>
      </c>
      <c r="M329" s="6">
        <v>0</v>
      </c>
      <c r="N329" s="6">
        <v>6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0</v>
      </c>
      <c r="U329" s="6">
        <v>0</v>
      </c>
      <c r="V329" s="5">
        <v>10</v>
      </c>
      <c r="W329" s="5">
        <v>5</v>
      </c>
      <c r="X329" s="16">
        <v>2000</v>
      </c>
      <c r="Y329" s="16">
        <v>7000</v>
      </c>
      <c r="Z329" s="16">
        <v>14000</v>
      </c>
      <c r="AA329" s="12" t="str">
        <f t="shared" si="73"/>
        <v>0/30</v>
      </c>
      <c r="AB329" s="12" t="str">
        <f t="shared" si="74"/>
        <v>0,100,100,100,100,100</v>
      </c>
      <c r="AC329" s="12">
        <f t="shared" si="75"/>
        <v>1</v>
      </c>
      <c r="AD329" s="12" t="str">
        <f t="shared" si="76"/>
        <v>2000/7000/14000</v>
      </c>
      <c r="AE329" s="12" t="str">
        <f t="shared" si="77"/>
        <v>1/</v>
      </c>
      <c r="AF329" s="12" t="str">
        <f t="shared" si="78"/>
        <v>6/</v>
      </c>
      <c r="AG329" s="12" t="str">
        <f t="shared" si="79"/>
        <v/>
      </c>
      <c r="AH329" s="12" t="str">
        <f t="shared" si="80"/>
        <v/>
      </c>
      <c r="AI329" s="12" t="str">
        <f t="shared" si="81"/>
        <v>10/5</v>
      </c>
    </row>
    <row r="330" spans="1:35" s="8" customFormat="1" ht="21.95" customHeight="1">
      <c r="A330" s="9">
        <v>328</v>
      </c>
      <c r="B330" s="17">
        <v>328</v>
      </c>
      <c r="C330" s="6">
        <v>0</v>
      </c>
      <c r="D330" s="6">
        <v>60</v>
      </c>
      <c r="E330" s="5">
        <v>100</v>
      </c>
      <c r="F330" s="5">
        <v>0</v>
      </c>
      <c r="G330" s="5">
        <v>100</v>
      </c>
      <c r="H330" s="5">
        <v>100</v>
      </c>
      <c r="I330" s="5">
        <v>100</v>
      </c>
      <c r="J330" s="5">
        <v>100</v>
      </c>
      <c r="K330" s="15" t="s">
        <v>54</v>
      </c>
      <c r="L330" s="6">
        <v>3</v>
      </c>
      <c r="M330" s="6">
        <v>0</v>
      </c>
      <c r="N330" s="6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0</v>
      </c>
      <c r="U330" s="6">
        <v>0</v>
      </c>
      <c r="V330" s="5">
        <v>10</v>
      </c>
      <c r="W330" s="5">
        <v>5</v>
      </c>
      <c r="X330" s="16">
        <v>2000</v>
      </c>
      <c r="Y330" s="16">
        <v>7000</v>
      </c>
      <c r="Z330" s="16">
        <v>14000</v>
      </c>
      <c r="AA330" s="12" t="str">
        <f t="shared" si="73"/>
        <v>1/60</v>
      </c>
      <c r="AB330" s="12" t="str">
        <f t="shared" si="74"/>
        <v>100,0,100,100,100,100</v>
      </c>
      <c r="AC330" s="12">
        <f t="shared" si="75"/>
        <v>3</v>
      </c>
      <c r="AD330" s="12" t="str">
        <f t="shared" si="76"/>
        <v>2000/7000/14000</v>
      </c>
      <c r="AE330" s="12" t="str">
        <f t="shared" si="77"/>
        <v/>
      </c>
      <c r="AF330" s="12" t="str">
        <f t="shared" si="78"/>
        <v/>
      </c>
      <c r="AG330" s="12" t="str">
        <f t="shared" si="79"/>
        <v/>
      </c>
      <c r="AH330" s="12" t="str">
        <f t="shared" si="80"/>
        <v/>
      </c>
      <c r="AI330" s="12" t="str">
        <f t="shared" si="81"/>
        <v>10/5</v>
      </c>
    </row>
    <row r="331" spans="1:35" s="8" customFormat="1" ht="21.95" customHeight="1">
      <c r="A331" s="9">
        <v>329</v>
      </c>
      <c r="B331" s="17">
        <v>329</v>
      </c>
      <c r="C331" s="6">
        <v>0</v>
      </c>
      <c r="D331" s="6">
        <v>60</v>
      </c>
      <c r="E331" s="5">
        <v>100</v>
      </c>
      <c r="F331" s="5">
        <v>100</v>
      </c>
      <c r="G331" s="5">
        <v>0</v>
      </c>
      <c r="H331" s="5">
        <v>100</v>
      </c>
      <c r="I331" s="5">
        <v>100</v>
      </c>
      <c r="J331" s="5">
        <v>100</v>
      </c>
      <c r="K331" s="15" t="s">
        <v>56</v>
      </c>
      <c r="L331" s="6">
        <v>3</v>
      </c>
      <c r="M331" s="6">
        <v>0</v>
      </c>
      <c r="N331" s="6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0</v>
      </c>
      <c r="U331" s="6">
        <v>0</v>
      </c>
      <c r="V331" s="5">
        <v>10</v>
      </c>
      <c r="W331" s="5">
        <v>5</v>
      </c>
      <c r="X331" s="16">
        <v>2000</v>
      </c>
      <c r="Y331" s="16">
        <v>7000</v>
      </c>
      <c r="Z331" s="16">
        <v>14000</v>
      </c>
      <c r="AA331" s="12" t="str">
        <f t="shared" si="73"/>
        <v>1/60</v>
      </c>
      <c r="AB331" s="12" t="str">
        <f t="shared" si="74"/>
        <v>100,100,0,100,100,100</v>
      </c>
      <c r="AC331" s="12">
        <f t="shared" si="75"/>
        <v>5</v>
      </c>
      <c r="AD331" s="12" t="str">
        <f t="shared" si="76"/>
        <v>2000/7000/14000</v>
      </c>
      <c r="AE331" s="12" t="str">
        <f t="shared" si="77"/>
        <v/>
      </c>
      <c r="AF331" s="12" t="str">
        <f t="shared" si="78"/>
        <v/>
      </c>
      <c r="AG331" s="12" t="str">
        <f t="shared" si="79"/>
        <v/>
      </c>
      <c r="AH331" s="12" t="str">
        <f t="shared" si="80"/>
        <v/>
      </c>
      <c r="AI331" s="12" t="str">
        <f t="shared" si="81"/>
        <v>10/5</v>
      </c>
    </row>
    <row r="332" spans="1:35" s="8" customFormat="1" ht="21.95" customHeight="1">
      <c r="A332" s="9">
        <v>330</v>
      </c>
      <c r="B332" s="17">
        <v>330</v>
      </c>
      <c r="C332" s="6">
        <v>0</v>
      </c>
      <c r="D332" s="6">
        <v>60</v>
      </c>
      <c r="E332" s="5">
        <v>100</v>
      </c>
      <c r="F332" s="5">
        <v>100</v>
      </c>
      <c r="G332" s="5">
        <v>100</v>
      </c>
      <c r="H332" s="5">
        <v>0</v>
      </c>
      <c r="I332" s="5">
        <v>100</v>
      </c>
      <c r="J332" s="5">
        <v>100</v>
      </c>
      <c r="K332" s="15" t="s">
        <v>53</v>
      </c>
      <c r="L332" s="6">
        <v>3</v>
      </c>
      <c r="M332" s="6">
        <v>0</v>
      </c>
      <c r="N332" s="6">
        <v>0</v>
      </c>
      <c r="O332" s="5">
        <v>0</v>
      </c>
      <c r="P332" s="5">
        <v>0</v>
      </c>
      <c r="Q332" s="5">
        <v>0</v>
      </c>
      <c r="R332" s="5">
        <v>0</v>
      </c>
      <c r="S332" s="5">
        <v>18</v>
      </c>
      <c r="T332" s="5">
        <v>16</v>
      </c>
      <c r="U332" s="6">
        <v>0</v>
      </c>
      <c r="V332" s="5">
        <v>10</v>
      </c>
      <c r="W332" s="5">
        <v>5</v>
      </c>
      <c r="X332" s="16">
        <v>2000</v>
      </c>
      <c r="Y332" s="16">
        <v>7000</v>
      </c>
      <c r="Z332" s="16">
        <v>14000</v>
      </c>
      <c r="AA332" s="12" t="str">
        <f t="shared" si="73"/>
        <v>1/60</v>
      </c>
      <c r="AB332" s="12" t="str">
        <f t="shared" si="74"/>
        <v>100,100,100,0,100,100</v>
      </c>
      <c r="AC332" s="12">
        <f t="shared" si="75"/>
        <v>2</v>
      </c>
      <c r="AD332" s="12" t="str">
        <f t="shared" si="76"/>
        <v>2000/7000/14000</v>
      </c>
      <c r="AE332" s="12" t="str">
        <f t="shared" si="77"/>
        <v/>
      </c>
      <c r="AF332" s="12" t="str">
        <f t="shared" si="78"/>
        <v/>
      </c>
      <c r="AG332" s="12" t="str">
        <f t="shared" si="79"/>
        <v>4/5/</v>
      </c>
      <c r="AH332" s="12" t="str">
        <f t="shared" si="80"/>
        <v>18/16/</v>
      </c>
      <c r="AI332" s="12" t="str">
        <f t="shared" si="81"/>
        <v>10/5</v>
      </c>
    </row>
    <row r="333" spans="1:35" s="8" customFormat="1" ht="21.95" customHeight="1">
      <c r="A333" s="9">
        <v>331</v>
      </c>
      <c r="B333" s="17">
        <v>331</v>
      </c>
      <c r="C333" s="6">
        <v>30</v>
      </c>
      <c r="D333" s="6">
        <v>0</v>
      </c>
      <c r="E333" s="5">
        <v>100</v>
      </c>
      <c r="F333" s="5">
        <v>100</v>
      </c>
      <c r="G333" s="5">
        <v>100</v>
      </c>
      <c r="H333" s="5">
        <v>100</v>
      </c>
      <c r="I333" s="5">
        <v>0</v>
      </c>
      <c r="J333" s="5">
        <v>100</v>
      </c>
      <c r="K333" s="15" t="s">
        <v>53</v>
      </c>
      <c r="L333" s="6">
        <v>3</v>
      </c>
      <c r="M333" s="6">
        <v>0</v>
      </c>
      <c r="N333" s="6">
        <v>0</v>
      </c>
      <c r="O333" s="5">
        <v>16</v>
      </c>
      <c r="P333" s="5">
        <v>0</v>
      </c>
      <c r="Q333" s="5">
        <v>0</v>
      </c>
      <c r="R333" s="5">
        <v>0</v>
      </c>
      <c r="S333" s="5">
        <v>0</v>
      </c>
      <c r="T333" s="5">
        <v>18</v>
      </c>
      <c r="U333" s="6">
        <v>0</v>
      </c>
      <c r="V333" s="5">
        <v>10</v>
      </c>
      <c r="W333" s="5">
        <v>5</v>
      </c>
      <c r="X333" s="16">
        <v>2000</v>
      </c>
      <c r="Y333" s="16">
        <v>7000</v>
      </c>
      <c r="Z333" s="16">
        <v>14000</v>
      </c>
      <c r="AA333" s="12" t="str">
        <f t="shared" si="73"/>
        <v>0/30</v>
      </c>
      <c r="AB333" s="12" t="str">
        <f t="shared" si="74"/>
        <v>100,100,100,100,0,100</v>
      </c>
      <c r="AC333" s="12">
        <f t="shared" si="75"/>
        <v>2</v>
      </c>
      <c r="AD333" s="12" t="str">
        <f t="shared" si="76"/>
        <v>2000/7000/14000</v>
      </c>
      <c r="AE333" s="12" t="str">
        <f t="shared" si="77"/>
        <v/>
      </c>
      <c r="AF333" s="12" t="str">
        <f t="shared" si="78"/>
        <v/>
      </c>
      <c r="AG333" s="12" t="str">
        <f t="shared" si="79"/>
        <v>0/5/</v>
      </c>
      <c r="AH333" s="12" t="str">
        <f t="shared" si="80"/>
        <v>16/18/</v>
      </c>
      <c r="AI333" s="12" t="str">
        <f t="shared" si="81"/>
        <v>10/5</v>
      </c>
    </row>
    <row r="334" spans="1:35" s="8" customFormat="1" ht="21.95" customHeight="1">
      <c r="A334" s="9">
        <v>332</v>
      </c>
      <c r="B334" s="17">
        <v>332</v>
      </c>
      <c r="C334" s="6">
        <v>30</v>
      </c>
      <c r="D334" s="6">
        <v>0</v>
      </c>
      <c r="E334" s="5">
        <v>100</v>
      </c>
      <c r="F334" s="5">
        <v>100</v>
      </c>
      <c r="G334" s="5">
        <v>100</v>
      </c>
      <c r="H334" s="5">
        <v>100</v>
      </c>
      <c r="I334" s="5">
        <v>100</v>
      </c>
      <c r="J334" s="5">
        <v>0</v>
      </c>
      <c r="K334" s="15" t="s">
        <v>52</v>
      </c>
      <c r="L334" s="6">
        <v>3</v>
      </c>
      <c r="M334" s="6">
        <v>6</v>
      </c>
      <c r="N334" s="6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0</v>
      </c>
      <c r="U334" s="6">
        <v>0</v>
      </c>
      <c r="V334" s="5">
        <v>10</v>
      </c>
      <c r="W334" s="5">
        <v>5</v>
      </c>
      <c r="X334" s="16">
        <v>2000</v>
      </c>
      <c r="Y334" s="16">
        <v>7000</v>
      </c>
      <c r="Z334" s="16">
        <v>14000</v>
      </c>
      <c r="AA334" s="12" t="str">
        <f t="shared" si="73"/>
        <v>0/30</v>
      </c>
      <c r="AB334" s="12" t="str">
        <f t="shared" si="74"/>
        <v>100,100,100,100,100,0</v>
      </c>
      <c r="AC334" s="12">
        <f t="shared" si="75"/>
        <v>1</v>
      </c>
      <c r="AD334" s="12" t="str">
        <f t="shared" si="76"/>
        <v>2000/7000/14000</v>
      </c>
      <c r="AE334" s="12" t="str">
        <f t="shared" si="77"/>
        <v>0/</v>
      </c>
      <c r="AF334" s="12" t="str">
        <f t="shared" si="78"/>
        <v>6/</v>
      </c>
      <c r="AG334" s="12" t="str">
        <f t="shared" si="79"/>
        <v/>
      </c>
      <c r="AH334" s="12" t="str">
        <f t="shared" si="80"/>
        <v/>
      </c>
      <c r="AI334" s="12" t="str">
        <f t="shared" si="81"/>
        <v>10/5</v>
      </c>
    </row>
    <row r="335" spans="1:35" s="8" customFormat="1" ht="21.95" customHeight="1">
      <c r="A335" s="9">
        <v>333</v>
      </c>
      <c r="B335" s="17">
        <v>333</v>
      </c>
      <c r="C335" s="6">
        <v>30</v>
      </c>
      <c r="D335" s="6">
        <v>0</v>
      </c>
      <c r="E335" s="5">
        <v>0</v>
      </c>
      <c r="F335" s="5">
        <v>100</v>
      </c>
      <c r="G335" s="5">
        <v>100</v>
      </c>
      <c r="H335" s="5">
        <v>100</v>
      </c>
      <c r="I335" s="5">
        <v>100</v>
      </c>
      <c r="J335" s="5">
        <v>100</v>
      </c>
      <c r="K335" s="15" t="s">
        <v>52</v>
      </c>
      <c r="L335" s="6">
        <v>3</v>
      </c>
      <c r="M335" s="6">
        <v>0</v>
      </c>
      <c r="N335" s="6">
        <v>6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0</v>
      </c>
      <c r="U335" s="6">
        <v>0</v>
      </c>
      <c r="V335" s="5">
        <v>10</v>
      </c>
      <c r="W335" s="5">
        <v>5</v>
      </c>
      <c r="X335" s="16">
        <v>2000</v>
      </c>
      <c r="Y335" s="16">
        <v>7000</v>
      </c>
      <c r="Z335" s="16">
        <v>14000</v>
      </c>
      <c r="AA335" s="12" t="str">
        <f t="shared" si="73"/>
        <v>0/30</v>
      </c>
      <c r="AB335" s="12" t="str">
        <f t="shared" si="74"/>
        <v>0,100,100,100,100,100</v>
      </c>
      <c r="AC335" s="12">
        <f t="shared" si="75"/>
        <v>1</v>
      </c>
      <c r="AD335" s="12" t="str">
        <f t="shared" si="76"/>
        <v>2000/7000/14000</v>
      </c>
      <c r="AE335" s="12" t="str">
        <f t="shared" si="77"/>
        <v>1/</v>
      </c>
      <c r="AF335" s="12" t="str">
        <f t="shared" si="78"/>
        <v>6/</v>
      </c>
      <c r="AG335" s="12" t="str">
        <f t="shared" si="79"/>
        <v/>
      </c>
      <c r="AH335" s="12" t="str">
        <f t="shared" si="80"/>
        <v/>
      </c>
      <c r="AI335" s="12" t="str">
        <f t="shared" si="81"/>
        <v>10/5</v>
      </c>
    </row>
    <row r="336" spans="1:35" s="8" customFormat="1" ht="21.95" customHeight="1">
      <c r="A336" s="9">
        <v>334</v>
      </c>
      <c r="B336" s="17">
        <v>334</v>
      </c>
      <c r="C336" s="6">
        <v>0</v>
      </c>
      <c r="D336" s="6">
        <v>60</v>
      </c>
      <c r="E336" s="5">
        <v>100</v>
      </c>
      <c r="F336" s="5">
        <v>0</v>
      </c>
      <c r="G336" s="5">
        <v>100</v>
      </c>
      <c r="H336" s="5">
        <v>100</v>
      </c>
      <c r="I336" s="5">
        <v>100</v>
      </c>
      <c r="J336" s="5">
        <v>100</v>
      </c>
      <c r="K336" s="15" t="s">
        <v>54</v>
      </c>
      <c r="L336" s="6">
        <v>3</v>
      </c>
      <c r="M336" s="6">
        <v>0</v>
      </c>
      <c r="N336" s="6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0</v>
      </c>
      <c r="U336" s="6">
        <v>0</v>
      </c>
      <c r="V336" s="5">
        <v>10</v>
      </c>
      <c r="W336" s="5">
        <v>5</v>
      </c>
      <c r="X336" s="16">
        <v>2000</v>
      </c>
      <c r="Y336" s="16">
        <v>7000</v>
      </c>
      <c r="Z336" s="16">
        <v>14000</v>
      </c>
      <c r="AA336" s="12" t="str">
        <f t="shared" si="73"/>
        <v>1/60</v>
      </c>
      <c r="AB336" s="12" t="str">
        <f t="shared" si="74"/>
        <v>100,0,100,100,100,100</v>
      </c>
      <c r="AC336" s="12">
        <f t="shared" si="75"/>
        <v>3</v>
      </c>
      <c r="AD336" s="12" t="str">
        <f t="shared" si="76"/>
        <v>2000/7000/14000</v>
      </c>
      <c r="AE336" s="12" t="str">
        <f t="shared" si="77"/>
        <v/>
      </c>
      <c r="AF336" s="12" t="str">
        <f t="shared" si="78"/>
        <v/>
      </c>
      <c r="AG336" s="12" t="str">
        <f t="shared" si="79"/>
        <v/>
      </c>
      <c r="AH336" s="12" t="str">
        <f t="shared" si="80"/>
        <v/>
      </c>
      <c r="AI336" s="12" t="str">
        <f t="shared" si="81"/>
        <v>10/5</v>
      </c>
    </row>
    <row r="337" spans="1:35" s="8" customFormat="1" ht="21.95" customHeight="1">
      <c r="A337" s="9">
        <v>335</v>
      </c>
      <c r="B337" s="17">
        <v>335</v>
      </c>
      <c r="C337" s="6">
        <v>0</v>
      </c>
      <c r="D337" s="6">
        <v>60</v>
      </c>
      <c r="E337" s="5">
        <v>100</v>
      </c>
      <c r="F337" s="5">
        <v>100</v>
      </c>
      <c r="G337" s="5">
        <v>0</v>
      </c>
      <c r="H337" s="5">
        <v>100</v>
      </c>
      <c r="I337" s="5">
        <v>100</v>
      </c>
      <c r="J337" s="5">
        <v>100</v>
      </c>
      <c r="K337" s="15" t="s">
        <v>54</v>
      </c>
      <c r="L337" s="6">
        <v>3</v>
      </c>
      <c r="M337" s="6">
        <v>0</v>
      </c>
      <c r="N337" s="6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0</v>
      </c>
      <c r="U337" s="6">
        <v>0</v>
      </c>
      <c r="V337" s="5">
        <v>10</v>
      </c>
      <c r="W337" s="5">
        <v>5</v>
      </c>
      <c r="X337" s="16">
        <v>2000</v>
      </c>
      <c r="Y337" s="16">
        <v>7000</v>
      </c>
      <c r="Z337" s="16">
        <v>14000</v>
      </c>
      <c r="AA337" s="12" t="str">
        <f t="shared" si="73"/>
        <v>1/60</v>
      </c>
      <c r="AB337" s="12" t="str">
        <f t="shared" si="74"/>
        <v>100,100,0,100,100,100</v>
      </c>
      <c r="AC337" s="12">
        <f t="shared" si="75"/>
        <v>3</v>
      </c>
      <c r="AD337" s="12" t="str">
        <f t="shared" si="76"/>
        <v>2000/7000/14000</v>
      </c>
      <c r="AE337" s="12" t="str">
        <f t="shared" si="77"/>
        <v/>
      </c>
      <c r="AF337" s="12" t="str">
        <f t="shared" si="78"/>
        <v/>
      </c>
      <c r="AG337" s="12" t="str">
        <f t="shared" si="79"/>
        <v/>
      </c>
      <c r="AH337" s="12" t="str">
        <f t="shared" si="80"/>
        <v/>
      </c>
      <c r="AI337" s="12" t="str">
        <f t="shared" si="81"/>
        <v>10/5</v>
      </c>
    </row>
    <row r="338" spans="1:35" s="8" customFormat="1" ht="21.95" customHeight="1">
      <c r="A338" s="9">
        <v>336</v>
      </c>
      <c r="B338" s="17">
        <v>336</v>
      </c>
      <c r="C338" s="6">
        <v>30</v>
      </c>
      <c r="D338" s="6">
        <v>0</v>
      </c>
      <c r="E338" s="5">
        <v>100</v>
      </c>
      <c r="F338" s="5">
        <v>100</v>
      </c>
      <c r="G338" s="5">
        <v>100</v>
      </c>
      <c r="H338" s="5">
        <v>0</v>
      </c>
      <c r="I338" s="5">
        <v>100</v>
      </c>
      <c r="J338" s="5">
        <v>100</v>
      </c>
      <c r="K338" s="15" t="s">
        <v>55</v>
      </c>
      <c r="L338" s="6">
        <v>3</v>
      </c>
      <c r="M338" s="6">
        <v>0</v>
      </c>
      <c r="N338" s="6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0</v>
      </c>
      <c r="U338" s="6">
        <v>5</v>
      </c>
      <c r="V338" s="5">
        <v>10</v>
      </c>
      <c r="W338" s="5">
        <v>5</v>
      </c>
      <c r="X338" s="16">
        <v>2000</v>
      </c>
      <c r="Y338" s="16">
        <v>7000</v>
      </c>
      <c r="Z338" s="16">
        <v>14000</v>
      </c>
      <c r="AA338" s="12" t="str">
        <f t="shared" si="73"/>
        <v>0/30</v>
      </c>
      <c r="AB338" s="12" t="str">
        <f t="shared" si="74"/>
        <v>100,100,100,0,100,100</v>
      </c>
      <c r="AC338" s="12">
        <f t="shared" si="75"/>
        <v>4</v>
      </c>
      <c r="AD338" s="12" t="str">
        <f t="shared" si="76"/>
        <v>2000/7000/14000</v>
      </c>
      <c r="AE338" s="12" t="str">
        <f t="shared" si="77"/>
        <v/>
      </c>
      <c r="AF338" s="12" t="str">
        <f t="shared" si="78"/>
        <v/>
      </c>
      <c r="AG338" s="12" t="str">
        <f t="shared" si="79"/>
        <v/>
      </c>
      <c r="AH338" s="12" t="str">
        <f t="shared" si="80"/>
        <v/>
      </c>
      <c r="AI338" s="12" t="str">
        <f t="shared" si="81"/>
        <v>10/5</v>
      </c>
    </row>
    <row r="339" spans="1:35" s="8" customFormat="1" ht="21.95" customHeight="1">
      <c r="A339" s="9">
        <v>337</v>
      </c>
      <c r="B339" s="17">
        <v>337</v>
      </c>
      <c r="C339" s="6">
        <v>30</v>
      </c>
      <c r="D339" s="6">
        <v>0</v>
      </c>
      <c r="E339" s="5">
        <v>100</v>
      </c>
      <c r="F339" s="5">
        <v>100</v>
      </c>
      <c r="G339" s="5">
        <v>100</v>
      </c>
      <c r="H339" s="5">
        <v>100</v>
      </c>
      <c r="I339" s="5">
        <v>0</v>
      </c>
      <c r="J339" s="5">
        <v>100</v>
      </c>
      <c r="K339" s="15" t="s">
        <v>55</v>
      </c>
      <c r="L339" s="6">
        <v>3</v>
      </c>
      <c r="M339" s="6">
        <v>0</v>
      </c>
      <c r="N339" s="6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0</v>
      </c>
      <c r="U339" s="6">
        <v>5</v>
      </c>
      <c r="V339" s="5">
        <v>10</v>
      </c>
      <c r="W339" s="5">
        <v>5</v>
      </c>
      <c r="X339" s="16">
        <v>2000</v>
      </c>
      <c r="Y339" s="16">
        <v>7000</v>
      </c>
      <c r="Z339" s="16">
        <v>14000</v>
      </c>
      <c r="AA339" s="12" t="str">
        <f t="shared" si="73"/>
        <v>0/30</v>
      </c>
      <c r="AB339" s="12" t="str">
        <f t="shared" si="74"/>
        <v>100,100,100,100,0,100</v>
      </c>
      <c r="AC339" s="12">
        <f t="shared" si="75"/>
        <v>4</v>
      </c>
      <c r="AD339" s="12" t="str">
        <f t="shared" si="76"/>
        <v>2000/7000/14000</v>
      </c>
      <c r="AE339" s="12" t="str">
        <f t="shared" si="77"/>
        <v/>
      </c>
      <c r="AF339" s="12" t="str">
        <f t="shared" si="78"/>
        <v/>
      </c>
      <c r="AG339" s="12" t="str">
        <f t="shared" si="79"/>
        <v/>
      </c>
      <c r="AH339" s="12" t="str">
        <f t="shared" si="80"/>
        <v/>
      </c>
      <c r="AI339" s="12" t="str">
        <f t="shared" si="81"/>
        <v>10/5</v>
      </c>
    </row>
    <row r="340" spans="1:35" s="8" customFormat="1" ht="21.95" customHeight="1">
      <c r="A340" s="9">
        <v>338</v>
      </c>
      <c r="B340" s="17">
        <v>338</v>
      </c>
      <c r="C340" s="6">
        <v>30</v>
      </c>
      <c r="D340" s="6">
        <v>0</v>
      </c>
      <c r="E340" s="5">
        <v>100</v>
      </c>
      <c r="F340" s="5">
        <v>100</v>
      </c>
      <c r="G340" s="5">
        <v>100</v>
      </c>
      <c r="H340" s="5">
        <v>100</v>
      </c>
      <c r="I340" s="5">
        <v>100</v>
      </c>
      <c r="J340" s="5">
        <v>0</v>
      </c>
      <c r="K340" s="15" t="s">
        <v>56</v>
      </c>
      <c r="L340" s="6">
        <v>3</v>
      </c>
      <c r="M340" s="6">
        <v>0</v>
      </c>
      <c r="N340" s="6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0</v>
      </c>
      <c r="U340" s="6">
        <v>0</v>
      </c>
      <c r="V340" s="5">
        <v>10</v>
      </c>
      <c r="W340" s="5">
        <v>5</v>
      </c>
      <c r="X340" s="16">
        <v>2000</v>
      </c>
      <c r="Y340" s="16">
        <v>7000</v>
      </c>
      <c r="Z340" s="16">
        <v>14000</v>
      </c>
      <c r="AA340" s="12" t="str">
        <f t="shared" si="73"/>
        <v>0/30</v>
      </c>
      <c r="AB340" s="12" t="str">
        <f t="shared" si="74"/>
        <v>100,100,100,100,100,0</v>
      </c>
      <c r="AC340" s="12">
        <f t="shared" si="75"/>
        <v>5</v>
      </c>
      <c r="AD340" s="12" t="str">
        <f t="shared" si="76"/>
        <v>2000/7000/14000</v>
      </c>
      <c r="AE340" s="12" t="str">
        <f t="shared" si="77"/>
        <v/>
      </c>
      <c r="AF340" s="12" t="str">
        <f t="shared" si="78"/>
        <v/>
      </c>
      <c r="AG340" s="12" t="str">
        <f t="shared" si="79"/>
        <v/>
      </c>
      <c r="AH340" s="12" t="str">
        <f t="shared" si="80"/>
        <v/>
      </c>
      <c r="AI340" s="12" t="str">
        <f t="shared" si="81"/>
        <v>10/5</v>
      </c>
    </row>
    <row r="341" spans="1:35" s="8" customFormat="1" ht="21.95" customHeight="1">
      <c r="A341" s="9">
        <v>339</v>
      </c>
      <c r="B341" s="17">
        <v>339</v>
      </c>
      <c r="C341" s="6">
        <v>30</v>
      </c>
      <c r="D341" s="6">
        <v>0</v>
      </c>
      <c r="E341" s="5">
        <v>0</v>
      </c>
      <c r="F341" s="5">
        <v>100</v>
      </c>
      <c r="G341" s="5">
        <v>100</v>
      </c>
      <c r="H341" s="5">
        <v>100</v>
      </c>
      <c r="I341" s="5">
        <v>100</v>
      </c>
      <c r="J341" s="5">
        <v>100</v>
      </c>
      <c r="K341" s="15" t="s">
        <v>56</v>
      </c>
      <c r="L341" s="6">
        <v>3</v>
      </c>
      <c r="M341" s="6">
        <v>0</v>
      </c>
      <c r="N341" s="6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0</v>
      </c>
      <c r="U341" s="6">
        <v>0</v>
      </c>
      <c r="V341" s="5">
        <v>10</v>
      </c>
      <c r="W341" s="5">
        <v>5</v>
      </c>
      <c r="X341" s="16">
        <v>2000</v>
      </c>
      <c r="Y341" s="16">
        <v>7000</v>
      </c>
      <c r="Z341" s="16">
        <v>14000</v>
      </c>
      <c r="AA341" s="12" t="str">
        <f t="shared" si="73"/>
        <v>0/30</v>
      </c>
      <c r="AB341" s="12" t="str">
        <f t="shared" si="74"/>
        <v>0,100,100,100,100,100</v>
      </c>
      <c r="AC341" s="12">
        <f t="shared" si="75"/>
        <v>5</v>
      </c>
      <c r="AD341" s="12" t="str">
        <f t="shared" si="76"/>
        <v>2000/7000/14000</v>
      </c>
      <c r="AE341" s="12" t="str">
        <f t="shared" si="77"/>
        <v/>
      </c>
      <c r="AF341" s="12" t="str">
        <f t="shared" si="78"/>
        <v/>
      </c>
      <c r="AG341" s="12" t="str">
        <f t="shared" si="79"/>
        <v/>
      </c>
      <c r="AH341" s="12" t="str">
        <f t="shared" si="80"/>
        <v/>
      </c>
      <c r="AI341" s="12" t="str">
        <f t="shared" si="81"/>
        <v>10/5</v>
      </c>
    </row>
    <row r="342" spans="1:35" s="8" customFormat="1" ht="21.95" customHeight="1">
      <c r="A342" s="9">
        <v>340</v>
      </c>
      <c r="B342" s="17">
        <v>340</v>
      </c>
      <c r="C342" s="6">
        <v>30</v>
      </c>
      <c r="D342" s="6">
        <v>0</v>
      </c>
      <c r="E342" s="5">
        <v>100</v>
      </c>
      <c r="F342" s="5">
        <v>0</v>
      </c>
      <c r="G342" s="5">
        <v>100</v>
      </c>
      <c r="H342" s="5">
        <v>100</v>
      </c>
      <c r="I342" s="5">
        <v>100</v>
      </c>
      <c r="J342" s="5">
        <v>100</v>
      </c>
      <c r="K342" s="15" t="s">
        <v>53</v>
      </c>
      <c r="L342" s="6">
        <v>3</v>
      </c>
      <c r="M342" s="6">
        <v>0</v>
      </c>
      <c r="N342" s="6">
        <v>0</v>
      </c>
      <c r="O342" s="5">
        <v>0</v>
      </c>
      <c r="P342" s="5">
        <v>0</v>
      </c>
      <c r="Q342" s="5">
        <v>20</v>
      </c>
      <c r="R342" s="5">
        <v>24</v>
      </c>
      <c r="S342" s="5">
        <v>0</v>
      </c>
      <c r="T342" s="5">
        <v>0</v>
      </c>
      <c r="U342" s="6">
        <v>0</v>
      </c>
      <c r="V342" s="5">
        <v>10</v>
      </c>
      <c r="W342" s="5">
        <v>5</v>
      </c>
      <c r="X342" s="16">
        <v>2000</v>
      </c>
      <c r="Y342" s="16">
        <v>7000</v>
      </c>
      <c r="Z342" s="16">
        <v>14000</v>
      </c>
      <c r="AA342" s="12" t="str">
        <f t="shared" si="73"/>
        <v>0/30</v>
      </c>
      <c r="AB342" s="12" t="str">
        <f t="shared" si="74"/>
        <v>100,0,100,100,100,100</v>
      </c>
      <c r="AC342" s="12">
        <f t="shared" si="75"/>
        <v>2</v>
      </c>
      <c r="AD342" s="12" t="str">
        <f t="shared" si="76"/>
        <v>2000/7000/14000</v>
      </c>
      <c r="AE342" s="12" t="str">
        <f t="shared" si="77"/>
        <v/>
      </c>
      <c r="AF342" s="12" t="str">
        <f t="shared" si="78"/>
        <v/>
      </c>
      <c r="AG342" s="12" t="str">
        <f t="shared" si="79"/>
        <v>2/3/</v>
      </c>
      <c r="AH342" s="12" t="str">
        <f t="shared" si="80"/>
        <v>20/24/</v>
      </c>
      <c r="AI342" s="12" t="str">
        <f t="shared" si="81"/>
        <v>10/5</v>
      </c>
    </row>
    <row r="343" spans="1:35" s="8" customFormat="1" ht="21.95" customHeight="1">
      <c r="A343" s="9">
        <v>341</v>
      </c>
      <c r="B343" s="17">
        <v>341</v>
      </c>
      <c r="C343" s="6">
        <v>30</v>
      </c>
      <c r="D343" s="6">
        <v>0</v>
      </c>
      <c r="E343" s="5">
        <v>100</v>
      </c>
      <c r="F343" s="5">
        <v>100</v>
      </c>
      <c r="G343" s="5">
        <v>0</v>
      </c>
      <c r="H343" s="5">
        <v>100</v>
      </c>
      <c r="I343" s="5">
        <v>100</v>
      </c>
      <c r="J343" s="5">
        <v>100</v>
      </c>
      <c r="K343" s="15" t="s">
        <v>53</v>
      </c>
      <c r="L343" s="6">
        <v>3</v>
      </c>
      <c r="M343" s="6">
        <v>0</v>
      </c>
      <c r="N343" s="6">
        <v>0</v>
      </c>
      <c r="O343" s="5">
        <v>0</v>
      </c>
      <c r="P343" s="5">
        <v>0</v>
      </c>
      <c r="Q343" s="5">
        <v>0</v>
      </c>
      <c r="R343" s="5">
        <v>18</v>
      </c>
      <c r="S343" s="5">
        <v>32</v>
      </c>
      <c r="T343" s="5">
        <v>0</v>
      </c>
      <c r="U343" s="6">
        <v>0</v>
      </c>
      <c r="V343" s="5">
        <v>10</v>
      </c>
      <c r="W343" s="5">
        <v>5</v>
      </c>
      <c r="X343" s="16">
        <v>2000</v>
      </c>
      <c r="Y343" s="16">
        <v>7000</v>
      </c>
      <c r="Z343" s="16">
        <v>14000</v>
      </c>
      <c r="AA343" s="12" t="str">
        <f t="shared" si="73"/>
        <v>0/30</v>
      </c>
      <c r="AB343" s="12" t="str">
        <f t="shared" si="74"/>
        <v>100,100,0,100,100,100</v>
      </c>
      <c r="AC343" s="12">
        <f t="shared" si="75"/>
        <v>2</v>
      </c>
      <c r="AD343" s="12" t="str">
        <f t="shared" si="76"/>
        <v>2000/7000/14000</v>
      </c>
      <c r="AE343" s="12" t="str">
        <f t="shared" si="77"/>
        <v/>
      </c>
      <c r="AF343" s="12" t="str">
        <f t="shared" si="78"/>
        <v/>
      </c>
      <c r="AG343" s="12" t="str">
        <f t="shared" si="79"/>
        <v>3/4/</v>
      </c>
      <c r="AH343" s="12" t="str">
        <f t="shared" si="80"/>
        <v>18/32/</v>
      </c>
      <c r="AI343" s="12" t="str">
        <f t="shared" si="81"/>
        <v>10/5</v>
      </c>
    </row>
    <row r="344" spans="1:35" s="8" customFormat="1" ht="21.95" customHeight="1">
      <c r="A344" s="9">
        <v>342</v>
      </c>
      <c r="B344" s="17">
        <v>342</v>
      </c>
      <c r="C344" s="6">
        <v>0</v>
      </c>
      <c r="D344" s="6">
        <v>60</v>
      </c>
      <c r="E344" s="5">
        <v>100</v>
      </c>
      <c r="F344" s="5">
        <v>100</v>
      </c>
      <c r="G344" s="5">
        <v>100</v>
      </c>
      <c r="H344" s="5">
        <v>0</v>
      </c>
      <c r="I344" s="5">
        <v>100</v>
      </c>
      <c r="J344" s="5">
        <v>100</v>
      </c>
      <c r="K344" s="15" t="s">
        <v>52</v>
      </c>
      <c r="L344" s="6">
        <v>3</v>
      </c>
      <c r="M344" s="6">
        <v>6</v>
      </c>
      <c r="N344" s="6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0</v>
      </c>
      <c r="U344" s="6">
        <v>0</v>
      </c>
      <c r="V344" s="5">
        <v>10</v>
      </c>
      <c r="W344" s="5">
        <v>5</v>
      </c>
      <c r="X344" s="16">
        <v>2000</v>
      </c>
      <c r="Y344" s="16">
        <v>7000</v>
      </c>
      <c r="Z344" s="16">
        <v>14000</v>
      </c>
      <c r="AA344" s="12" t="str">
        <f t="shared" si="73"/>
        <v>1/60</v>
      </c>
      <c r="AB344" s="12" t="str">
        <f t="shared" si="74"/>
        <v>100,100,100,0,100,100</v>
      </c>
      <c r="AC344" s="12">
        <f t="shared" si="75"/>
        <v>1</v>
      </c>
      <c r="AD344" s="12" t="str">
        <f t="shared" si="76"/>
        <v>2000/7000/14000</v>
      </c>
      <c r="AE344" s="12" t="str">
        <f t="shared" si="77"/>
        <v>0/</v>
      </c>
      <c r="AF344" s="12" t="str">
        <f t="shared" si="78"/>
        <v>6/</v>
      </c>
      <c r="AG344" s="12" t="str">
        <f t="shared" si="79"/>
        <v/>
      </c>
      <c r="AH344" s="12" t="str">
        <f t="shared" si="80"/>
        <v/>
      </c>
      <c r="AI344" s="12" t="str">
        <f t="shared" si="81"/>
        <v>10/5</v>
      </c>
    </row>
    <row r="345" spans="1:35" s="8" customFormat="1" ht="21.95" customHeight="1">
      <c r="A345" s="9">
        <v>343</v>
      </c>
      <c r="B345" s="17">
        <v>343</v>
      </c>
      <c r="C345" s="6">
        <v>0</v>
      </c>
      <c r="D345" s="6">
        <v>60</v>
      </c>
      <c r="E345" s="5">
        <v>100</v>
      </c>
      <c r="F345" s="5">
        <v>100</v>
      </c>
      <c r="G345" s="5">
        <v>100</v>
      </c>
      <c r="H345" s="5">
        <v>100</v>
      </c>
      <c r="I345" s="5">
        <v>0</v>
      </c>
      <c r="J345" s="5">
        <v>100</v>
      </c>
      <c r="K345" s="15" t="s">
        <v>52</v>
      </c>
      <c r="L345" s="6">
        <v>3</v>
      </c>
      <c r="M345" s="6">
        <v>2</v>
      </c>
      <c r="N345" s="6">
        <v>4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0</v>
      </c>
      <c r="U345" s="6">
        <v>0</v>
      </c>
      <c r="V345" s="5">
        <v>10</v>
      </c>
      <c r="W345" s="5">
        <v>5</v>
      </c>
      <c r="X345" s="16">
        <v>2000</v>
      </c>
      <c r="Y345" s="16">
        <v>7000</v>
      </c>
      <c r="Z345" s="16">
        <v>14000</v>
      </c>
      <c r="AA345" s="12" t="str">
        <f t="shared" si="73"/>
        <v>1/60</v>
      </c>
      <c r="AB345" s="12" t="str">
        <f t="shared" si="74"/>
        <v>100,100,100,100,0,100</v>
      </c>
      <c r="AC345" s="12">
        <f t="shared" si="75"/>
        <v>1</v>
      </c>
      <c r="AD345" s="12" t="str">
        <f t="shared" si="76"/>
        <v>2000/7000/14000</v>
      </c>
      <c r="AE345" s="12" t="str">
        <f t="shared" si="77"/>
        <v>0/1/</v>
      </c>
      <c r="AF345" s="12" t="str">
        <f t="shared" si="78"/>
        <v>2/4/</v>
      </c>
      <c r="AG345" s="12" t="str">
        <f t="shared" si="79"/>
        <v/>
      </c>
      <c r="AH345" s="12" t="str">
        <f t="shared" si="80"/>
        <v/>
      </c>
      <c r="AI345" s="12" t="str">
        <f t="shared" si="81"/>
        <v>10/5</v>
      </c>
    </row>
    <row r="346" spans="1:35" s="8" customFormat="1" ht="21.95" customHeight="1">
      <c r="A346" s="9">
        <v>344</v>
      </c>
      <c r="B346" s="17">
        <v>344</v>
      </c>
      <c r="C346" s="6">
        <v>30</v>
      </c>
      <c r="D346" s="6">
        <v>0</v>
      </c>
      <c r="E346" s="5">
        <v>100</v>
      </c>
      <c r="F346" s="5">
        <v>100</v>
      </c>
      <c r="G346" s="5">
        <v>100</v>
      </c>
      <c r="H346" s="5">
        <v>100</v>
      </c>
      <c r="I346" s="5">
        <v>100</v>
      </c>
      <c r="J346" s="5">
        <v>0</v>
      </c>
      <c r="K346" s="15" t="s">
        <v>54</v>
      </c>
      <c r="L346" s="6">
        <v>3</v>
      </c>
      <c r="M346" s="6">
        <v>0</v>
      </c>
      <c r="N346" s="6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0</v>
      </c>
      <c r="U346" s="6">
        <v>0</v>
      </c>
      <c r="V346" s="5">
        <v>10</v>
      </c>
      <c r="W346" s="5">
        <v>5</v>
      </c>
      <c r="X346" s="16">
        <v>2000</v>
      </c>
      <c r="Y346" s="16">
        <v>7000</v>
      </c>
      <c r="Z346" s="16">
        <v>14000</v>
      </c>
      <c r="AA346" s="12" t="str">
        <f t="shared" si="73"/>
        <v>0/30</v>
      </c>
      <c r="AB346" s="12" t="str">
        <f t="shared" si="74"/>
        <v>100,100,100,100,100,0</v>
      </c>
      <c r="AC346" s="12">
        <f t="shared" si="75"/>
        <v>3</v>
      </c>
      <c r="AD346" s="12" t="str">
        <f t="shared" si="76"/>
        <v>2000/7000/14000</v>
      </c>
      <c r="AE346" s="12" t="str">
        <f t="shared" si="77"/>
        <v/>
      </c>
      <c r="AF346" s="12" t="str">
        <f t="shared" si="78"/>
        <v/>
      </c>
      <c r="AG346" s="12" t="str">
        <f t="shared" si="79"/>
        <v/>
      </c>
      <c r="AH346" s="12" t="str">
        <f t="shared" si="80"/>
        <v/>
      </c>
      <c r="AI346" s="12" t="str">
        <f t="shared" si="81"/>
        <v>10/5</v>
      </c>
    </row>
    <row r="347" spans="1:35" s="8" customFormat="1" ht="21.95" customHeight="1">
      <c r="A347" s="9">
        <v>345</v>
      </c>
      <c r="B347" s="17">
        <v>345</v>
      </c>
      <c r="C347" s="6">
        <v>30</v>
      </c>
      <c r="D347" s="6">
        <v>0</v>
      </c>
      <c r="E347" s="5">
        <v>0</v>
      </c>
      <c r="F347" s="5">
        <v>100</v>
      </c>
      <c r="G347" s="5">
        <v>100</v>
      </c>
      <c r="H347" s="5">
        <v>100</v>
      </c>
      <c r="I347" s="5">
        <v>100</v>
      </c>
      <c r="J347" s="5">
        <v>100</v>
      </c>
      <c r="K347" s="15" t="s">
        <v>54</v>
      </c>
      <c r="L347" s="6">
        <v>3</v>
      </c>
      <c r="M347" s="6">
        <v>0</v>
      </c>
      <c r="N347" s="6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0</v>
      </c>
      <c r="U347" s="6">
        <v>0</v>
      </c>
      <c r="V347" s="5">
        <v>10</v>
      </c>
      <c r="W347" s="5">
        <v>5</v>
      </c>
      <c r="X347" s="16">
        <v>2000</v>
      </c>
      <c r="Y347" s="16">
        <v>7000</v>
      </c>
      <c r="Z347" s="16">
        <v>14000</v>
      </c>
      <c r="AA347" s="12" t="str">
        <f t="shared" si="73"/>
        <v>0/30</v>
      </c>
      <c r="AB347" s="12" t="str">
        <f t="shared" si="74"/>
        <v>0,100,100,100,100,100</v>
      </c>
      <c r="AC347" s="12">
        <f t="shared" si="75"/>
        <v>3</v>
      </c>
      <c r="AD347" s="12" t="str">
        <f t="shared" si="76"/>
        <v>2000/7000/14000</v>
      </c>
      <c r="AE347" s="12" t="str">
        <f t="shared" si="77"/>
        <v/>
      </c>
      <c r="AF347" s="12" t="str">
        <f t="shared" si="78"/>
        <v/>
      </c>
      <c r="AG347" s="12" t="str">
        <f t="shared" si="79"/>
        <v/>
      </c>
      <c r="AH347" s="12" t="str">
        <f t="shared" si="80"/>
        <v/>
      </c>
      <c r="AI347" s="12" t="str">
        <f t="shared" si="81"/>
        <v>10/5</v>
      </c>
    </row>
    <row r="348" spans="1:35" s="8" customFormat="1" ht="21.95" customHeight="1">
      <c r="A348" s="9">
        <v>346</v>
      </c>
      <c r="B348" s="17">
        <v>346</v>
      </c>
      <c r="C348" s="6">
        <v>30</v>
      </c>
      <c r="D348" s="6">
        <v>0</v>
      </c>
      <c r="E348" s="5">
        <v>100</v>
      </c>
      <c r="F348" s="5">
        <v>0</v>
      </c>
      <c r="G348" s="5">
        <v>100</v>
      </c>
      <c r="H348" s="5">
        <v>100</v>
      </c>
      <c r="I348" s="5">
        <v>100</v>
      </c>
      <c r="J348" s="5">
        <v>100</v>
      </c>
      <c r="K348" s="15" t="s">
        <v>55</v>
      </c>
      <c r="L348" s="6">
        <v>3</v>
      </c>
      <c r="M348" s="6">
        <v>0</v>
      </c>
      <c r="N348" s="6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0</v>
      </c>
      <c r="U348" s="6">
        <v>5</v>
      </c>
      <c r="V348" s="5">
        <v>10</v>
      </c>
      <c r="W348" s="5">
        <v>5</v>
      </c>
      <c r="X348" s="16">
        <v>2000</v>
      </c>
      <c r="Y348" s="16">
        <v>7000</v>
      </c>
      <c r="Z348" s="16">
        <v>14000</v>
      </c>
      <c r="AA348" s="12" t="str">
        <f t="shared" si="73"/>
        <v>0/30</v>
      </c>
      <c r="AB348" s="12" t="str">
        <f t="shared" si="74"/>
        <v>100,0,100,100,100,100</v>
      </c>
      <c r="AC348" s="12">
        <f t="shared" si="75"/>
        <v>4</v>
      </c>
      <c r="AD348" s="12" t="str">
        <f t="shared" si="76"/>
        <v>2000/7000/14000</v>
      </c>
      <c r="AE348" s="12" t="str">
        <f t="shared" si="77"/>
        <v/>
      </c>
      <c r="AF348" s="12" t="str">
        <f t="shared" si="78"/>
        <v/>
      </c>
      <c r="AG348" s="12" t="str">
        <f t="shared" si="79"/>
        <v/>
      </c>
      <c r="AH348" s="12" t="str">
        <f t="shared" si="80"/>
        <v/>
      </c>
      <c r="AI348" s="12" t="str">
        <f t="shared" si="81"/>
        <v>10/5</v>
      </c>
    </row>
    <row r="349" spans="1:35" s="8" customFormat="1" ht="21.95" customHeight="1">
      <c r="A349" s="9">
        <v>347</v>
      </c>
      <c r="B349" s="17">
        <v>347</v>
      </c>
      <c r="C349" s="6">
        <v>30</v>
      </c>
      <c r="D349" s="6">
        <v>0</v>
      </c>
      <c r="E349" s="5">
        <v>100</v>
      </c>
      <c r="F349" s="5">
        <v>100</v>
      </c>
      <c r="G349" s="5">
        <v>0</v>
      </c>
      <c r="H349" s="5">
        <v>100</v>
      </c>
      <c r="I349" s="5">
        <v>100</v>
      </c>
      <c r="J349" s="5">
        <v>100</v>
      </c>
      <c r="K349" s="15" t="s">
        <v>55</v>
      </c>
      <c r="L349" s="6">
        <v>3</v>
      </c>
      <c r="M349" s="6">
        <v>0</v>
      </c>
      <c r="N349" s="6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0</v>
      </c>
      <c r="U349" s="6">
        <v>5</v>
      </c>
      <c r="V349" s="5">
        <v>10</v>
      </c>
      <c r="W349" s="5">
        <v>5</v>
      </c>
      <c r="X349" s="16">
        <v>2000</v>
      </c>
      <c r="Y349" s="16">
        <v>7000</v>
      </c>
      <c r="Z349" s="16">
        <v>14000</v>
      </c>
      <c r="AA349" s="12" t="str">
        <f t="shared" si="73"/>
        <v>0/30</v>
      </c>
      <c r="AB349" s="12" t="str">
        <f t="shared" si="74"/>
        <v>100,100,0,100,100,100</v>
      </c>
      <c r="AC349" s="12">
        <f t="shared" si="75"/>
        <v>4</v>
      </c>
      <c r="AD349" s="12" t="str">
        <f t="shared" si="76"/>
        <v>2000/7000/14000</v>
      </c>
      <c r="AE349" s="12" t="str">
        <f t="shared" si="77"/>
        <v/>
      </c>
      <c r="AF349" s="12" t="str">
        <f t="shared" si="78"/>
        <v/>
      </c>
      <c r="AG349" s="12" t="str">
        <f t="shared" si="79"/>
        <v/>
      </c>
      <c r="AH349" s="12" t="str">
        <f t="shared" si="80"/>
        <v/>
      </c>
      <c r="AI349" s="12" t="str">
        <f t="shared" si="81"/>
        <v>10/5</v>
      </c>
    </row>
    <row r="350" spans="1:35" s="8" customFormat="1" ht="21.95" customHeight="1">
      <c r="A350" s="9">
        <v>348</v>
      </c>
      <c r="B350" s="17">
        <v>348</v>
      </c>
      <c r="C350" s="6">
        <v>32</v>
      </c>
      <c r="D350" s="6">
        <v>0</v>
      </c>
      <c r="E350" s="5">
        <v>100</v>
      </c>
      <c r="F350" s="5">
        <v>100</v>
      </c>
      <c r="G350" s="5">
        <v>100</v>
      </c>
      <c r="H350" s="5">
        <v>0</v>
      </c>
      <c r="I350" s="5">
        <v>100</v>
      </c>
      <c r="J350" s="5">
        <v>100</v>
      </c>
      <c r="K350" s="15" t="s">
        <v>51</v>
      </c>
      <c r="L350" s="6">
        <v>3</v>
      </c>
      <c r="M350" s="6">
        <v>0</v>
      </c>
      <c r="N350" s="6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0</v>
      </c>
      <c r="U350" s="6">
        <v>0</v>
      </c>
      <c r="V350" s="5">
        <v>10</v>
      </c>
      <c r="W350" s="5">
        <v>5</v>
      </c>
      <c r="X350" s="16">
        <v>2000</v>
      </c>
      <c r="Y350" s="16">
        <v>7000</v>
      </c>
      <c r="Z350" s="16">
        <v>14000</v>
      </c>
      <c r="AA350" s="12" t="str">
        <f t="shared" si="73"/>
        <v>0/32</v>
      </c>
      <c r="AB350" s="12" t="str">
        <f t="shared" si="74"/>
        <v>100,100,100,0,100,100</v>
      </c>
      <c r="AC350" s="12">
        <f t="shared" si="75"/>
        <v>0</v>
      </c>
      <c r="AD350" s="12" t="str">
        <f t="shared" si="76"/>
        <v>2000/7000/14000</v>
      </c>
      <c r="AE350" s="12" t="str">
        <f t="shared" si="77"/>
        <v/>
      </c>
      <c r="AF350" s="12" t="str">
        <f t="shared" si="78"/>
        <v/>
      </c>
      <c r="AG350" s="12" t="str">
        <f t="shared" si="79"/>
        <v/>
      </c>
      <c r="AH350" s="12" t="str">
        <f t="shared" si="80"/>
        <v/>
      </c>
      <c r="AI350" s="12" t="str">
        <f t="shared" si="81"/>
        <v>10/5</v>
      </c>
    </row>
    <row r="351" spans="1:35" s="8" customFormat="1" ht="21.95" customHeight="1">
      <c r="A351" s="9">
        <v>349</v>
      </c>
      <c r="B351" s="17">
        <v>349</v>
      </c>
      <c r="C351" s="6">
        <v>30</v>
      </c>
      <c r="D351" s="6">
        <v>0</v>
      </c>
      <c r="E351" s="5">
        <v>100</v>
      </c>
      <c r="F351" s="5">
        <v>100</v>
      </c>
      <c r="G351" s="5">
        <v>0</v>
      </c>
      <c r="H351" s="5">
        <v>100</v>
      </c>
      <c r="I351" s="5">
        <v>100</v>
      </c>
      <c r="J351" s="5">
        <v>100</v>
      </c>
      <c r="K351" s="15" t="s">
        <v>56</v>
      </c>
      <c r="L351" s="6">
        <v>3</v>
      </c>
      <c r="M351" s="6">
        <v>0</v>
      </c>
      <c r="N351" s="6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0</v>
      </c>
      <c r="U351" s="6">
        <v>0</v>
      </c>
      <c r="V351" s="5">
        <v>10</v>
      </c>
      <c r="W351" s="5">
        <v>5</v>
      </c>
      <c r="X351" s="16">
        <v>2000</v>
      </c>
      <c r="Y351" s="16">
        <v>7000</v>
      </c>
      <c r="Z351" s="16">
        <v>14000</v>
      </c>
      <c r="AA351" s="12" t="str">
        <f t="shared" si="73"/>
        <v>0/30</v>
      </c>
      <c r="AB351" s="12" t="str">
        <f t="shared" si="74"/>
        <v>100,100,0,100,100,100</v>
      </c>
      <c r="AC351" s="12">
        <f t="shared" si="75"/>
        <v>5</v>
      </c>
      <c r="AD351" s="12" t="str">
        <f t="shared" si="76"/>
        <v>2000/7000/14000</v>
      </c>
      <c r="AE351" s="12" t="str">
        <f t="shared" si="77"/>
        <v/>
      </c>
      <c r="AF351" s="12" t="str">
        <f t="shared" si="78"/>
        <v/>
      </c>
      <c r="AG351" s="12" t="str">
        <f t="shared" si="79"/>
        <v/>
      </c>
      <c r="AH351" s="12" t="str">
        <f t="shared" si="80"/>
        <v/>
      </c>
      <c r="AI351" s="12" t="str">
        <f t="shared" si="81"/>
        <v>10/5</v>
      </c>
    </row>
    <row r="352" spans="1:35" s="8" customFormat="1" ht="21.95" customHeight="1">
      <c r="A352" s="9">
        <v>350</v>
      </c>
      <c r="B352" s="17">
        <v>350</v>
      </c>
      <c r="C352" s="6">
        <v>30</v>
      </c>
      <c r="D352" s="6">
        <v>0</v>
      </c>
      <c r="E352" s="5">
        <v>100</v>
      </c>
      <c r="F352" s="5">
        <v>100</v>
      </c>
      <c r="G352" s="5">
        <v>100</v>
      </c>
      <c r="H352" s="5">
        <v>0</v>
      </c>
      <c r="I352" s="5">
        <v>100</v>
      </c>
      <c r="J352" s="5">
        <v>100</v>
      </c>
      <c r="K352" s="15" t="s">
        <v>53</v>
      </c>
      <c r="L352" s="6">
        <v>3</v>
      </c>
      <c r="M352" s="6">
        <v>0</v>
      </c>
      <c r="N352" s="6">
        <v>0</v>
      </c>
      <c r="O352" s="5">
        <v>0</v>
      </c>
      <c r="P352" s="5">
        <v>0</v>
      </c>
      <c r="Q352" s="5">
        <v>0</v>
      </c>
      <c r="R352" s="5">
        <v>0</v>
      </c>
      <c r="S352" s="5">
        <v>18</v>
      </c>
      <c r="T352" s="5">
        <v>16</v>
      </c>
      <c r="U352" s="6">
        <v>0</v>
      </c>
      <c r="V352" s="5">
        <v>10</v>
      </c>
      <c r="W352" s="5">
        <v>5</v>
      </c>
      <c r="X352" s="16">
        <v>2000</v>
      </c>
      <c r="Y352" s="16">
        <v>7000</v>
      </c>
      <c r="Z352" s="16">
        <v>14000</v>
      </c>
      <c r="AA352" s="12" t="str">
        <f t="shared" si="73"/>
        <v>0/30</v>
      </c>
      <c r="AB352" s="12" t="str">
        <f t="shared" si="74"/>
        <v>100,100,100,0,100,100</v>
      </c>
      <c r="AC352" s="12">
        <f t="shared" si="75"/>
        <v>2</v>
      </c>
      <c r="AD352" s="12" t="str">
        <f t="shared" si="76"/>
        <v>2000/7000/14000</v>
      </c>
      <c r="AE352" s="12" t="str">
        <f t="shared" si="77"/>
        <v/>
      </c>
      <c r="AF352" s="12" t="str">
        <f t="shared" si="78"/>
        <v/>
      </c>
      <c r="AG352" s="12" t="str">
        <f t="shared" si="79"/>
        <v>4/5/</v>
      </c>
      <c r="AH352" s="12" t="str">
        <f t="shared" si="80"/>
        <v>18/16/</v>
      </c>
      <c r="AI352" s="12" t="str">
        <f t="shared" si="81"/>
        <v>10/5</v>
      </c>
    </row>
    <row r="353" spans="1:35" s="8" customFormat="1" ht="21.95" customHeight="1">
      <c r="A353" s="9">
        <v>351</v>
      </c>
      <c r="B353" s="17">
        <v>351</v>
      </c>
      <c r="C353" s="6">
        <v>30</v>
      </c>
      <c r="D353" s="6">
        <v>0</v>
      </c>
      <c r="E353" s="5">
        <v>100</v>
      </c>
      <c r="F353" s="5">
        <v>100</v>
      </c>
      <c r="G353" s="5">
        <v>100</v>
      </c>
      <c r="H353" s="5">
        <v>100</v>
      </c>
      <c r="I353" s="5">
        <v>0</v>
      </c>
      <c r="J353" s="5">
        <v>100</v>
      </c>
      <c r="K353" s="15" t="s">
        <v>53</v>
      </c>
      <c r="L353" s="6">
        <v>3</v>
      </c>
      <c r="M353" s="6">
        <v>0</v>
      </c>
      <c r="N353" s="6">
        <v>0</v>
      </c>
      <c r="O353" s="5">
        <v>16</v>
      </c>
      <c r="P353" s="5">
        <v>0</v>
      </c>
      <c r="Q353" s="5">
        <v>0</v>
      </c>
      <c r="R353" s="5">
        <v>0</v>
      </c>
      <c r="S353" s="5">
        <v>0</v>
      </c>
      <c r="T353" s="5">
        <v>18</v>
      </c>
      <c r="U353" s="6">
        <v>0</v>
      </c>
      <c r="V353" s="5">
        <v>10</v>
      </c>
      <c r="W353" s="5">
        <v>5</v>
      </c>
      <c r="X353" s="16">
        <v>2000</v>
      </c>
      <c r="Y353" s="16">
        <v>7000</v>
      </c>
      <c r="Z353" s="16">
        <v>14000</v>
      </c>
      <c r="AA353" s="12" t="str">
        <f t="shared" si="73"/>
        <v>0/30</v>
      </c>
      <c r="AB353" s="12" t="str">
        <f t="shared" si="74"/>
        <v>100,100,100,100,0,100</v>
      </c>
      <c r="AC353" s="12">
        <f t="shared" si="75"/>
        <v>2</v>
      </c>
      <c r="AD353" s="12" t="str">
        <f t="shared" si="76"/>
        <v>2000/7000/14000</v>
      </c>
      <c r="AE353" s="12" t="str">
        <f t="shared" si="77"/>
        <v/>
      </c>
      <c r="AF353" s="12" t="str">
        <f t="shared" si="78"/>
        <v/>
      </c>
      <c r="AG353" s="12" t="str">
        <f t="shared" si="79"/>
        <v>0/5/</v>
      </c>
      <c r="AH353" s="12" t="str">
        <f t="shared" si="80"/>
        <v>16/18/</v>
      </c>
      <c r="AI353" s="12" t="str">
        <f t="shared" si="81"/>
        <v>10/5</v>
      </c>
    </row>
    <row r="354" spans="1:35" s="8" customFormat="1" ht="21.95" customHeight="1">
      <c r="A354" s="9">
        <v>352</v>
      </c>
      <c r="B354" s="17">
        <v>352</v>
      </c>
      <c r="C354" s="6">
        <v>30</v>
      </c>
      <c r="D354" s="6">
        <v>0</v>
      </c>
      <c r="E354" s="5">
        <v>100</v>
      </c>
      <c r="F354" s="5">
        <v>100</v>
      </c>
      <c r="G354" s="5">
        <v>100</v>
      </c>
      <c r="H354" s="5">
        <v>100</v>
      </c>
      <c r="I354" s="5">
        <v>100</v>
      </c>
      <c r="J354" s="5">
        <v>0</v>
      </c>
      <c r="K354" s="15" t="s">
        <v>52</v>
      </c>
      <c r="L354" s="6">
        <v>3</v>
      </c>
      <c r="M354" s="6">
        <v>6</v>
      </c>
      <c r="N354" s="6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0</v>
      </c>
      <c r="U354" s="6">
        <v>0</v>
      </c>
      <c r="V354" s="5">
        <v>10</v>
      </c>
      <c r="W354" s="5">
        <v>5</v>
      </c>
      <c r="X354" s="16">
        <v>2000</v>
      </c>
      <c r="Y354" s="16">
        <v>7000</v>
      </c>
      <c r="Z354" s="16">
        <v>14000</v>
      </c>
      <c r="AA354" s="12" t="str">
        <f t="shared" ref="AA354:AA417" si="82">IF(C354=0,CONCATENATE("1/",D354),CONCATENATE("0/",C354))</f>
        <v>0/30</v>
      </c>
      <c r="AB354" s="12" t="str">
        <f t="shared" ref="AB354:AB417" si="83">CONCATENATE(E354,",",F354,",",G354,",",H354,",",I354,",",J354)</f>
        <v>100,100,100,100,100,0</v>
      </c>
      <c r="AC354" s="12">
        <f t="shared" ref="AC354:AC417" si="84">VLOOKUP(K354,$I$1005:$J$1012,2,FALSE)</f>
        <v>1</v>
      </c>
      <c r="AD354" s="12" t="str">
        <f t="shared" ref="AD354:AD417" si="85">CONCATENATE(X354,"/",Y354,"/",Z354)</f>
        <v>2000/7000/14000</v>
      </c>
      <c r="AE354" s="12" t="str">
        <f t="shared" ref="AE354:AE417" si="86">CONCATENATE(IF(M354=0,"","0/"),IF(N354=0,"","1/"))</f>
        <v>0/</v>
      </c>
      <c r="AF354" s="12" t="str">
        <f t="shared" ref="AF354:AF417" si="87">CONCATENATE(IF(M354=0,"",CONCATENATE(M354,"/")),IF(N354=0,"",CONCATENATE(N354,"/")))</f>
        <v>6/</v>
      </c>
      <c r="AG354" s="12" t="str">
        <f t="shared" ref="AG354:AG417" si="88">CONCATENATE(IF(O354=0,"","0/"),IF(P354=0,"","1/"),IF(Q354=0,"","2/"),IF(R354=0,"","3/"),IF(S354=0,"","4/"),IF(T354=0,"","5/"))</f>
        <v/>
      </c>
      <c r="AH354" s="12" t="str">
        <f t="shared" ref="AH354:AH417" si="89">CONCATENATE(IF(O354=0,"",CONCATENATE(O354,"/")),IF(P354=0,"",CONCATENATE(P354,"/")),IF(Q354=0,"",CONCATENATE(Q354,"/")),IF(R354=0,"",CONCATENATE(R354,"/")),IF(S354=0,"",CONCATENATE(S354,"/")),IF(T354=0,"",CONCATENATE(T354,"/")))</f>
        <v/>
      </c>
      <c r="AI354" s="12" t="str">
        <f t="shared" ref="AI354:AI417" si="90">CONCATENATE(V354,"/",W354)</f>
        <v>10/5</v>
      </c>
    </row>
    <row r="355" spans="1:35" s="8" customFormat="1" ht="21.95" customHeight="1">
      <c r="A355" s="9">
        <v>353</v>
      </c>
      <c r="B355" s="17">
        <v>353</v>
      </c>
      <c r="C355" s="6">
        <v>30</v>
      </c>
      <c r="D355" s="6">
        <v>0</v>
      </c>
      <c r="E355" s="5">
        <v>0</v>
      </c>
      <c r="F355" s="5">
        <v>100</v>
      </c>
      <c r="G355" s="5">
        <v>100</v>
      </c>
      <c r="H355" s="5">
        <v>100</v>
      </c>
      <c r="I355" s="5">
        <v>100</v>
      </c>
      <c r="J355" s="5">
        <v>100</v>
      </c>
      <c r="K355" s="15" t="s">
        <v>52</v>
      </c>
      <c r="L355" s="6">
        <v>3</v>
      </c>
      <c r="M355" s="6">
        <v>0</v>
      </c>
      <c r="N355" s="6">
        <v>6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0</v>
      </c>
      <c r="U355" s="6">
        <v>0</v>
      </c>
      <c r="V355" s="5">
        <v>10</v>
      </c>
      <c r="W355" s="5">
        <v>5</v>
      </c>
      <c r="X355" s="16">
        <v>2000</v>
      </c>
      <c r="Y355" s="16">
        <v>7000</v>
      </c>
      <c r="Z355" s="16">
        <v>14000</v>
      </c>
      <c r="AA355" s="12" t="str">
        <f t="shared" si="82"/>
        <v>0/30</v>
      </c>
      <c r="AB355" s="12" t="str">
        <f t="shared" si="83"/>
        <v>0,100,100,100,100,100</v>
      </c>
      <c r="AC355" s="12">
        <f t="shared" si="84"/>
        <v>1</v>
      </c>
      <c r="AD355" s="12" t="str">
        <f t="shared" si="85"/>
        <v>2000/7000/14000</v>
      </c>
      <c r="AE355" s="12" t="str">
        <f t="shared" si="86"/>
        <v>1/</v>
      </c>
      <c r="AF355" s="12" t="str">
        <f t="shared" si="87"/>
        <v>6/</v>
      </c>
      <c r="AG355" s="12" t="str">
        <f t="shared" si="88"/>
        <v/>
      </c>
      <c r="AH355" s="12" t="str">
        <f t="shared" si="89"/>
        <v/>
      </c>
      <c r="AI355" s="12" t="str">
        <f t="shared" si="90"/>
        <v>10/5</v>
      </c>
    </row>
    <row r="356" spans="1:35" s="8" customFormat="1" ht="21.95" customHeight="1">
      <c r="A356" s="9">
        <v>354</v>
      </c>
      <c r="B356" s="17">
        <v>354</v>
      </c>
      <c r="C356" s="6">
        <v>0</v>
      </c>
      <c r="D356" s="6">
        <v>60</v>
      </c>
      <c r="E356" s="5">
        <v>100</v>
      </c>
      <c r="F356" s="5">
        <v>0</v>
      </c>
      <c r="G356" s="5">
        <v>100</v>
      </c>
      <c r="H356" s="5">
        <v>100</v>
      </c>
      <c r="I356" s="5">
        <v>100</v>
      </c>
      <c r="J356" s="5">
        <v>100</v>
      </c>
      <c r="K356" s="15" t="s">
        <v>54</v>
      </c>
      <c r="L356" s="6">
        <v>3</v>
      </c>
      <c r="M356" s="6">
        <v>0</v>
      </c>
      <c r="N356" s="6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0</v>
      </c>
      <c r="U356" s="6">
        <v>0</v>
      </c>
      <c r="V356" s="5">
        <v>10</v>
      </c>
      <c r="W356" s="5">
        <v>5</v>
      </c>
      <c r="X356" s="16">
        <v>2000</v>
      </c>
      <c r="Y356" s="16">
        <v>7000</v>
      </c>
      <c r="Z356" s="16">
        <v>14000</v>
      </c>
      <c r="AA356" s="12" t="str">
        <f t="shared" si="82"/>
        <v>1/60</v>
      </c>
      <c r="AB356" s="12" t="str">
        <f t="shared" si="83"/>
        <v>100,0,100,100,100,100</v>
      </c>
      <c r="AC356" s="12">
        <f t="shared" si="84"/>
        <v>3</v>
      </c>
      <c r="AD356" s="12" t="str">
        <f t="shared" si="85"/>
        <v>2000/7000/14000</v>
      </c>
      <c r="AE356" s="12" t="str">
        <f t="shared" si="86"/>
        <v/>
      </c>
      <c r="AF356" s="12" t="str">
        <f t="shared" si="87"/>
        <v/>
      </c>
      <c r="AG356" s="12" t="str">
        <f t="shared" si="88"/>
        <v/>
      </c>
      <c r="AH356" s="12" t="str">
        <f t="shared" si="89"/>
        <v/>
      </c>
      <c r="AI356" s="12" t="str">
        <f t="shared" si="90"/>
        <v>10/5</v>
      </c>
    </row>
    <row r="357" spans="1:35" s="8" customFormat="1" ht="21.95" customHeight="1">
      <c r="A357" s="9">
        <v>355</v>
      </c>
      <c r="B357" s="17">
        <v>355</v>
      </c>
      <c r="C357" s="6">
        <v>0</v>
      </c>
      <c r="D357" s="6">
        <v>60</v>
      </c>
      <c r="E357" s="5">
        <v>100</v>
      </c>
      <c r="F357" s="5">
        <v>100</v>
      </c>
      <c r="G357" s="5">
        <v>0</v>
      </c>
      <c r="H357" s="5">
        <v>100</v>
      </c>
      <c r="I357" s="5">
        <v>100</v>
      </c>
      <c r="J357" s="5">
        <v>100</v>
      </c>
      <c r="K357" s="15" t="s">
        <v>54</v>
      </c>
      <c r="L357" s="6">
        <v>3</v>
      </c>
      <c r="M357" s="6">
        <v>0</v>
      </c>
      <c r="N357" s="6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0</v>
      </c>
      <c r="U357" s="6">
        <v>0</v>
      </c>
      <c r="V357" s="5">
        <v>10</v>
      </c>
      <c r="W357" s="5">
        <v>5</v>
      </c>
      <c r="X357" s="16">
        <v>2000</v>
      </c>
      <c r="Y357" s="16">
        <v>7000</v>
      </c>
      <c r="Z357" s="16">
        <v>14000</v>
      </c>
      <c r="AA357" s="12" t="str">
        <f t="shared" si="82"/>
        <v>1/60</v>
      </c>
      <c r="AB357" s="12" t="str">
        <f t="shared" si="83"/>
        <v>100,100,0,100,100,100</v>
      </c>
      <c r="AC357" s="12">
        <f t="shared" si="84"/>
        <v>3</v>
      </c>
      <c r="AD357" s="12" t="str">
        <f t="shared" si="85"/>
        <v>2000/7000/14000</v>
      </c>
      <c r="AE357" s="12" t="str">
        <f t="shared" si="86"/>
        <v/>
      </c>
      <c r="AF357" s="12" t="str">
        <f t="shared" si="87"/>
        <v/>
      </c>
      <c r="AG357" s="12" t="str">
        <f t="shared" si="88"/>
        <v/>
      </c>
      <c r="AH357" s="12" t="str">
        <f t="shared" si="89"/>
        <v/>
      </c>
      <c r="AI357" s="12" t="str">
        <f t="shared" si="90"/>
        <v>10/5</v>
      </c>
    </row>
    <row r="358" spans="1:35" s="8" customFormat="1" ht="21.95" customHeight="1">
      <c r="A358" s="9">
        <v>356</v>
      </c>
      <c r="B358" s="17">
        <v>356</v>
      </c>
      <c r="C358" s="6">
        <v>30</v>
      </c>
      <c r="D358" s="6">
        <v>0</v>
      </c>
      <c r="E358" s="5">
        <v>100</v>
      </c>
      <c r="F358" s="5">
        <v>100</v>
      </c>
      <c r="G358" s="5">
        <v>100</v>
      </c>
      <c r="H358" s="5">
        <v>0</v>
      </c>
      <c r="I358" s="5">
        <v>100</v>
      </c>
      <c r="J358" s="5">
        <v>100</v>
      </c>
      <c r="K358" s="15" t="s">
        <v>55</v>
      </c>
      <c r="L358" s="6">
        <v>3</v>
      </c>
      <c r="M358" s="6">
        <v>0</v>
      </c>
      <c r="N358" s="6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0</v>
      </c>
      <c r="U358" s="6">
        <v>5</v>
      </c>
      <c r="V358" s="5">
        <v>10</v>
      </c>
      <c r="W358" s="5">
        <v>5</v>
      </c>
      <c r="X358" s="16">
        <v>2000</v>
      </c>
      <c r="Y358" s="16">
        <v>7000</v>
      </c>
      <c r="Z358" s="16">
        <v>14000</v>
      </c>
      <c r="AA358" s="12" t="str">
        <f t="shared" si="82"/>
        <v>0/30</v>
      </c>
      <c r="AB358" s="12" t="str">
        <f t="shared" si="83"/>
        <v>100,100,100,0,100,100</v>
      </c>
      <c r="AC358" s="12">
        <f t="shared" si="84"/>
        <v>4</v>
      </c>
      <c r="AD358" s="12" t="str">
        <f t="shared" si="85"/>
        <v>2000/7000/14000</v>
      </c>
      <c r="AE358" s="12" t="str">
        <f t="shared" si="86"/>
        <v/>
      </c>
      <c r="AF358" s="12" t="str">
        <f t="shared" si="87"/>
        <v/>
      </c>
      <c r="AG358" s="12" t="str">
        <f t="shared" si="88"/>
        <v/>
      </c>
      <c r="AH358" s="12" t="str">
        <f t="shared" si="89"/>
        <v/>
      </c>
      <c r="AI358" s="12" t="str">
        <f t="shared" si="90"/>
        <v>10/5</v>
      </c>
    </row>
    <row r="359" spans="1:35" s="8" customFormat="1" ht="21.95" customHeight="1">
      <c r="A359" s="9">
        <v>357</v>
      </c>
      <c r="B359" s="17">
        <v>357</v>
      </c>
      <c r="C359" s="6">
        <v>30</v>
      </c>
      <c r="D359" s="6">
        <v>0</v>
      </c>
      <c r="E359" s="5">
        <v>100</v>
      </c>
      <c r="F359" s="5">
        <v>100</v>
      </c>
      <c r="G359" s="5">
        <v>100</v>
      </c>
      <c r="H359" s="5">
        <v>100</v>
      </c>
      <c r="I359" s="5">
        <v>0</v>
      </c>
      <c r="J359" s="5">
        <v>100</v>
      </c>
      <c r="K359" s="15" t="s">
        <v>55</v>
      </c>
      <c r="L359" s="6">
        <v>3</v>
      </c>
      <c r="M359" s="6">
        <v>0</v>
      </c>
      <c r="N359" s="6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0</v>
      </c>
      <c r="U359" s="6">
        <v>5</v>
      </c>
      <c r="V359" s="5">
        <v>10</v>
      </c>
      <c r="W359" s="5">
        <v>5</v>
      </c>
      <c r="X359" s="16">
        <v>2000</v>
      </c>
      <c r="Y359" s="16">
        <v>7000</v>
      </c>
      <c r="Z359" s="16">
        <v>14000</v>
      </c>
      <c r="AA359" s="12" t="str">
        <f t="shared" si="82"/>
        <v>0/30</v>
      </c>
      <c r="AB359" s="12" t="str">
        <f t="shared" si="83"/>
        <v>100,100,100,100,0,100</v>
      </c>
      <c r="AC359" s="12">
        <f t="shared" si="84"/>
        <v>4</v>
      </c>
      <c r="AD359" s="12" t="str">
        <f t="shared" si="85"/>
        <v>2000/7000/14000</v>
      </c>
      <c r="AE359" s="12" t="str">
        <f t="shared" si="86"/>
        <v/>
      </c>
      <c r="AF359" s="12" t="str">
        <f t="shared" si="87"/>
        <v/>
      </c>
      <c r="AG359" s="12" t="str">
        <f t="shared" si="88"/>
        <v/>
      </c>
      <c r="AH359" s="12" t="str">
        <f t="shared" si="89"/>
        <v/>
      </c>
      <c r="AI359" s="12" t="str">
        <f t="shared" si="90"/>
        <v>10/5</v>
      </c>
    </row>
    <row r="360" spans="1:35" s="8" customFormat="1" ht="21.95" customHeight="1">
      <c r="A360" s="9">
        <v>358</v>
      </c>
      <c r="B360" s="17">
        <v>358</v>
      </c>
      <c r="C360" s="6">
        <v>30</v>
      </c>
      <c r="D360" s="6">
        <v>0</v>
      </c>
      <c r="E360" s="5">
        <v>100</v>
      </c>
      <c r="F360" s="5">
        <v>100</v>
      </c>
      <c r="G360" s="5">
        <v>100</v>
      </c>
      <c r="H360" s="5">
        <v>100</v>
      </c>
      <c r="I360" s="5">
        <v>100</v>
      </c>
      <c r="J360" s="5">
        <v>0</v>
      </c>
      <c r="K360" s="15" t="s">
        <v>56</v>
      </c>
      <c r="L360" s="6">
        <v>3</v>
      </c>
      <c r="M360" s="6">
        <v>0</v>
      </c>
      <c r="N360" s="6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0</v>
      </c>
      <c r="U360" s="6">
        <v>0</v>
      </c>
      <c r="V360" s="5">
        <v>10</v>
      </c>
      <c r="W360" s="5">
        <v>5</v>
      </c>
      <c r="X360" s="16">
        <v>2000</v>
      </c>
      <c r="Y360" s="16">
        <v>7000</v>
      </c>
      <c r="Z360" s="16">
        <v>14000</v>
      </c>
      <c r="AA360" s="12" t="str">
        <f t="shared" si="82"/>
        <v>0/30</v>
      </c>
      <c r="AB360" s="12" t="str">
        <f t="shared" si="83"/>
        <v>100,100,100,100,100,0</v>
      </c>
      <c r="AC360" s="12">
        <f t="shared" si="84"/>
        <v>5</v>
      </c>
      <c r="AD360" s="12" t="str">
        <f t="shared" si="85"/>
        <v>2000/7000/14000</v>
      </c>
      <c r="AE360" s="12" t="str">
        <f t="shared" si="86"/>
        <v/>
      </c>
      <c r="AF360" s="12" t="str">
        <f t="shared" si="87"/>
        <v/>
      </c>
      <c r="AG360" s="12" t="str">
        <f t="shared" si="88"/>
        <v/>
      </c>
      <c r="AH360" s="12" t="str">
        <f t="shared" si="89"/>
        <v/>
      </c>
      <c r="AI360" s="12" t="str">
        <f t="shared" si="90"/>
        <v>10/5</v>
      </c>
    </row>
    <row r="361" spans="1:35" s="8" customFormat="1" ht="21.95" customHeight="1">
      <c r="A361" s="9">
        <v>359</v>
      </c>
      <c r="B361" s="17">
        <v>359</v>
      </c>
      <c r="C361" s="6">
        <v>0</v>
      </c>
      <c r="D361" s="6">
        <v>60</v>
      </c>
      <c r="E361" s="5">
        <v>0</v>
      </c>
      <c r="F361" s="5">
        <v>100</v>
      </c>
      <c r="G361" s="5">
        <v>100</v>
      </c>
      <c r="H361" s="5">
        <v>100</v>
      </c>
      <c r="I361" s="5">
        <v>100</v>
      </c>
      <c r="J361" s="5">
        <v>100</v>
      </c>
      <c r="K361" s="15" t="s">
        <v>56</v>
      </c>
      <c r="L361" s="6">
        <v>3</v>
      </c>
      <c r="M361" s="6">
        <v>0</v>
      </c>
      <c r="N361" s="6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0</v>
      </c>
      <c r="U361" s="6">
        <v>0</v>
      </c>
      <c r="V361" s="5">
        <v>10</v>
      </c>
      <c r="W361" s="5">
        <v>5</v>
      </c>
      <c r="X361" s="16">
        <v>2000</v>
      </c>
      <c r="Y361" s="16">
        <v>7000</v>
      </c>
      <c r="Z361" s="16">
        <v>14000</v>
      </c>
      <c r="AA361" s="12" t="str">
        <f t="shared" si="82"/>
        <v>1/60</v>
      </c>
      <c r="AB361" s="12" t="str">
        <f t="shared" si="83"/>
        <v>0,100,100,100,100,100</v>
      </c>
      <c r="AC361" s="12">
        <f t="shared" si="84"/>
        <v>5</v>
      </c>
      <c r="AD361" s="12" t="str">
        <f t="shared" si="85"/>
        <v>2000/7000/14000</v>
      </c>
      <c r="AE361" s="12" t="str">
        <f t="shared" si="86"/>
        <v/>
      </c>
      <c r="AF361" s="12" t="str">
        <f t="shared" si="87"/>
        <v/>
      </c>
      <c r="AG361" s="12" t="str">
        <f t="shared" si="88"/>
        <v/>
      </c>
      <c r="AH361" s="12" t="str">
        <f t="shared" si="89"/>
        <v/>
      </c>
      <c r="AI361" s="12" t="str">
        <f t="shared" si="90"/>
        <v>10/5</v>
      </c>
    </row>
    <row r="362" spans="1:35" s="8" customFormat="1" ht="21.95" customHeight="1">
      <c r="A362" s="9">
        <v>360</v>
      </c>
      <c r="B362" s="17">
        <v>360</v>
      </c>
      <c r="C362" s="6">
        <v>30</v>
      </c>
      <c r="D362" s="6">
        <v>0</v>
      </c>
      <c r="E362" s="5">
        <v>100</v>
      </c>
      <c r="F362" s="5">
        <v>0</v>
      </c>
      <c r="G362" s="5">
        <v>100</v>
      </c>
      <c r="H362" s="5">
        <v>100</v>
      </c>
      <c r="I362" s="5">
        <v>100</v>
      </c>
      <c r="J362" s="5">
        <v>100</v>
      </c>
      <c r="K362" s="15" t="s">
        <v>53</v>
      </c>
      <c r="L362" s="6">
        <v>3</v>
      </c>
      <c r="M362" s="6">
        <v>0</v>
      </c>
      <c r="N362" s="6">
        <v>0</v>
      </c>
      <c r="O362" s="5">
        <v>0</v>
      </c>
      <c r="P362" s="5">
        <v>0</v>
      </c>
      <c r="Q362" s="5">
        <v>20</v>
      </c>
      <c r="R362" s="5">
        <v>24</v>
      </c>
      <c r="S362" s="5">
        <v>0</v>
      </c>
      <c r="T362" s="5">
        <v>0</v>
      </c>
      <c r="U362" s="6">
        <v>0</v>
      </c>
      <c r="V362" s="5">
        <v>10</v>
      </c>
      <c r="W362" s="5">
        <v>5</v>
      </c>
      <c r="X362" s="16">
        <v>2000</v>
      </c>
      <c r="Y362" s="16">
        <v>7000</v>
      </c>
      <c r="Z362" s="16">
        <v>14000</v>
      </c>
      <c r="AA362" s="12" t="str">
        <f t="shared" si="82"/>
        <v>0/30</v>
      </c>
      <c r="AB362" s="12" t="str">
        <f t="shared" si="83"/>
        <v>100,0,100,100,100,100</v>
      </c>
      <c r="AC362" s="12">
        <f t="shared" si="84"/>
        <v>2</v>
      </c>
      <c r="AD362" s="12" t="str">
        <f t="shared" si="85"/>
        <v>2000/7000/14000</v>
      </c>
      <c r="AE362" s="12" t="str">
        <f t="shared" si="86"/>
        <v/>
      </c>
      <c r="AF362" s="12" t="str">
        <f t="shared" si="87"/>
        <v/>
      </c>
      <c r="AG362" s="12" t="str">
        <f t="shared" si="88"/>
        <v>2/3/</v>
      </c>
      <c r="AH362" s="12" t="str">
        <f t="shared" si="89"/>
        <v>20/24/</v>
      </c>
      <c r="AI362" s="12" t="str">
        <f t="shared" si="90"/>
        <v>10/5</v>
      </c>
    </row>
    <row r="363" spans="1:35" s="8" customFormat="1" ht="21.95" customHeight="1">
      <c r="A363" s="9">
        <v>361</v>
      </c>
      <c r="B363" s="17">
        <v>361</v>
      </c>
      <c r="C363" s="6">
        <v>30</v>
      </c>
      <c r="D363" s="6">
        <v>0</v>
      </c>
      <c r="E363" s="5">
        <v>100</v>
      </c>
      <c r="F363" s="5">
        <v>100</v>
      </c>
      <c r="G363" s="5">
        <v>0</v>
      </c>
      <c r="H363" s="5">
        <v>100</v>
      </c>
      <c r="I363" s="5">
        <v>100</v>
      </c>
      <c r="J363" s="5">
        <v>100</v>
      </c>
      <c r="K363" s="15" t="s">
        <v>53</v>
      </c>
      <c r="L363" s="6">
        <v>3</v>
      </c>
      <c r="M363" s="6">
        <v>0</v>
      </c>
      <c r="N363" s="6">
        <v>0</v>
      </c>
      <c r="O363" s="5">
        <v>0</v>
      </c>
      <c r="P363" s="5">
        <v>0</v>
      </c>
      <c r="Q363" s="5">
        <v>0</v>
      </c>
      <c r="R363" s="5">
        <v>18</v>
      </c>
      <c r="S363" s="5">
        <v>32</v>
      </c>
      <c r="T363" s="5">
        <v>0</v>
      </c>
      <c r="U363" s="6">
        <v>0</v>
      </c>
      <c r="V363" s="5">
        <v>10</v>
      </c>
      <c r="W363" s="5">
        <v>5</v>
      </c>
      <c r="X363" s="16">
        <v>2000</v>
      </c>
      <c r="Y363" s="16">
        <v>7000</v>
      </c>
      <c r="Z363" s="16">
        <v>14000</v>
      </c>
      <c r="AA363" s="12" t="str">
        <f t="shared" si="82"/>
        <v>0/30</v>
      </c>
      <c r="AB363" s="12" t="str">
        <f t="shared" si="83"/>
        <v>100,100,0,100,100,100</v>
      </c>
      <c r="AC363" s="12">
        <f t="shared" si="84"/>
        <v>2</v>
      </c>
      <c r="AD363" s="12" t="str">
        <f t="shared" si="85"/>
        <v>2000/7000/14000</v>
      </c>
      <c r="AE363" s="12" t="str">
        <f t="shared" si="86"/>
        <v/>
      </c>
      <c r="AF363" s="12" t="str">
        <f t="shared" si="87"/>
        <v/>
      </c>
      <c r="AG363" s="12" t="str">
        <f t="shared" si="88"/>
        <v>3/4/</v>
      </c>
      <c r="AH363" s="12" t="str">
        <f t="shared" si="89"/>
        <v>18/32/</v>
      </c>
      <c r="AI363" s="12" t="str">
        <f t="shared" si="90"/>
        <v>10/5</v>
      </c>
    </row>
    <row r="364" spans="1:35" s="8" customFormat="1" ht="21.95" customHeight="1">
      <c r="A364" s="9">
        <v>362</v>
      </c>
      <c r="B364" s="17">
        <v>362</v>
      </c>
      <c r="C364" s="6">
        <v>30</v>
      </c>
      <c r="D364" s="6">
        <v>0</v>
      </c>
      <c r="E364" s="5">
        <v>100</v>
      </c>
      <c r="F364" s="5">
        <v>100</v>
      </c>
      <c r="G364" s="5">
        <v>100</v>
      </c>
      <c r="H364" s="5">
        <v>0</v>
      </c>
      <c r="I364" s="5">
        <v>100</v>
      </c>
      <c r="J364" s="5">
        <v>100</v>
      </c>
      <c r="K364" s="15" t="s">
        <v>52</v>
      </c>
      <c r="L364" s="6">
        <v>3</v>
      </c>
      <c r="M364" s="6">
        <v>6</v>
      </c>
      <c r="N364" s="6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6">
        <v>0</v>
      </c>
      <c r="V364" s="5">
        <v>10</v>
      </c>
      <c r="W364" s="5">
        <v>5</v>
      </c>
      <c r="X364" s="16">
        <v>2000</v>
      </c>
      <c r="Y364" s="16">
        <v>7000</v>
      </c>
      <c r="Z364" s="16">
        <v>14000</v>
      </c>
      <c r="AA364" s="12" t="str">
        <f t="shared" si="82"/>
        <v>0/30</v>
      </c>
      <c r="AB364" s="12" t="str">
        <f t="shared" si="83"/>
        <v>100,100,100,0,100,100</v>
      </c>
      <c r="AC364" s="12">
        <f t="shared" si="84"/>
        <v>1</v>
      </c>
      <c r="AD364" s="12" t="str">
        <f t="shared" si="85"/>
        <v>2000/7000/14000</v>
      </c>
      <c r="AE364" s="12" t="str">
        <f t="shared" si="86"/>
        <v>0/</v>
      </c>
      <c r="AF364" s="12" t="str">
        <f t="shared" si="87"/>
        <v>6/</v>
      </c>
      <c r="AG364" s="12" t="str">
        <f t="shared" si="88"/>
        <v/>
      </c>
      <c r="AH364" s="12" t="str">
        <f t="shared" si="89"/>
        <v/>
      </c>
      <c r="AI364" s="12" t="str">
        <f t="shared" si="90"/>
        <v>10/5</v>
      </c>
    </row>
    <row r="365" spans="1:35" s="8" customFormat="1" ht="21.95" customHeight="1">
      <c r="A365" s="9">
        <v>363</v>
      </c>
      <c r="B365" s="17">
        <v>363</v>
      </c>
      <c r="C365" s="6">
        <v>30</v>
      </c>
      <c r="D365" s="6">
        <v>0</v>
      </c>
      <c r="E365" s="5">
        <v>100</v>
      </c>
      <c r="F365" s="5">
        <v>100</v>
      </c>
      <c r="G365" s="5">
        <v>100</v>
      </c>
      <c r="H365" s="5">
        <v>100</v>
      </c>
      <c r="I365" s="5">
        <v>0</v>
      </c>
      <c r="J365" s="5">
        <v>100</v>
      </c>
      <c r="K365" s="15" t="s">
        <v>52</v>
      </c>
      <c r="L365" s="6">
        <v>3</v>
      </c>
      <c r="M365" s="6">
        <v>2</v>
      </c>
      <c r="N365" s="6">
        <v>4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6">
        <v>0</v>
      </c>
      <c r="V365" s="5">
        <v>10</v>
      </c>
      <c r="W365" s="5">
        <v>5</v>
      </c>
      <c r="X365" s="16">
        <v>2000</v>
      </c>
      <c r="Y365" s="16">
        <v>7000</v>
      </c>
      <c r="Z365" s="16">
        <v>14000</v>
      </c>
      <c r="AA365" s="12" t="str">
        <f t="shared" si="82"/>
        <v>0/30</v>
      </c>
      <c r="AB365" s="12" t="str">
        <f t="shared" si="83"/>
        <v>100,100,100,100,0,100</v>
      </c>
      <c r="AC365" s="12">
        <f t="shared" si="84"/>
        <v>1</v>
      </c>
      <c r="AD365" s="12" t="str">
        <f t="shared" si="85"/>
        <v>2000/7000/14000</v>
      </c>
      <c r="AE365" s="12" t="str">
        <f t="shared" si="86"/>
        <v>0/1/</v>
      </c>
      <c r="AF365" s="12" t="str">
        <f t="shared" si="87"/>
        <v>2/4/</v>
      </c>
      <c r="AG365" s="12" t="str">
        <f t="shared" si="88"/>
        <v/>
      </c>
      <c r="AH365" s="12" t="str">
        <f t="shared" si="89"/>
        <v/>
      </c>
      <c r="AI365" s="12" t="str">
        <f t="shared" si="90"/>
        <v>10/5</v>
      </c>
    </row>
    <row r="366" spans="1:35" s="8" customFormat="1" ht="21.95" customHeight="1">
      <c r="A366" s="9">
        <v>364</v>
      </c>
      <c r="B366" s="17">
        <v>364</v>
      </c>
      <c r="C366" s="6">
        <v>0</v>
      </c>
      <c r="D366" s="6">
        <v>60</v>
      </c>
      <c r="E366" s="5">
        <v>100</v>
      </c>
      <c r="F366" s="5">
        <v>100</v>
      </c>
      <c r="G366" s="5">
        <v>100</v>
      </c>
      <c r="H366" s="5">
        <v>100</v>
      </c>
      <c r="I366" s="5">
        <v>100</v>
      </c>
      <c r="J366" s="5">
        <v>0</v>
      </c>
      <c r="K366" s="15" t="s">
        <v>54</v>
      </c>
      <c r="L366" s="6">
        <v>3</v>
      </c>
      <c r="M366" s="6">
        <v>0</v>
      </c>
      <c r="N366" s="6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6">
        <v>0</v>
      </c>
      <c r="V366" s="5">
        <v>10</v>
      </c>
      <c r="W366" s="5">
        <v>5</v>
      </c>
      <c r="X366" s="16">
        <v>2000</v>
      </c>
      <c r="Y366" s="16">
        <v>7000</v>
      </c>
      <c r="Z366" s="16">
        <v>14000</v>
      </c>
      <c r="AA366" s="12" t="str">
        <f t="shared" si="82"/>
        <v>1/60</v>
      </c>
      <c r="AB366" s="12" t="str">
        <f t="shared" si="83"/>
        <v>100,100,100,100,100,0</v>
      </c>
      <c r="AC366" s="12">
        <f t="shared" si="84"/>
        <v>3</v>
      </c>
      <c r="AD366" s="12" t="str">
        <f t="shared" si="85"/>
        <v>2000/7000/14000</v>
      </c>
      <c r="AE366" s="12" t="str">
        <f t="shared" si="86"/>
        <v/>
      </c>
      <c r="AF366" s="12" t="str">
        <f t="shared" si="87"/>
        <v/>
      </c>
      <c r="AG366" s="12" t="str">
        <f t="shared" si="88"/>
        <v/>
      </c>
      <c r="AH366" s="12" t="str">
        <f t="shared" si="89"/>
        <v/>
      </c>
      <c r="AI366" s="12" t="str">
        <f t="shared" si="90"/>
        <v>10/5</v>
      </c>
    </row>
    <row r="367" spans="1:35" s="8" customFormat="1" ht="21.95" customHeight="1">
      <c r="A367" s="9">
        <v>365</v>
      </c>
      <c r="B367" s="17">
        <v>365</v>
      </c>
      <c r="C367" s="6">
        <v>0</v>
      </c>
      <c r="D367" s="6">
        <v>60</v>
      </c>
      <c r="E367" s="5">
        <v>0</v>
      </c>
      <c r="F367" s="5">
        <v>100</v>
      </c>
      <c r="G367" s="5">
        <v>100</v>
      </c>
      <c r="H367" s="5">
        <v>100</v>
      </c>
      <c r="I367" s="5">
        <v>100</v>
      </c>
      <c r="J367" s="5">
        <v>100</v>
      </c>
      <c r="K367" s="15" t="s">
        <v>54</v>
      </c>
      <c r="L367" s="6">
        <v>3</v>
      </c>
      <c r="M367" s="6">
        <v>0</v>
      </c>
      <c r="N367" s="6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6">
        <v>0</v>
      </c>
      <c r="V367" s="5">
        <v>10</v>
      </c>
      <c r="W367" s="5">
        <v>5</v>
      </c>
      <c r="X367" s="16">
        <v>2000</v>
      </c>
      <c r="Y367" s="16">
        <v>7000</v>
      </c>
      <c r="Z367" s="16">
        <v>14000</v>
      </c>
      <c r="AA367" s="12" t="str">
        <f t="shared" si="82"/>
        <v>1/60</v>
      </c>
      <c r="AB367" s="12" t="str">
        <f t="shared" si="83"/>
        <v>0,100,100,100,100,100</v>
      </c>
      <c r="AC367" s="12">
        <f t="shared" si="84"/>
        <v>3</v>
      </c>
      <c r="AD367" s="12" t="str">
        <f t="shared" si="85"/>
        <v>2000/7000/14000</v>
      </c>
      <c r="AE367" s="12" t="str">
        <f t="shared" si="86"/>
        <v/>
      </c>
      <c r="AF367" s="12" t="str">
        <f t="shared" si="87"/>
        <v/>
      </c>
      <c r="AG367" s="12" t="str">
        <f t="shared" si="88"/>
        <v/>
      </c>
      <c r="AH367" s="12" t="str">
        <f t="shared" si="89"/>
        <v/>
      </c>
      <c r="AI367" s="12" t="str">
        <f t="shared" si="90"/>
        <v>10/5</v>
      </c>
    </row>
    <row r="368" spans="1:35" s="8" customFormat="1" ht="21.95" customHeight="1">
      <c r="A368" s="9">
        <v>366</v>
      </c>
      <c r="B368" s="17">
        <v>366</v>
      </c>
      <c r="C368" s="6">
        <v>30</v>
      </c>
      <c r="D368" s="6">
        <v>0</v>
      </c>
      <c r="E368" s="5">
        <v>100</v>
      </c>
      <c r="F368" s="5">
        <v>0</v>
      </c>
      <c r="G368" s="5">
        <v>100</v>
      </c>
      <c r="H368" s="5">
        <v>100</v>
      </c>
      <c r="I368" s="5">
        <v>100</v>
      </c>
      <c r="J368" s="5">
        <v>100</v>
      </c>
      <c r="K368" s="15" t="s">
        <v>55</v>
      </c>
      <c r="L368" s="6">
        <v>3</v>
      </c>
      <c r="M368" s="6">
        <v>0</v>
      </c>
      <c r="N368" s="6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6">
        <v>5</v>
      </c>
      <c r="V368" s="5">
        <v>10</v>
      </c>
      <c r="W368" s="5">
        <v>5</v>
      </c>
      <c r="X368" s="16">
        <v>2000</v>
      </c>
      <c r="Y368" s="16">
        <v>7000</v>
      </c>
      <c r="Z368" s="16">
        <v>14000</v>
      </c>
      <c r="AA368" s="12" t="str">
        <f t="shared" si="82"/>
        <v>0/30</v>
      </c>
      <c r="AB368" s="12" t="str">
        <f t="shared" si="83"/>
        <v>100,0,100,100,100,100</v>
      </c>
      <c r="AC368" s="12">
        <f t="shared" si="84"/>
        <v>4</v>
      </c>
      <c r="AD368" s="12" t="str">
        <f t="shared" si="85"/>
        <v>2000/7000/14000</v>
      </c>
      <c r="AE368" s="12" t="str">
        <f t="shared" si="86"/>
        <v/>
      </c>
      <c r="AF368" s="12" t="str">
        <f t="shared" si="87"/>
        <v/>
      </c>
      <c r="AG368" s="12" t="str">
        <f t="shared" si="88"/>
        <v/>
      </c>
      <c r="AH368" s="12" t="str">
        <f t="shared" si="89"/>
        <v/>
      </c>
      <c r="AI368" s="12" t="str">
        <f t="shared" si="90"/>
        <v>10/5</v>
      </c>
    </row>
    <row r="369" spans="1:35" s="8" customFormat="1" ht="21.95" customHeight="1">
      <c r="A369" s="9">
        <v>367</v>
      </c>
      <c r="B369" s="17">
        <v>367</v>
      </c>
      <c r="C369" s="6">
        <v>30</v>
      </c>
      <c r="D369" s="6">
        <v>0</v>
      </c>
      <c r="E369" s="5">
        <v>100</v>
      </c>
      <c r="F369" s="5">
        <v>100</v>
      </c>
      <c r="G369" s="5">
        <v>0</v>
      </c>
      <c r="H369" s="5">
        <v>100</v>
      </c>
      <c r="I369" s="5">
        <v>100</v>
      </c>
      <c r="J369" s="5">
        <v>100</v>
      </c>
      <c r="K369" s="15" t="s">
        <v>55</v>
      </c>
      <c r="L369" s="6">
        <v>3</v>
      </c>
      <c r="M369" s="6">
        <v>0</v>
      </c>
      <c r="N369" s="6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6">
        <v>5</v>
      </c>
      <c r="V369" s="5">
        <v>10</v>
      </c>
      <c r="W369" s="5">
        <v>5</v>
      </c>
      <c r="X369" s="16">
        <v>2000</v>
      </c>
      <c r="Y369" s="16">
        <v>7000</v>
      </c>
      <c r="Z369" s="16">
        <v>14000</v>
      </c>
      <c r="AA369" s="12" t="str">
        <f t="shared" si="82"/>
        <v>0/30</v>
      </c>
      <c r="AB369" s="12" t="str">
        <f t="shared" si="83"/>
        <v>100,100,0,100,100,100</v>
      </c>
      <c r="AC369" s="12">
        <f t="shared" si="84"/>
        <v>4</v>
      </c>
      <c r="AD369" s="12" t="str">
        <f t="shared" si="85"/>
        <v>2000/7000/14000</v>
      </c>
      <c r="AE369" s="12" t="str">
        <f t="shared" si="86"/>
        <v/>
      </c>
      <c r="AF369" s="12" t="str">
        <f t="shared" si="87"/>
        <v/>
      </c>
      <c r="AG369" s="12" t="str">
        <f t="shared" si="88"/>
        <v/>
      </c>
      <c r="AH369" s="12" t="str">
        <f t="shared" si="89"/>
        <v/>
      </c>
      <c r="AI369" s="12" t="str">
        <f t="shared" si="90"/>
        <v>10/5</v>
      </c>
    </row>
    <row r="370" spans="1:35" s="8" customFormat="1" ht="21.95" customHeight="1">
      <c r="A370" s="9">
        <v>368</v>
      </c>
      <c r="B370" s="17">
        <v>368</v>
      </c>
      <c r="C370" s="6">
        <v>32</v>
      </c>
      <c r="D370" s="6">
        <v>0</v>
      </c>
      <c r="E370" s="5">
        <v>100</v>
      </c>
      <c r="F370" s="5">
        <v>100</v>
      </c>
      <c r="G370" s="5">
        <v>100</v>
      </c>
      <c r="H370" s="5">
        <v>0</v>
      </c>
      <c r="I370" s="5">
        <v>100</v>
      </c>
      <c r="J370" s="5">
        <v>100</v>
      </c>
      <c r="K370" s="15" t="s">
        <v>51</v>
      </c>
      <c r="L370" s="6">
        <v>3</v>
      </c>
      <c r="M370" s="6">
        <v>0</v>
      </c>
      <c r="N370" s="6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6">
        <v>0</v>
      </c>
      <c r="V370" s="5">
        <v>10</v>
      </c>
      <c r="W370" s="5">
        <v>5</v>
      </c>
      <c r="X370" s="16">
        <v>2000</v>
      </c>
      <c r="Y370" s="16">
        <v>7000</v>
      </c>
      <c r="Z370" s="16">
        <v>14000</v>
      </c>
      <c r="AA370" s="12" t="str">
        <f t="shared" si="82"/>
        <v>0/32</v>
      </c>
      <c r="AB370" s="12" t="str">
        <f t="shared" si="83"/>
        <v>100,100,100,0,100,100</v>
      </c>
      <c r="AC370" s="12">
        <f t="shared" si="84"/>
        <v>0</v>
      </c>
      <c r="AD370" s="12" t="str">
        <f t="shared" si="85"/>
        <v>2000/7000/14000</v>
      </c>
      <c r="AE370" s="12" t="str">
        <f t="shared" si="86"/>
        <v/>
      </c>
      <c r="AF370" s="12" t="str">
        <f t="shared" si="87"/>
        <v/>
      </c>
      <c r="AG370" s="12" t="str">
        <f t="shared" si="88"/>
        <v/>
      </c>
      <c r="AH370" s="12" t="str">
        <f t="shared" si="89"/>
        <v/>
      </c>
      <c r="AI370" s="12" t="str">
        <f t="shared" si="90"/>
        <v>10/5</v>
      </c>
    </row>
    <row r="371" spans="1:35" s="8" customFormat="1" ht="21.95" customHeight="1">
      <c r="A371" s="9">
        <v>369</v>
      </c>
      <c r="B371" s="17">
        <v>369</v>
      </c>
      <c r="C371" s="6">
        <v>30</v>
      </c>
      <c r="D371" s="6">
        <v>0</v>
      </c>
      <c r="E371" s="5">
        <v>100</v>
      </c>
      <c r="F371" s="5">
        <v>100</v>
      </c>
      <c r="G371" s="5">
        <v>100</v>
      </c>
      <c r="H371" s="5">
        <v>100</v>
      </c>
      <c r="I371" s="5">
        <v>0</v>
      </c>
      <c r="J371" s="5">
        <v>100</v>
      </c>
      <c r="K371" s="15" t="s">
        <v>53</v>
      </c>
      <c r="L371" s="6">
        <v>3</v>
      </c>
      <c r="M371" s="6">
        <v>0</v>
      </c>
      <c r="N371" s="6">
        <v>0</v>
      </c>
      <c r="O371" s="5">
        <v>16</v>
      </c>
      <c r="P371" s="5">
        <v>0</v>
      </c>
      <c r="Q371" s="5">
        <v>0</v>
      </c>
      <c r="R371" s="5">
        <v>0</v>
      </c>
      <c r="S371" s="5">
        <v>0</v>
      </c>
      <c r="T371" s="5">
        <v>18</v>
      </c>
      <c r="U371" s="6">
        <v>0</v>
      </c>
      <c r="V371" s="5">
        <v>10</v>
      </c>
      <c r="W371" s="5">
        <v>5</v>
      </c>
      <c r="X371" s="16">
        <v>2000</v>
      </c>
      <c r="Y371" s="16">
        <v>7000</v>
      </c>
      <c r="Z371" s="16">
        <v>14000</v>
      </c>
      <c r="AA371" s="12" t="str">
        <f t="shared" si="82"/>
        <v>0/30</v>
      </c>
      <c r="AB371" s="12" t="str">
        <f t="shared" si="83"/>
        <v>100,100,100,100,0,100</v>
      </c>
      <c r="AC371" s="12">
        <f t="shared" si="84"/>
        <v>2</v>
      </c>
      <c r="AD371" s="12" t="str">
        <f t="shared" si="85"/>
        <v>2000/7000/14000</v>
      </c>
      <c r="AE371" s="12" t="str">
        <f t="shared" si="86"/>
        <v/>
      </c>
      <c r="AF371" s="12" t="str">
        <f t="shared" si="87"/>
        <v/>
      </c>
      <c r="AG371" s="12" t="str">
        <f t="shared" si="88"/>
        <v>0/5/</v>
      </c>
      <c r="AH371" s="12" t="str">
        <f t="shared" si="89"/>
        <v>16/18/</v>
      </c>
      <c r="AI371" s="12" t="str">
        <f t="shared" si="90"/>
        <v>10/5</v>
      </c>
    </row>
    <row r="372" spans="1:35" s="8" customFormat="1" ht="21.95" customHeight="1">
      <c r="A372" s="9">
        <v>370</v>
      </c>
      <c r="B372" s="17">
        <v>370</v>
      </c>
      <c r="C372" s="6">
        <v>30</v>
      </c>
      <c r="D372" s="6">
        <v>0</v>
      </c>
      <c r="E372" s="5">
        <v>100</v>
      </c>
      <c r="F372" s="5">
        <v>100</v>
      </c>
      <c r="G372" s="5">
        <v>100</v>
      </c>
      <c r="H372" s="5">
        <v>100</v>
      </c>
      <c r="I372" s="5">
        <v>100</v>
      </c>
      <c r="J372" s="5">
        <v>0</v>
      </c>
      <c r="K372" s="15" t="s">
        <v>52</v>
      </c>
      <c r="L372" s="6">
        <v>3</v>
      </c>
      <c r="M372" s="6">
        <v>6</v>
      </c>
      <c r="N372" s="6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6">
        <v>0</v>
      </c>
      <c r="V372" s="5">
        <v>10</v>
      </c>
      <c r="W372" s="5">
        <v>5</v>
      </c>
      <c r="X372" s="16">
        <v>2000</v>
      </c>
      <c r="Y372" s="16">
        <v>7000</v>
      </c>
      <c r="Z372" s="16">
        <v>14000</v>
      </c>
      <c r="AA372" s="12" t="str">
        <f t="shared" si="82"/>
        <v>0/30</v>
      </c>
      <c r="AB372" s="12" t="str">
        <f t="shared" si="83"/>
        <v>100,100,100,100,100,0</v>
      </c>
      <c r="AC372" s="12">
        <f t="shared" si="84"/>
        <v>1</v>
      </c>
      <c r="AD372" s="12" t="str">
        <f t="shared" si="85"/>
        <v>2000/7000/14000</v>
      </c>
      <c r="AE372" s="12" t="str">
        <f t="shared" si="86"/>
        <v>0/</v>
      </c>
      <c r="AF372" s="12" t="str">
        <f t="shared" si="87"/>
        <v>6/</v>
      </c>
      <c r="AG372" s="12" t="str">
        <f t="shared" si="88"/>
        <v/>
      </c>
      <c r="AH372" s="12" t="str">
        <f t="shared" si="89"/>
        <v/>
      </c>
      <c r="AI372" s="12" t="str">
        <f t="shared" si="90"/>
        <v>10/5</v>
      </c>
    </row>
    <row r="373" spans="1:35" s="8" customFormat="1" ht="21.95" customHeight="1">
      <c r="A373" s="9">
        <v>371</v>
      </c>
      <c r="B373" s="17">
        <v>371</v>
      </c>
      <c r="C373" s="6">
        <v>30</v>
      </c>
      <c r="D373" s="6">
        <v>0</v>
      </c>
      <c r="E373" s="5">
        <v>0</v>
      </c>
      <c r="F373" s="5">
        <v>100</v>
      </c>
      <c r="G373" s="5">
        <v>100</v>
      </c>
      <c r="H373" s="5">
        <v>100</v>
      </c>
      <c r="I373" s="5">
        <v>100</v>
      </c>
      <c r="J373" s="5">
        <v>100</v>
      </c>
      <c r="K373" s="15" t="s">
        <v>52</v>
      </c>
      <c r="L373" s="6">
        <v>3</v>
      </c>
      <c r="M373" s="6">
        <v>0</v>
      </c>
      <c r="N373" s="6">
        <v>6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6">
        <v>0</v>
      </c>
      <c r="V373" s="5">
        <v>10</v>
      </c>
      <c r="W373" s="5">
        <v>5</v>
      </c>
      <c r="X373" s="16">
        <v>2000</v>
      </c>
      <c r="Y373" s="16">
        <v>7000</v>
      </c>
      <c r="Z373" s="16">
        <v>14000</v>
      </c>
      <c r="AA373" s="12" t="str">
        <f t="shared" si="82"/>
        <v>0/30</v>
      </c>
      <c r="AB373" s="12" t="str">
        <f t="shared" si="83"/>
        <v>0,100,100,100,100,100</v>
      </c>
      <c r="AC373" s="12">
        <f t="shared" si="84"/>
        <v>1</v>
      </c>
      <c r="AD373" s="12" t="str">
        <f t="shared" si="85"/>
        <v>2000/7000/14000</v>
      </c>
      <c r="AE373" s="12" t="str">
        <f t="shared" si="86"/>
        <v>1/</v>
      </c>
      <c r="AF373" s="12" t="str">
        <f t="shared" si="87"/>
        <v>6/</v>
      </c>
      <c r="AG373" s="12" t="str">
        <f t="shared" si="88"/>
        <v/>
      </c>
      <c r="AH373" s="12" t="str">
        <f t="shared" si="89"/>
        <v/>
      </c>
      <c r="AI373" s="12" t="str">
        <f t="shared" si="90"/>
        <v>10/5</v>
      </c>
    </row>
    <row r="374" spans="1:35" s="8" customFormat="1" ht="21.95" customHeight="1">
      <c r="A374" s="9">
        <v>372</v>
      </c>
      <c r="B374" s="17">
        <v>372</v>
      </c>
      <c r="C374" s="6">
        <v>0</v>
      </c>
      <c r="D374" s="6">
        <v>60</v>
      </c>
      <c r="E374" s="5">
        <v>100</v>
      </c>
      <c r="F374" s="5">
        <v>0</v>
      </c>
      <c r="G374" s="5">
        <v>100</v>
      </c>
      <c r="H374" s="5">
        <v>100</v>
      </c>
      <c r="I374" s="5">
        <v>100</v>
      </c>
      <c r="J374" s="5">
        <v>100</v>
      </c>
      <c r="K374" s="15" t="s">
        <v>54</v>
      </c>
      <c r="L374" s="6">
        <v>3</v>
      </c>
      <c r="M374" s="6">
        <v>0</v>
      </c>
      <c r="N374" s="6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6">
        <v>0</v>
      </c>
      <c r="V374" s="5">
        <v>10</v>
      </c>
      <c r="W374" s="5">
        <v>5</v>
      </c>
      <c r="X374" s="16">
        <v>2000</v>
      </c>
      <c r="Y374" s="16">
        <v>7000</v>
      </c>
      <c r="Z374" s="16">
        <v>14000</v>
      </c>
      <c r="AA374" s="12" t="str">
        <f t="shared" si="82"/>
        <v>1/60</v>
      </c>
      <c r="AB374" s="12" t="str">
        <f t="shared" si="83"/>
        <v>100,0,100,100,100,100</v>
      </c>
      <c r="AC374" s="12">
        <f t="shared" si="84"/>
        <v>3</v>
      </c>
      <c r="AD374" s="12" t="str">
        <f t="shared" si="85"/>
        <v>2000/7000/14000</v>
      </c>
      <c r="AE374" s="12" t="str">
        <f t="shared" si="86"/>
        <v/>
      </c>
      <c r="AF374" s="12" t="str">
        <f t="shared" si="87"/>
        <v/>
      </c>
      <c r="AG374" s="12" t="str">
        <f t="shared" si="88"/>
        <v/>
      </c>
      <c r="AH374" s="12" t="str">
        <f t="shared" si="89"/>
        <v/>
      </c>
      <c r="AI374" s="12" t="str">
        <f t="shared" si="90"/>
        <v>10/5</v>
      </c>
    </row>
    <row r="375" spans="1:35" s="8" customFormat="1" ht="21.95" customHeight="1">
      <c r="A375" s="9">
        <v>373</v>
      </c>
      <c r="B375" s="17">
        <v>373</v>
      </c>
      <c r="C375" s="6">
        <v>0</v>
      </c>
      <c r="D375" s="6">
        <v>60</v>
      </c>
      <c r="E375" s="5">
        <v>100</v>
      </c>
      <c r="F375" s="5">
        <v>100</v>
      </c>
      <c r="G375" s="5">
        <v>0</v>
      </c>
      <c r="H375" s="5">
        <v>100</v>
      </c>
      <c r="I375" s="5">
        <v>100</v>
      </c>
      <c r="J375" s="5">
        <v>100</v>
      </c>
      <c r="K375" s="15" t="s">
        <v>54</v>
      </c>
      <c r="L375" s="6">
        <v>3</v>
      </c>
      <c r="M375" s="6">
        <v>0</v>
      </c>
      <c r="N375" s="6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6">
        <v>0</v>
      </c>
      <c r="V375" s="5">
        <v>10</v>
      </c>
      <c r="W375" s="5">
        <v>5</v>
      </c>
      <c r="X375" s="16">
        <v>2000</v>
      </c>
      <c r="Y375" s="16">
        <v>7000</v>
      </c>
      <c r="Z375" s="16">
        <v>14000</v>
      </c>
      <c r="AA375" s="12" t="str">
        <f t="shared" si="82"/>
        <v>1/60</v>
      </c>
      <c r="AB375" s="12" t="str">
        <f t="shared" si="83"/>
        <v>100,100,0,100,100,100</v>
      </c>
      <c r="AC375" s="12">
        <f t="shared" si="84"/>
        <v>3</v>
      </c>
      <c r="AD375" s="12" t="str">
        <f t="shared" si="85"/>
        <v>2000/7000/14000</v>
      </c>
      <c r="AE375" s="12" t="str">
        <f t="shared" si="86"/>
        <v/>
      </c>
      <c r="AF375" s="12" t="str">
        <f t="shared" si="87"/>
        <v/>
      </c>
      <c r="AG375" s="12" t="str">
        <f t="shared" si="88"/>
        <v/>
      </c>
      <c r="AH375" s="12" t="str">
        <f t="shared" si="89"/>
        <v/>
      </c>
      <c r="AI375" s="12" t="str">
        <f t="shared" si="90"/>
        <v>10/5</v>
      </c>
    </row>
    <row r="376" spans="1:35" s="8" customFormat="1" ht="21.95" customHeight="1">
      <c r="A376" s="9">
        <v>374</v>
      </c>
      <c r="B376" s="17">
        <v>374</v>
      </c>
      <c r="C376" s="6">
        <v>30</v>
      </c>
      <c r="D376" s="6">
        <v>0</v>
      </c>
      <c r="E376" s="5">
        <v>100</v>
      </c>
      <c r="F376" s="5">
        <v>100</v>
      </c>
      <c r="G376" s="5">
        <v>100</v>
      </c>
      <c r="H376" s="5">
        <v>0</v>
      </c>
      <c r="I376" s="5">
        <v>100</v>
      </c>
      <c r="J376" s="5">
        <v>100</v>
      </c>
      <c r="K376" s="15" t="s">
        <v>55</v>
      </c>
      <c r="L376" s="6">
        <v>3</v>
      </c>
      <c r="M376" s="6">
        <v>0</v>
      </c>
      <c r="N376" s="6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6">
        <v>5</v>
      </c>
      <c r="V376" s="5">
        <v>10</v>
      </c>
      <c r="W376" s="5">
        <v>5</v>
      </c>
      <c r="X376" s="16">
        <v>2000</v>
      </c>
      <c r="Y376" s="16">
        <v>7000</v>
      </c>
      <c r="Z376" s="16">
        <v>14000</v>
      </c>
      <c r="AA376" s="12" t="str">
        <f t="shared" si="82"/>
        <v>0/30</v>
      </c>
      <c r="AB376" s="12" t="str">
        <f t="shared" si="83"/>
        <v>100,100,100,0,100,100</v>
      </c>
      <c r="AC376" s="12">
        <f t="shared" si="84"/>
        <v>4</v>
      </c>
      <c r="AD376" s="12" t="str">
        <f t="shared" si="85"/>
        <v>2000/7000/14000</v>
      </c>
      <c r="AE376" s="12" t="str">
        <f t="shared" si="86"/>
        <v/>
      </c>
      <c r="AF376" s="12" t="str">
        <f t="shared" si="87"/>
        <v/>
      </c>
      <c r="AG376" s="12" t="str">
        <f t="shared" si="88"/>
        <v/>
      </c>
      <c r="AH376" s="12" t="str">
        <f t="shared" si="89"/>
        <v/>
      </c>
      <c r="AI376" s="12" t="str">
        <f t="shared" si="90"/>
        <v>10/5</v>
      </c>
    </row>
    <row r="377" spans="1:35" s="8" customFormat="1" ht="21.95" customHeight="1">
      <c r="A377" s="9">
        <v>375</v>
      </c>
      <c r="B377" s="17">
        <v>375</v>
      </c>
      <c r="C377" s="6">
        <v>30</v>
      </c>
      <c r="D377" s="6">
        <v>0</v>
      </c>
      <c r="E377" s="5">
        <v>100</v>
      </c>
      <c r="F377" s="5">
        <v>100</v>
      </c>
      <c r="G377" s="5">
        <v>100</v>
      </c>
      <c r="H377" s="5">
        <v>100</v>
      </c>
      <c r="I377" s="5">
        <v>0</v>
      </c>
      <c r="J377" s="5">
        <v>100</v>
      </c>
      <c r="K377" s="15" t="s">
        <v>55</v>
      </c>
      <c r="L377" s="6">
        <v>3</v>
      </c>
      <c r="M377" s="6">
        <v>0</v>
      </c>
      <c r="N377" s="6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6">
        <v>5</v>
      </c>
      <c r="V377" s="5">
        <v>10</v>
      </c>
      <c r="W377" s="5">
        <v>5</v>
      </c>
      <c r="X377" s="16">
        <v>2000</v>
      </c>
      <c r="Y377" s="16">
        <v>7000</v>
      </c>
      <c r="Z377" s="16">
        <v>14000</v>
      </c>
      <c r="AA377" s="12" t="str">
        <f t="shared" si="82"/>
        <v>0/30</v>
      </c>
      <c r="AB377" s="12" t="str">
        <f t="shared" si="83"/>
        <v>100,100,100,100,0,100</v>
      </c>
      <c r="AC377" s="12">
        <f t="shared" si="84"/>
        <v>4</v>
      </c>
      <c r="AD377" s="12" t="str">
        <f t="shared" si="85"/>
        <v>2000/7000/14000</v>
      </c>
      <c r="AE377" s="12" t="str">
        <f t="shared" si="86"/>
        <v/>
      </c>
      <c r="AF377" s="12" t="str">
        <f t="shared" si="87"/>
        <v/>
      </c>
      <c r="AG377" s="12" t="str">
        <f t="shared" si="88"/>
        <v/>
      </c>
      <c r="AH377" s="12" t="str">
        <f t="shared" si="89"/>
        <v/>
      </c>
      <c r="AI377" s="12" t="str">
        <f t="shared" si="90"/>
        <v>10/5</v>
      </c>
    </row>
    <row r="378" spans="1:35" s="8" customFormat="1" ht="21.95" customHeight="1">
      <c r="A378" s="9">
        <v>376</v>
      </c>
      <c r="B378" s="17">
        <v>376</v>
      </c>
      <c r="C378" s="6">
        <v>30</v>
      </c>
      <c r="D378" s="6">
        <v>0</v>
      </c>
      <c r="E378" s="5">
        <v>100</v>
      </c>
      <c r="F378" s="5">
        <v>100</v>
      </c>
      <c r="G378" s="5">
        <v>100</v>
      </c>
      <c r="H378" s="5">
        <v>100</v>
      </c>
      <c r="I378" s="5">
        <v>100</v>
      </c>
      <c r="J378" s="5">
        <v>0</v>
      </c>
      <c r="K378" s="15" t="s">
        <v>56</v>
      </c>
      <c r="L378" s="6">
        <v>3</v>
      </c>
      <c r="M378" s="6">
        <v>0</v>
      </c>
      <c r="N378" s="6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6">
        <v>0</v>
      </c>
      <c r="V378" s="5">
        <v>10</v>
      </c>
      <c r="W378" s="5">
        <v>5</v>
      </c>
      <c r="X378" s="16">
        <v>2000</v>
      </c>
      <c r="Y378" s="16">
        <v>7000</v>
      </c>
      <c r="Z378" s="16">
        <v>14000</v>
      </c>
      <c r="AA378" s="12" t="str">
        <f t="shared" si="82"/>
        <v>0/30</v>
      </c>
      <c r="AB378" s="12" t="str">
        <f t="shared" si="83"/>
        <v>100,100,100,100,100,0</v>
      </c>
      <c r="AC378" s="12">
        <f t="shared" si="84"/>
        <v>5</v>
      </c>
      <c r="AD378" s="12" t="str">
        <f t="shared" si="85"/>
        <v>2000/7000/14000</v>
      </c>
      <c r="AE378" s="12" t="str">
        <f t="shared" si="86"/>
        <v/>
      </c>
      <c r="AF378" s="12" t="str">
        <f t="shared" si="87"/>
        <v/>
      </c>
      <c r="AG378" s="12" t="str">
        <f t="shared" si="88"/>
        <v/>
      </c>
      <c r="AH378" s="12" t="str">
        <f t="shared" si="89"/>
        <v/>
      </c>
      <c r="AI378" s="12" t="str">
        <f t="shared" si="90"/>
        <v>10/5</v>
      </c>
    </row>
    <row r="379" spans="1:35" s="8" customFormat="1" ht="21.95" customHeight="1">
      <c r="A379" s="9">
        <v>377</v>
      </c>
      <c r="B379" s="17">
        <v>377</v>
      </c>
      <c r="C379" s="6">
        <v>0</v>
      </c>
      <c r="D379" s="6">
        <v>60</v>
      </c>
      <c r="E379" s="5">
        <v>0</v>
      </c>
      <c r="F379" s="5">
        <v>100</v>
      </c>
      <c r="G379" s="5">
        <v>100</v>
      </c>
      <c r="H379" s="5">
        <v>100</v>
      </c>
      <c r="I379" s="5">
        <v>100</v>
      </c>
      <c r="J379" s="5">
        <v>100</v>
      </c>
      <c r="K379" s="15" t="s">
        <v>56</v>
      </c>
      <c r="L379" s="6">
        <v>3</v>
      </c>
      <c r="M379" s="6">
        <v>0</v>
      </c>
      <c r="N379" s="6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6">
        <v>0</v>
      </c>
      <c r="V379" s="5">
        <v>10</v>
      </c>
      <c r="W379" s="5">
        <v>5</v>
      </c>
      <c r="X379" s="16">
        <v>2000</v>
      </c>
      <c r="Y379" s="16">
        <v>7000</v>
      </c>
      <c r="Z379" s="16">
        <v>14000</v>
      </c>
      <c r="AA379" s="12" t="str">
        <f t="shared" si="82"/>
        <v>1/60</v>
      </c>
      <c r="AB379" s="12" t="str">
        <f t="shared" si="83"/>
        <v>0,100,100,100,100,100</v>
      </c>
      <c r="AC379" s="12">
        <f t="shared" si="84"/>
        <v>5</v>
      </c>
      <c r="AD379" s="12" t="str">
        <f t="shared" si="85"/>
        <v>2000/7000/14000</v>
      </c>
      <c r="AE379" s="12" t="str">
        <f t="shared" si="86"/>
        <v/>
      </c>
      <c r="AF379" s="12" t="str">
        <f t="shared" si="87"/>
        <v/>
      </c>
      <c r="AG379" s="12" t="str">
        <f t="shared" si="88"/>
        <v/>
      </c>
      <c r="AH379" s="12" t="str">
        <f t="shared" si="89"/>
        <v/>
      </c>
      <c r="AI379" s="12" t="str">
        <f t="shared" si="90"/>
        <v>10/5</v>
      </c>
    </row>
    <row r="380" spans="1:35" s="8" customFormat="1" ht="21.95" customHeight="1">
      <c r="A380" s="9">
        <v>378</v>
      </c>
      <c r="B380" s="17">
        <v>378</v>
      </c>
      <c r="C380" s="6">
        <v>0</v>
      </c>
      <c r="D380" s="6">
        <v>60</v>
      </c>
      <c r="E380" s="5">
        <v>0</v>
      </c>
      <c r="F380" s="5">
        <v>100</v>
      </c>
      <c r="G380" s="5">
        <v>100</v>
      </c>
      <c r="H380" s="5">
        <v>100</v>
      </c>
      <c r="I380" s="5">
        <v>100</v>
      </c>
      <c r="J380" s="5">
        <v>100</v>
      </c>
      <c r="K380" s="15" t="s">
        <v>56</v>
      </c>
      <c r="L380" s="6">
        <v>3</v>
      </c>
      <c r="M380" s="6">
        <v>0</v>
      </c>
      <c r="N380" s="6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6">
        <v>0</v>
      </c>
      <c r="V380" s="5">
        <v>10</v>
      </c>
      <c r="W380" s="5">
        <v>5</v>
      </c>
      <c r="X380" s="16">
        <v>2000</v>
      </c>
      <c r="Y380" s="16">
        <v>7000</v>
      </c>
      <c r="Z380" s="16">
        <v>14000</v>
      </c>
      <c r="AA380" s="12" t="str">
        <f t="shared" si="82"/>
        <v>1/60</v>
      </c>
      <c r="AB380" s="12" t="str">
        <f t="shared" si="83"/>
        <v>0,100,100,100,100,100</v>
      </c>
      <c r="AC380" s="12">
        <f t="shared" si="84"/>
        <v>5</v>
      </c>
      <c r="AD380" s="12" t="str">
        <f t="shared" si="85"/>
        <v>2000/7000/14000</v>
      </c>
      <c r="AE380" s="12" t="str">
        <f t="shared" si="86"/>
        <v/>
      </c>
      <c r="AF380" s="12" t="str">
        <f t="shared" si="87"/>
        <v/>
      </c>
      <c r="AG380" s="12" t="str">
        <f t="shared" si="88"/>
        <v/>
      </c>
      <c r="AH380" s="12" t="str">
        <f t="shared" si="89"/>
        <v/>
      </c>
      <c r="AI380" s="12" t="str">
        <f t="shared" si="90"/>
        <v>10/5</v>
      </c>
    </row>
    <row r="381" spans="1:35" s="8" customFormat="1" ht="21.95" customHeight="1">
      <c r="A381" s="9">
        <v>379</v>
      </c>
      <c r="B381" s="17">
        <v>379</v>
      </c>
      <c r="C381" s="6">
        <v>30</v>
      </c>
      <c r="D381" s="6">
        <v>0</v>
      </c>
      <c r="E381" s="5">
        <v>100</v>
      </c>
      <c r="F381" s="5">
        <v>0</v>
      </c>
      <c r="G381" s="5">
        <v>100</v>
      </c>
      <c r="H381" s="5">
        <v>100</v>
      </c>
      <c r="I381" s="5">
        <v>100</v>
      </c>
      <c r="J381" s="5">
        <v>100</v>
      </c>
      <c r="K381" s="15" t="s">
        <v>53</v>
      </c>
      <c r="L381" s="6">
        <v>3</v>
      </c>
      <c r="M381" s="6">
        <v>0</v>
      </c>
      <c r="N381" s="6">
        <v>0</v>
      </c>
      <c r="O381" s="5">
        <v>0</v>
      </c>
      <c r="P381" s="5">
        <v>0</v>
      </c>
      <c r="Q381" s="5">
        <v>20</v>
      </c>
      <c r="R381" s="5">
        <v>24</v>
      </c>
      <c r="S381" s="5">
        <v>0</v>
      </c>
      <c r="T381" s="5">
        <v>0</v>
      </c>
      <c r="U381" s="6">
        <v>0</v>
      </c>
      <c r="V381" s="5">
        <v>10</v>
      </c>
      <c r="W381" s="5">
        <v>5</v>
      </c>
      <c r="X381" s="16">
        <v>2000</v>
      </c>
      <c r="Y381" s="16">
        <v>7000</v>
      </c>
      <c r="Z381" s="16">
        <v>14000</v>
      </c>
      <c r="AA381" s="12" t="str">
        <f t="shared" si="82"/>
        <v>0/30</v>
      </c>
      <c r="AB381" s="12" t="str">
        <f t="shared" si="83"/>
        <v>100,0,100,100,100,100</v>
      </c>
      <c r="AC381" s="12">
        <f t="shared" si="84"/>
        <v>2</v>
      </c>
      <c r="AD381" s="12" t="str">
        <f t="shared" si="85"/>
        <v>2000/7000/14000</v>
      </c>
      <c r="AE381" s="12" t="str">
        <f t="shared" si="86"/>
        <v/>
      </c>
      <c r="AF381" s="12" t="str">
        <f t="shared" si="87"/>
        <v/>
      </c>
      <c r="AG381" s="12" t="str">
        <f t="shared" si="88"/>
        <v>2/3/</v>
      </c>
      <c r="AH381" s="12" t="str">
        <f t="shared" si="89"/>
        <v>20/24/</v>
      </c>
      <c r="AI381" s="12" t="str">
        <f t="shared" si="90"/>
        <v>10/5</v>
      </c>
    </row>
    <row r="382" spans="1:35" s="8" customFormat="1" ht="21.95" customHeight="1">
      <c r="A382" s="9">
        <v>380</v>
      </c>
      <c r="B382" s="17">
        <v>380</v>
      </c>
      <c r="C382" s="6">
        <v>30</v>
      </c>
      <c r="D382" s="6">
        <v>0</v>
      </c>
      <c r="E382" s="5">
        <v>100</v>
      </c>
      <c r="F382" s="5">
        <v>100</v>
      </c>
      <c r="G382" s="5">
        <v>0</v>
      </c>
      <c r="H382" s="5">
        <v>100</v>
      </c>
      <c r="I382" s="5">
        <v>100</v>
      </c>
      <c r="J382" s="5">
        <v>100</v>
      </c>
      <c r="K382" s="15" t="s">
        <v>53</v>
      </c>
      <c r="L382" s="6">
        <v>3</v>
      </c>
      <c r="M382" s="6">
        <v>0</v>
      </c>
      <c r="N382" s="6">
        <v>0</v>
      </c>
      <c r="O382" s="5">
        <v>0</v>
      </c>
      <c r="P382" s="5">
        <v>0</v>
      </c>
      <c r="Q382" s="5">
        <v>0</v>
      </c>
      <c r="R382" s="5">
        <v>18</v>
      </c>
      <c r="S382" s="5">
        <v>32</v>
      </c>
      <c r="T382" s="5">
        <v>0</v>
      </c>
      <c r="U382" s="6">
        <v>0</v>
      </c>
      <c r="V382" s="5">
        <v>10</v>
      </c>
      <c r="W382" s="5">
        <v>5</v>
      </c>
      <c r="X382" s="16">
        <v>2000</v>
      </c>
      <c r="Y382" s="16">
        <v>7000</v>
      </c>
      <c r="Z382" s="16">
        <v>14000</v>
      </c>
      <c r="AA382" s="12" t="str">
        <f t="shared" si="82"/>
        <v>0/30</v>
      </c>
      <c r="AB382" s="12" t="str">
        <f t="shared" si="83"/>
        <v>100,100,0,100,100,100</v>
      </c>
      <c r="AC382" s="12">
        <f t="shared" si="84"/>
        <v>2</v>
      </c>
      <c r="AD382" s="12" t="str">
        <f t="shared" si="85"/>
        <v>2000/7000/14000</v>
      </c>
      <c r="AE382" s="12" t="str">
        <f t="shared" si="86"/>
        <v/>
      </c>
      <c r="AF382" s="12" t="str">
        <f t="shared" si="87"/>
        <v/>
      </c>
      <c r="AG382" s="12" t="str">
        <f t="shared" si="88"/>
        <v>3/4/</v>
      </c>
      <c r="AH382" s="12" t="str">
        <f t="shared" si="89"/>
        <v>18/32/</v>
      </c>
      <c r="AI382" s="12" t="str">
        <f t="shared" si="90"/>
        <v>10/5</v>
      </c>
    </row>
    <row r="383" spans="1:35" s="8" customFormat="1" ht="21.95" customHeight="1">
      <c r="A383" s="9">
        <v>381</v>
      </c>
      <c r="B383" s="17">
        <v>381</v>
      </c>
      <c r="C383" s="6">
        <v>30</v>
      </c>
      <c r="D383" s="6">
        <v>0</v>
      </c>
      <c r="E383" s="5">
        <v>100</v>
      </c>
      <c r="F383" s="5">
        <v>100</v>
      </c>
      <c r="G383" s="5">
        <v>100</v>
      </c>
      <c r="H383" s="5">
        <v>0</v>
      </c>
      <c r="I383" s="5">
        <v>100</v>
      </c>
      <c r="J383" s="5">
        <v>100</v>
      </c>
      <c r="K383" s="15" t="s">
        <v>52</v>
      </c>
      <c r="L383" s="6">
        <v>3</v>
      </c>
      <c r="M383" s="6">
        <v>6</v>
      </c>
      <c r="N383" s="6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6">
        <v>0</v>
      </c>
      <c r="V383" s="5">
        <v>10</v>
      </c>
      <c r="W383" s="5">
        <v>5</v>
      </c>
      <c r="X383" s="16">
        <v>2000</v>
      </c>
      <c r="Y383" s="16">
        <v>7000</v>
      </c>
      <c r="Z383" s="16">
        <v>14000</v>
      </c>
      <c r="AA383" s="12" t="str">
        <f t="shared" si="82"/>
        <v>0/30</v>
      </c>
      <c r="AB383" s="12" t="str">
        <f t="shared" si="83"/>
        <v>100,100,100,0,100,100</v>
      </c>
      <c r="AC383" s="12">
        <f t="shared" si="84"/>
        <v>1</v>
      </c>
      <c r="AD383" s="12" t="str">
        <f t="shared" si="85"/>
        <v>2000/7000/14000</v>
      </c>
      <c r="AE383" s="12" t="str">
        <f t="shared" si="86"/>
        <v>0/</v>
      </c>
      <c r="AF383" s="12" t="str">
        <f t="shared" si="87"/>
        <v>6/</v>
      </c>
      <c r="AG383" s="12" t="str">
        <f t="shared" si="88"/>
        <v/>
      </c>
      <c r="AH383" s="12" t="str">
        <f t="shared" si="89"/>
        <v/>
      </c>
      <c r="AI383" s="12" t="str">
        <f t="shared" si="90"/>
        <v>10/5</v>
      </c>
    </row>
    <row r="384" spans="1:35" s="8" customFormat="1" ht="21.95" customHeight="1">
      <c r="A384" s="9">
        <v>382</v>
      </c>
      <c r="B384" s="17">
        <v>382</v>
      </c>
      <c r="C384" s="6">
        <v>30</v>
      </c>
      <c r="D384" s="6">
        <v>0</v>
      </c>
      <c r="E384" s="5">
        <v>100</v>
      </c>
      <c r="F384" s="5">
        <v>100</v>
      </c>
      <c r="G384" s="5">
        <v>100</v>
      </c>
      <c r="H384" s="5">
        <v>100</v>
      </c>
      <c r="I384" s="5">
        <v>0</v>
      </c>
      <c r="J384" s="5">
        <v>100</v>
      </c>
      <c r="K384" s="15" t="s">
        <v>52</v>
      </c>
      <c r="L384" s="6">
        <v>3</v>
      </c>
      <c r="M384" s="6">
        <v>2</v>
      </c>
      <c r="N384" s="6">
        <v>4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6">
        <v>0</v>
      </c>
      <c r="V384" s="5">
        <v>10</v>
      </c>
      <c r="W384" s="5">
        <v>5</v>
      </c>
      <c r="X384" s="16">
        <v>2000</v>
      </c>
      <c r="Y384" s="16">
        <v>7000</v>
      </c>
      <c r="Z384" s="16">
        <v>14000</v>
      </c>
      <c r="AA384" s="12" t="str">
        <f t="shared" si="82"/>
        <v>0/30</v>
      </c>
      <c r="AB384" s="12" t="str">
        <f t="shared" si="83"/>
        <v>100,100,100,100,0,100</v>
      </c>
      <c r="AC384" s="12">
        <f t="shared" si="84"/>
        <v>1</v>
      </c>
      <c r="AD384" s="12" t="str">
        <f t="shared" si="85"/>
        <v>2000/7000/14000</v>
      </c>
      <c r="AE384" s="12" t="str">
        <f t="shared" si="86"/>
        <v>0/1/</v>
      </c>
      <c r="AF384" s="12" t="str">
        <f t="shared" si="87"/>
        <v>2/4/</v>
      </c>
      <c r="AG384" s="12" t="str">
        <f t="shared" si="88"/>
        <v/>
      </c>
      <c r="AH384" s="12" t="str">
        <f t="shared" si="89"/>
        <v/>
      </c>
      <c r="AI384" s="12" t="str">
        <f t="shared" si="90"/>
        <v>10/5</v>
      </c>
    </row>
    <row r="385" spans="1:35" s="8" customFormat="1" ht="21.95" customHeight="1">
      <c r="A385" s="9">
        <v>383</v>
      </c>
      <c r="B385" s="17">
        <v>383</v>
      </c>
      <c r="C385" s="6">
        <v>0</v>
      </c>
      <c r="D385" s="6">
        <v>60</v>
      </c>
      <c r="E385" s="5">
        <v>100</v>
      </c>
      <c r="F385" s="5">
        <v>100</v>
      </c>
      <c r="G385" s="5">
        <v>100</v>
      </c>
      <c r="H385" s="5">
        <v>100</v>
      </c>
      <c r="I385" s="5">
        <v>100</v>
      </c>
      <c r="J385" s="5">
        <v>0</v>
      </c>
      <c r="K385" s="15" t="s">
        <v>54</v>
      </c>
      <c r="L385" s="6">
        <v>3</v>
      </c>
      <c r="M385" s="6">
        <v>0</v>
      </c>
      <c r="N385" s="6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6">
        <v>0</v>
      </c>
      <c r="V385" s="5">
        <v>10</v>
      </c>
      <c r="W385" s="5">
        <v>5</v>
      </c>
      <c r="X385" s="16">
        <v>2000</v>
      </c>
      <c r="Y385" s="16">
        <v>7000</v>
      </c>
      <c r="Z385" s="16">
        <v>14000</v>
      </c>
      <c r="AA385" s="12" t="str">
        <f t="shared" si="82"/>
        <v>1/60</v>
      </c>
      <c r="AB385" s="12" t="str">
        <f t="shared" si="83"/>
        <v>100,100,100,100,100,0</v>
      </c>
      <c r="AC385" s="12">
        <f t="shared" si="84"/>
        <v>3</v>
      </c>
      <c r="AD385" s="12" t="str">
        <f t="shared" si="85"/>
        <v>2000/7000/14000</v>
      </c>
      <c r="AE385" s="12" t="str">
        <f t="shared" si="86"/>
        <v/>
      </c>
      <c r="AF385" s="12" t="str">
        <f t="shared" si="87"/>
        <v/>
      </c>
      <c r="AG385" s="12" t="str">
        <f t="shared" si="88"/>
        <v/>
      </c>
      <c r="AH385" s="12" t="str">
        <f t="shared" si="89"/>
        <v/>
      </c>
      <c r="AI385" s="12" t="str">
        <f t="shared" si="90"/>
        <v>10/5</v>
      </c>
    </row>
    <row r="386" spans="1:35" s="8" customFormat="1" ht="21.95" customHeight="1">
      <c r="A386" s="9">
        <v>384</v>
      </c>
      <c r="B386" s="17">
        <v>384</v>
      </c>
      <c r="C386" s="6">
        <v>0</v>
      </c>
      <c r="D386" s="6">
        <v>60</v>
      </c>
      <c r="E386" s="5">
        <v>0</v>
      </c>
      <c r="F386" s="5">
        <v>100</v>
      </c>
      <c r="G386" s="5">
        <v>100</v>
      </c>
      <c r="H386" s="5">
        <v>100</v>
      </c>
      <c r="I386" s="5">
        <v>100</v>
      </c>
      <c r="J386" s="5">
        <v>100</v>
      </c>
      <c r="K386" s="15" t="s">
        <v>54</v>
      </c>
      <c r="L386" s="6">
        <v>3</v>
      </c>
      <c r="M386" s="6">
        <v>0</v>
      </c>
      <c r="N386" s="6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6">
        <v>0</v>
      </c>
      <c r="V386" s="5">
        <v>10</v>
      </c>
      <c r="W386" s="5">
        <v>5</v>
      </c>
      <c r="X386" s="16">
        <v>2000</v>
      </c>
      <c r="Y386" s="16">
        <v>7000</v>
      </c>
      <c r="Z386" s="16">
        <v>14000</v>
      </c>
      <c r="AA386" s="12" t="str">
        <f t="shared" si="82"/>
        <v>1/60</v>
      </c>
      <c r="AB386" s="12" t="str">
        <f t="shared" si="83"/>
        <v>0,100,100,100,100,100</v>
      </c>
      <c r="AC386" s="12">
        <f t="shared" si="84"/>
        <v>3</v>
      </c>
      <c r="AD386" s="12" t="str">
        <f t="shared" si="85"/>
        <v>2000/7000/14000</v>
      </c>
      <c r="AE386" s="12" t="str">
        <f t="shared" si="86"/>
        <v/>
      </c>
      <c r="AF386" s="12" t="str">
        <f t="shared" si="87"/>
        <v/>
      </c>
      <c r="AG386" s="12" t="str">
        <f t="shared" si="88"/>
        <v/>
      </c>
      <c r="AH386" s="12" t="str">
        <f t="shared" si="89"/>
        <v/>
      </c>
      <c r="AI386" s="12" t="str">
        <f t="shared" si="90"/>
        <v>10/5</v>
      </c>
    </row>
    <row r="387" spans="1:35" s="8" customFormat="1" ht="21.95" customHeight="1">
      <c r="A387" s="9">
        <v>385</v>
      </c>
      <c r="B387" s="17">
        <v>385</v>
      </c>
      <c r="C387" s="6">
        <v>30</v>
      </c>
      <c r="D387" s="6">
        <v>0</v>
      </c>
      <c r="E387" s="5">
        <v>100</v>
      </c>
      <c r="F387" s="5">
        <v>0</v>
      </c>
      <c r="G387" s="5">
        <v>100</v>
      </c>
      <c r="H387" s="5">
        <v>100</v>
      </c>
      <c r="I387" s="5">
        <v>100</v>
      </c>
      <c r="J387" s="5">
        <v>100</v>
      </c>
      <c r="K387" s="15" t="s">
        <v>55</v>
      </c>
      <c r="L387" s="6">
        <v>3</v>
      </c>
      <c r="M387" s="6">
        <v>0</v>
      </c>
      <c r="N387" s="6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6">
        <v>5</v>
      </c>
      <c r="V387" s="5">
        <v>10</v>
      </c>
      <c r="W387" s="5">
        <v>5</v>
      </c>
      <c r="X387" s="16">
        <v>2000</v>
      </c>
      <c r="Y387" s="16">
        <v>7000</v>
      </c>
      <c r="Z387" s="16">
        <v>14000</v>
      </c>
      <c r="AA387" s="12" t="str">
        <f t="shared" si="82"/>
        <v>0/30</v>
      </c>
      <c r="AB387" s="12" t="str">
        <f t="shared" si="83"/>
        <v>100,0,100,100,100,100</v>
      </c>
      <c r="AC387" s="12">
        <f t="shared" si="84"/>
        <v>4</v>
      </c>
      <c r="AD387" s="12" t="str">
        <f t="shared" si="85"/>
        <v>2000/7000/14000</v>
      </c>
      <c r="AE387" s="12" t="str">
        <f t="shared" si="86"/>
        <v/>
      </c>
      <c r="AF387" s="12" t="str">
        <f t="shared" si="87"/>
        <v/>
      </c>
      <c r="AG387" s="12" t="str">
        <f t="shared" si="88"/>
        <v/>
      </c>
      <c r="AH387" s="12" t="str">
        <f t="shared" si="89"/>
        <v/>
      </c>
      <c r="AI387" s="12" t="str">
        <f t="shared" si="90"/>
        <v>10/5</v>
      </c>
    </row>
    <row r="388" spans="1:35" s="8" customFormat="1" ht="21.95" customHeight="1">
      <c r="A388" s="9">
        <v>386</v>
      </c>
      <c r="B388" s="17">
        <v>386</v>
      </c>
      <c r="C388" s="6">
        <v>30</v>
      </c>
      <c r="D388" s="6">
        <v>0</v>
      </c>
      <c r="E388" s="5">
        <v>100</v>
      </c>
      <c r="F388" s="5">
        <v>100</v>
      </c>
      <c r="G388" s="5">
        <v>0</v>
      </c>
      <c r="H388" s="5">
        <v>100</v>
      </c>
      <c r="I388" s="5">
        <v>100</v>
      </c>
      <c r="J388" s="5">
        <v>100</v>
      </c>
      <c r="K388" s="15" t="s">
        <v>55</v>
      </c>
      <c r="L388" s="6">
        <v>3</v>
      </c>
      <c r="M388" s="6">
        <v>0</v>
      </c>
      <c r="N388" s="6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6">
        <v>5</v>
      </c>
      <c r="V388" s="5">
        <v>10</v>
      </c>
      <c r="W388" s="5">
        <v>5</v>
      </c>
      <c r="X388" s="16">
        <v>2000</v>
      </c>
      <c r="Y388" s="16">
        <v>7000</v>
      </c>
      <c r="Z388" s="16">
        <v>14000</v>
      </c>
      <c r="AA388" s="12" t="str">
        <f t="shared" si="82"/>
        <v>0/30</v>
      </c>
      <c r="AB388" s="12" t="str">
        <f t="shared" si="83"/>
        <v>100,100,0,100,100,100</v>
      </c>
      <c r="AC388" s="12">
        <f t="shared" si="84"/>
        <v>4</v>
      </c>
      <c r="AD388" s="12" t="str">
        <f t="shared" si="85"/>
        <v>2000/7000/14000</v>
      </c>
      <c r="AE388" s="12" t="str">
        <f t="shared" si="86"/>
        <v/>
      </c>
      <c r="AF388" s="12" t="str">
        <f t="shared" si="87"/>
        <v/>
      </c>
      <c r="AG388" s="12" t="str">
        <f t="shared" si="88"/>
        <v/>
      </c>
      <c r="AH388" s="12" t="str">
        <f t="shared" si="89"/>
        <v/>
      </c>
      <c r="AI388" s="12" t="str">
        <f t="shared" si="90"/>
        <v>10/5</v>
      </c>
    </row>
    <row r="389" spans="1:35" s="8" customFormat="1" ht="21.95" customHeight="1">
      <c r="A389" s="9">
        <v>387</v>
      </c>
      <c r="B389" s="17">
        <v>387</v>
      </c>
      <c r="C389" s="6">
        <v>32</v>
      </c>
      <c r="D389" s="6">
        <v>0</v>
      </c>
      <c r="E389" s="5">
        <v>100</v>
      </c>
      <c r="F389" s="5">
        <v>100</v>
      </c>
      <c r="G389" s="5">
        <v>100</v>
      </c>
      <c r="H389" s="5">
        <v>0</v>
      </c>
      <c r="I389" s="5">
        <v>100</v>
      </c>
      <c r="J389" s="5">
        <v>100</v>
      </c>
      <c r="K389" s="15" t="s">
        <v>51</v>
      </c>
      <c r="L389" s="6">
        <v>3</v>
      </c>
      <c r="M389" s="6">
        <v>0</v>
      </c>
      <c r="N389" s="6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6">
        <v>0</v>
      </c>
      <c r="V389" s="5">
        <v>10</v>
      </c>
      <c r="W389" s="5">
        <v>5</v>
      </c>
      <c r="X389" s="16">
        <v>2000</v>
      </c>
      <c r="Y389" s="16">
        <v>7000</v>
      </c>
      <c r="Z389" s="16">
        <v>14000</v>
      </c>
      <c r="AA389" s="12" t="str">
        <f t="shared" si="82"/>
        <v>0/32</v>
      </c>
      <c r="AB389" s="12" t="str">
        <f t="shared" si="83"/>
        <v>100,100,100,0,100,100</v>
      </c>
      <c r="AC389" s="12">
        <f t="shared" si="84"/>
        <v>0</v>
      </c>
      <c r="AD389" s="12" t="str">
        <f t="shared" si="85"/>
        <v>2000/7000/14000</v>
      </c>
      <c r="AE389" s="12" t="str">
        <f t="shared" si="86"/>
        <v/>
      </c>
      <c r="AF389" s="12" t="str">
        <f t="shared" si="87"/>
        <v/>
      </c>
      <c r="AG389" s="12" t="str">
        <f t="shared" si="88"/>
        <v/>
      </c>
      <c r="AH389" s="12" t="str">
        <f t="shared" si="89"/>
        <v/>
      </c>
      <c r="AI389" s="12" t="str">
        <f t="shared" si="90"/>
        <v>10/5</v>
      </c>
    </row>
    <row r="390" spans="1:35" s="8" customFormat="1" ht="21.95" customHeight="1">
      <c r="A390" s="9">
        <v>388</v>
      </c>
      <c r="B390" s="17">
        <v>388</v>
      </c>
      <c r="C390" s="6">
        <v>30</v>
      </c>
      <c r="D390" s="6">
        <v>0</v>
      </c>
      <c r="E390" s="5">
        <v>100</v>
      </c>
      <c r="F390" s="5">
        <v>100</v>
      </c>
      <c r="G390" s="5">
        <v>100</v>
      </c>
      <c r="H390" s="5">
        <v>100</v>
      </c>
      <c r="I390" s="5">
        <v>0</v>
      </c>
      <c r="J390" s="5">
        <v>100</v>
      </c>
      <c r="K390" s="15" t="s">
        <v>53</v>
      </c>
      <c r="L390" s="6">
        <v>3</v>
      </c>
      <c r="M390" s="6">
        <v>0</v>
      </c>
      <c r="N390" s="6">
        <v>0</v>
      </c>
      <c r="O390" s="5">
        <v>16</v>
      </c>
      <c r="P390" s="5">
        <v>0</v>
      </c>
      <c r="Q390" s="5">
        <v>0</v>
      </c>
      <c r="R390" s="5">
        <v>0</v>
      </c>
      <c r="S390" s="5">
        <v>0</v>
      </c>
      <c r="T390" s="5">
        <v>18</v>
      </c>
      <c r="U390" s="6">
        <v>0</v>
      </c>
      <c r="V390" s="5">
        <v>10</v>
      </c>
      <c r="W390" s="5">
        <v>5</v>
      </c>
      <c r="X390" s="16">
        <v>2000</v>
      </c>
      <c r="Y390" s="16">
        <v>7000</v>
      </c>
      <c r="Z390" s="16">
        <v>14000</v>
      </c>
      <c r="AA390" s="12" t="str">
        <f t="shared" si="82"/>
        <v>0/30</v>
      </c>
      <c r="AB390" s="12" t="str">
        <f t="shared" si="83"/>
        <v>100,100,100,100,0,100</v>
      </c>
      <c r="AC390" s="12">
        <f t="shared" si="84"/>
        <v>2</v>
      </c>
      <c r="AD390" s="12" t="str">
        <f t="shared" si="85"/>
        <v>2000/7000/14000</v>
      </c>
      <c r="AE390" s="12" t="str">
        <f t="shared" si="86"/>
        <v/>
      </c>
      <c r="AF390" s="12" t="str">
        <f t="shared" si="87"/>
        <v/>
      </c>
      <c r="AG390" s="12" t="str">
        <f t="shared" si="88"/>
        <v>0/5/</v>
      </c>
      <c r="AH390" s="12" t="str">
        <f t="shared" si="89"/>
        <v>16/18/</v>
      </c>
      <c r="AI390" s="12" t="str">
        <f t="shared" si="90"/>
        <v>10/5</v>
      </c>
    </row>
    <row r="391" spans="1:35" s="8" customFormat="1" ht="21.95" customHeight="1">
      <c r="A391" s="9">
        <v>389</v>
      </c>
      <c r="B391" s="17">
        <v>389</v>
      </c>
      <c r="C391" s="6">
        <v>30</v>
      </c>
      <c r="D391" s="6">
        <v>0</v>
      </c>
      <c r="E391" s="5">
        <v>100</v>
      </c>
      <c r="F391" s="5">
        <v>100</v>
      </c>
      <c r="G391" s="5">
        <v>100</v>
      </c>
      <c r="H391" s="5">
        <v>100</v>
      </c>
      <c r="I391" s="5">
        <v>100</v>
      </c>
      <c r="J391" s="5">
        <v>0</v>
      </c>
      <c r="K391" s="15" t="s">
        <v>52</v>
      </c>
      <c r="L391" s="6">
        <v>3</v>
      </c>
      <c r="M391" s="6">
        <v>6</v>
      </c>
      <c r="N391" s="6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6">
        <v>0</v>
      </c>
      <c r="V391" s="5">
        <v>10</v>
      </c>
      <c r="W391" s="5">
        <v>5</v>
      </c>
      <c r="X391" s="16">
        <v>2000</v>
      </c>
      <c r="Y391" s="16">
        <v>7000</v>
      </c>
      <c r="Z391" s="16">
        <v>14000</v>
      </c>
      <c r="AA391" s="12" t="str">
        <f t="shared" si="82"/>
        <v>0/30</v>
      </c>
      <c r="AB391" s="12" t="str">
        <f t="shared" si="83"/>
        <v>100,100,100,100,100,0</v>
      </c>
      <c r="AC391" s="12">
        <f t="shared" si="84"/>
        <v>1</v>
      </c>
      <c r="AD391" s="12" t="str">
        <f t="shared" si="85"/>
        <v>2000/7000/14000</v>
      </c>
      <c r="AE391" s="12" t="str">
        <f t="shared" si="86"/>
        <v>0/</v>
      </c>
      <c r="AF391" s="12" t="str">
        <f t="shared" si="87"/>
        <v>6/</v>
      </c>
      <c r="AG391" s="12" t="str">
        <f t="shared" si="88"/>
        <v/>
      </c>
      <c r="AH391" s="12" t="str">
        <f t="shared" si="89"/>
        <v/>
      </c>
      <c r="AI391" s="12" t="str">
        <f t="shared" si="90"/>
        <v>10/5</v>
      </c>
    </row>
    <row r="392" spans="1:35" s="8" customFormat="1" ht="21.95" customHeight="1">
      <c r="A392" s="9">
        <v>390</v>
      </c>
      <c r="B392" s="17">
        <v>390</v>
      </c>
      <c r="C392" s="6">
        <v>30</v>
      </c>
      <c r="D392" s="6">
        <v>0</v>
      </c>
      <c r="E392" s="5">
        <v>0</v>
      </c>
      <c r="F392" s="5">
        <v>100</v>
      </c>
      <c r="G392" s="5">
        <v>100</v>
      </c>
      <c r="H392" s="5">
        <v>100</v>
      </c>
      <c r="I392" s="5">
        <v>100</v>
      </c>
      <c r="J392" s="5">
        <v>100</v>
      </c>
      <c r="K392" s="15" t="s">
        <v>52</v>
      </c>
      <c r="L392" s="6">
        <v>3</v>
      </c>
      <c r="M392" s="6">
        <v>0</v>
      </c>
      <c r="N392" s="6">
        <v>6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6">
        <v>0</v>
      </c>
      <c r="V392" s="5">
        <v>10</v>
      </c>
      <c r="W392" s="5">
        <v>5</v>
      </c>
      <c r="X392" s="16">
        <v>2000</v>
      </c>
      <c r="Y392" s="16">
        <v>7000</v>
      </c>
      <c r="Z392" s="16">
        <v>14000</v>
      </c>
      <c r="AA392" s="12" t="str">
        <f t="shared" si="82"/>
        <v>0/30</v>
      </c>
      <c r="AB392" s="12" t="str">
        <f t="shared" si="83"/>
        <v>0,100,100,100,100,100</v>
      </c>
      <c r="AC392" s="12">
        <f t="shared" si="84"/>
        <v>1</v>
      </c>
      <c r="AD392" s="12" t="str">
        <f t="shared" si="85"/>
        <v>2000/7000/14000</v>
      </c>
      <c r="AE392" s="12" t="str">
        <f t="shared" si="86"/>
        <v>1/</v>
      </c>
      <c r="AF392" s="12" t="str">
        <f t="shared" si="87"/>
        <v>6/</v>
      </c>
      <c r="AG392" s="12" t="str">
        <f t="shared" si="88"/>
        <v/>
      </c>
      <c r="AH392" s="12" t="str">
        <f t="shared" si="89"/>
        <v/>
      </c>
      <c r="AI392" s="12" t="str">
        <f t="shared" si="90"/>
        <v>10/5</v>
      </c>
    </row>
    <row r="393" spans="1:35" s="8" customFormat="1" ht="21.95" customHeight="1">
      <c r="A393" s="9">
        <v>391</v>
      </c>
      <c r="B393" s="17">
        <v>391</v>
      </c>
      <c r="C393" s="6">
        <v>0</v>
      </c>
      <c r="D393" s="6">
        <v>60</v>
      </c>
      <c r="E393" s="5">
        <v>100</v>
      </c>
      <c r="F393" s="5">
        <v>0</v>
      </c>
      <c r="G393" s="5">
        <v>100</v>
      </c>
      <c r="H393" s="5">
        <v>100</v>
      </c>
      <c r="I393" s="5">
        <v>100</v>
      </c>
      <c r="J393" s="5">
        <v>100</v>
      </c>
      <c r="K393" s="15" t="s">
        <v>54</v>
      </c>
      <c r="L393" s="6">
        <v>3</v>
      </c>
      <c r="M393" s="6">
        <v>0</v>
      </c>
      <c r="N393" s="6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6">
        <v>0</v>
      </c>
      <c r="V393" s="5">
        <v>10</v>
      </c>
      <c r="W393" s="5">
        <v>5</v>
      </c>
      <c r="X393" s="16">
        <v>2000</v>
      </c>
      <c r="Y393" s="16">
        <v>7000</v>
      </c>
      <c r="Z393" s="16">
        <v>14000</v>
      </c>
      <c r="AA393" s="12" t="str">
        <f t="shared" si="82"/>
        <v>1/60</v>
      </c>
      <c r="AB393" s="12" t="str">
        <f t="shared" si="83"/>
        <v>100,0,100,100,100,100</v>
      </c>
      <c r="AC393" s="12">
        <f t="shared" si="84"/>
        <v>3</v>
      </c>
      <c r="AD393" s="12" t="str">
        <f t="shared" si="85"/>
        <v>2000/7000/14000</v>
      </c>
      <c r="AE393" s="12" t="str">
        <f t="shared" si="86"/>
        <v/>
      </c>
      <c r="AF393" s="12" t="str">
        <f t="shared" si="87"/>
        <v/>
      </c>
      <c r="AG393" s="12" t="str">
        <f t="shared" si="88"/>
        <v/>
      </c>
      <c r="AH393" s="12" t="str">
        <f t="shared" si="89"/>
        <v/>
      </c>
      <c r="AI393" s="12" t="str">
        <f t="shared" si="90"/>
        <v>10/5</v>
      </c>
    </row>
    <row r="394" spans="1:35" s="8" customFormat="1" ht="21.95" customHeight="1">
      <c r="A394" s="9">
        <v>392</v>
      </c>
      <c r="B394" s="17">
        <v>392</v>
      </c>
      <c r="C394" s="6">
        <v>0</v>
      </c>
      <c r="D394" s="6">
        <v>60</v>
      </c>
      <c r="E394" s="5">
        <v>100</v>
      </c>
      <c r="F394" s="5">
        <v>100</v>
      </c>
      <c r="G394" s="5">
        <v>0</v>
      </c>
      <c r="H394" s="5">
        <v>100</v>
      </c>
      <c r="I394" s="5">
        <v>100</v>
      </c>
      <c r="J394" s="5">
        <v>100</v>
      </c>
      <c r="K394" s="15" t="s">
        <v>54</v>
      </c>
      <c r="L394" s="6">
        <v>3</v>
      </c>
      <c r="M394" s="6">
        <v>0</v>
      </c>
      <c r="N394" s="6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6">
        <v>0</v>
      </c>
      <c r="V394" s="5">
        <v>10</v>
      </c>
      <c r="W394" s="5">
        <v>5</v>
      </c>
      <c r="X394" s="16">
        <v>2000</v>
      </c>
      <c r="Y394" s="16">
        <v>7000</v>
      </c>
      <c r="Z394" s="16">
        <v>14000</v>
      </c>
      <c r="AA394" s="12" t="str">
        <f t="shared" si="82"/>
        <v>1/60</v>
      </c>
      <c r="AB394" s="12" t="str">
        <f t="shared" si="83"/>
        <v>100,100,0,100,100,100</v>
      </c>
      <c r="AC394" s="12">
        <f t="shared" si="84"/>
        <v>3</v>
      </c>
      <c r="AD394" s="12" t="str">
        <f t="shared" si="85"/>
        <v>2000/7000/14000</v>
      </c>
      <c r="AE394" s="12" t="str">
        <f t="shared" si="86"/>
        <v/>
      </c>
      <c r="AF394" s="12" t="str">
        <f t="shared" si="87"/>
        <v/>
      </c>
      <c r="AG394" s="12" t="str">
        <f t="shared" si="88"/>
        <v/>
      </c>
      <c r="AH394" s="12" t="str">
        <f t="shared" si="89"/>
        <v/>
      </c>
      <c r="AI394" s="12" t="str">
        <f t="shared" si="90"/>
        <v>10/5</v>
      </c>
    </row>
    <row r="395" spans="1:35" s="8" customFormat="1" ht="21.95" customHeight="1">
      <c r="A395" s="9">
        <v>393</v>
      </c>
      <c r="B395" s="17">
        <v>393</v>
      </c>
      <c r="C395" s="6">
        <v>0</v>
      </c>
      <c r="D395" s="6">
        <v>60</v>
      </c>
      <c r="E395" s="5">
        <v>100</v>
      </c>
      <c r="F395" s="5">
        <v>100</v>
      </c>
      <c r="G395" s="5">
        <v>100</v>
      </c>
      <c r="H395" s="5">
        <v>100</v>
      </c>
      <c r="I395" s="5">
        <v>0</v>
      </c>
      <c r="J395" s="5">
        <v>100</v>
      </c>
      <c r="K395" s="15" t="s">
        <v>52</v>
      </c>
      <c r="L395" s="6">
        <v>3</v>
      </c>
      <c r="M395" s="6">
        <v>2</v>
      </c>
      <c r="N395" s="6">
        <v>4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6">
        <v>0</v>
      </c>
      <c r="V395" s="5">
        <v>10</v>
      </c>
      <c r="W395" s="5">
        <v>5</v>
      </c>
      <c r="X395" s="16">
        <v>2000</v>
      </c>
      <c r="Y395" s="16">
        <v>7000</v>
      </c>
      <c r="Z395" s="16">
        <v>14000</v>
      </c>
      <c r="AA395" s="12" t="str">
        <f t="shared" si="82"/>
        <v>1/60</v>
      </c>
      <c r="AB395" s="12" t="str">
        <f t="shared" si="83"/>
        <v>100,100,100,100,0,100</v>
      </c>
      <c r="AC395" s="12">
        <f t="shared" si="84"/>
        <v>1</v>
      </c>
      <c r="AD395" s="12" t="str">
        <f t="shared" si="85"/>
        <v>2000/7000/14000</v>
      </c>
      <c r="AE395" s="12" t="str">
        <f t="shared" si="86"/>
        <v>0/1/</v>
      </c>
      <c r="AF395" s="12" t="str">
        <f t="shared" si="87"/>
        <v>2/4/</v>
      </c>
      <c r="AG395" s="12" t="str">
        <f t="shared" si="88"/>
        <v/>
      </c>
      <c r="AH395" s="12" t="str">
        <f t="shared" si="89"/>
        <v/>
      </c>
      <c r="AI395" s="12" t="str">
        <f t="shared" si="90"/>
        <v>10/5</v>
      </c>
    </row>
    <row r="396" spans="1:35" s="8" customFormat="1" ht="21.95" customHeight="1">
      <c r="A396" s="9">
        <v>394</v>
      </c>
      <c r="B396" s="17">
        <v>394</v>
      </c>
      <c r="C396" s="6">
        <v>30</v>
      </c>
      <c r="D396" s="6">
        <v>0</v>
      </c>
      <c r="E396" s="5">
        <v>100</v>
      </c>
      <c r="F396" s="5">
        <v>100</v>
      </c>
      <c r="G396" s="5">
        <v>100</v>
      </c>
      <c r="H396" s="5">
        <v>100</v>
      </c>
      <c r="I396" s="5">
        <v>100</v>
      </c>
      <c r="J396" s="5">
        <v>0</v>
      </c>
      <c r="K396" s="15" t="s">
        <v>54</v>
      </c>
      <c r="L396" s="6">
        <v>3</v>
      </c>
      <c r="M396" s="6">
        <v>0</v>
      </c>
      <c r="N396" s="6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6">
        <v>0</v>
      </c>
      <c r="V396" s="5">
        <v>10</v>
      </c>
      <c r="W396" s="5">
        <v>5</v>
      </c>
      <c r="X396" s="16">
        <v>2000</v>
      </c>
      <c r="Y396" s="16">
        <v>7000</v>
      </c>
      <c r="Z396" s="16">
        <v>14000</v>
      </c>
      <c r="AA396" s="12" t="str">
        <f t="shared" si="82"/>
        <v>0/30</v>
      </c>
      <c r="AB396" s="12" t="str">
        <f t="shared" si="83"/>
        <v>100,100,100,100,100,0</v>
      </c>
      <c r="AC396" s="12">
        <f t="shared" si="84"/>
        <v>3</v>
      </c>
      <c r="AD396" s="12" t="str">
        <f t="shared" si="85"/>
        <v>2000/7000/14000</v>
      </c>
      <c r="AE396" s="12" t="str">
        <f t="shared" si="86"/>
        <v/>
      </c>
      <c r="AF396" s="12" t="str">
        <f t="shared" si="87"/>
        <v/>
      </c>
      <c r="AG396" s="12" t="str">
        <f t="shared" si="88"/>
        <v/>
      </c>
      <c r="AH396" s="12" t="str">
        <f t="shared" si="89"/>
        <v/>
      </c>
      <c r="AI396" s="12" t="str">
        <f t="shared" si="90"/>
        <v>10/5</v>
      </c>
    </row>
    <row r="397" spans="1:35" s="8" customFormat="1" ht="21.95" customHeight="1">
      <c r="A397" s="9">
        <v>395</v>
      </c>
      <c r="B397" s="17">
        <v>395</v>
      </c>
      <c r="C397" s="6">
        <v>30</v>
      </c>
      <c r="D397" s="6">
        <v>0</v>
      </c>
      <c r="E397" s="5">
        <v>0</v>
      </c>
      <c r="F397" s="5">
        <v>100</v>
      </c>
      <c r="G397" s="5">
        <v>100</v>
      </c>
      <c r="H397" s="5">
        <v>100</v>
      </c>
      <c r="I397" s="5">
        <v>100</v>
      </c>
      <c r="J397" s="5">
        <v>100</v>
      </c>
      <c r="K397" s="15" t="s">
        <v>54</v>
      </c>
      <c r="L397" s="6">
        <v>3</v>
      </c>
      <c r="M397" s="6">
        <v>0</v>
      </c>
      <c r="N397" s="6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6">
        <v>0</v>
      </c>
      <c r="V397" s="5">
        <v>10</v>
      </c>
      <c r="W397" s="5">
        <v>5</v>
      </c>
      <c r="X397" s="16">
        <v>2000</v>
      </c>
      <c r="Y397" s="16">
        <v>7000</v>
      </c>
      <c r="Z397" s="16">
        <v>14000</v>
      </c>
      <c r="AA397" s="12" t="str">
        <f t="shared" si="82"/>
        <v>0/30</v>
      </c>
      <c r="AB397" s="12" t="str">
        <f t="shared" si="83"/>
        <v>0,100,100,100,100,100</v>
      </c>
      <c r="AC397" s="12">
        <f t="shared" si="84"/>
        <v>3</v>
      </c>
      <c r="AD397" s="12" t="str">
        <f t="shared" si="85"/>
        <v>2000/7000/14000</v>
      </c>
      <c r="AE397" s="12" t="str">
        <f t="shared" si="86"/>
        <v/>
      </c>
      <c r="AF397" s="12" t="str">
        <f t="shared" si="87"/>
        <v/>
      </c>
      <c r="AG397" s="12" t="str">
        <f t="shared" si="88"/>
        <v/>
      </c>
      <c r="AH397" s="12" t="str">
        <f t="shared" si="89"/>
        <v/>
      </c>
      <c r="AI397" s="12" t="str">
        <f t="shared" si="90"/>
        <v>10/5</v>
      </c>
    </row>
    <row r="398" spans="1:35" s="8" customFormat="1" ht="21.95" customHeight="1">
      <c r="A398" s="9">
        <v>396</v>
      </c>
      <c r="B398" s="17">
        <v>396</v>
      </c>
      <c r="C398" s="6">
        <v>30</v>
      </c>
      <c r="D398" s="6">
        <v>0</v>
      </c>
      <c r="E398" s="5">
        <v>100</v>
      </c>
      <c r="F398" s="5">
        <v>0</v>
      </c>
      <c r="G398" s="5">
        <v>100</v>
      </c>
      <c r="H398" s="5">
        <v>100</v>
      </c>
      <c r="I398" s="5">
        <v>100</v>
      </c>
      <c r="J398" s="5">
        <v>100</v>
      </c>
      <c r="K398" s="15" t="s">
        <v>55</v>
      </c>
      <c r="L398" s="6">
        <v>3</v>
      </c>
      <c r="M398" s="6">
        <v>0</v>
      </c>
      <c r="N398" s="6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6">
        <v>5</v>
      </c>
      <c r="V398" s="5">
        <v>10</v>
      </c>
      <c r="W398" s="5">
        <v>5</v>
      </c>
      <c r="X398" s="16">
        <v>2000</v>
      </c>
      <c r="Y398" s="16">
        <v>7000</v>
      </c>
      <c r="Z398" s="16">
        <v>14000</v>
      </c>
      <c r="AA398" s="12" t="str">
        <f t="shared" si="82"/>
        <v>0/30</v>
      </c>
      <c r="AB398" s="12" t="str">
        <f t="shared" si="83"/>
        <v>100,0,100,100,100,100</v>
      </c>
      <c r="AC398" s="12">
        <f t="shared" si="84"/>
        <v>4</v>
      </c>
      <c r="AD398" s="12" t="str">
        <f t="shared" si="85"/>
        <v>2000/7000/14000</v>
      </c>
      <c r="AE398" s="12" t="str">
        <f t="shared" si="86"/>
        <v/>
      </c>
      <c r="AF398" s="12" t="str">
        <f t="shared" si="87"/>
        <v/>
      </c>
      <c r="AG398" s="12" t="str">
        <f t="shared" si="88"/>
        <v/>
      </c>
      <c r="AH398" s="12" t="str">
        <f t="shared" si="89"/>
        <v/>
      </c>
      <c r="AI398" s="12" t="str">
        <f t="shared" si="90"/>
        <v>10/5</v>
      </c>
    </row>
    <row r="399" spans="1:35" s="8" customFormat="1" ht="21.95" customHeight="1">
      <c r="A399" s="9">
        <v>397</v>
      </c>
      <c r="B399" s="17">
        <v>397</v>
      </c>
      <c r="C399" s="6">
        <v>30</v>
      </c>
      <c r="D399" s="6">
        <v>0</v>
      </c>
      <c r="E399" s="5">
        <v>100</v>
      </c>
      <c r="F399" s="5">
        <v>100</v>
      </c>
      <c r="G399" s="5">
        <v>0</v>
      </c>
      <c r="H399" s="5">
        <v>100</v>
      </c>
      <c r="I399" s="5">
        <v>100</v>
      </c>
      <c r="J399" s="5">
        <v>100</v>
      </c>
      <c r="K399" s="15" t="s">
        <v>55</v>
      </c>
      <c r="L399" s="6">
        <v>3</v>
      </c>
      <c r="M399" s="6">
        <v>0</v>
      </c>
      <c r="N399" s="6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6">
        <v>5</v>
      </c>
      <c r="V399" s="5">
        <v>10</v>
      </c>
      <c r="W399" s="5">
        <v>5</v>
      </c>
      <c r="X399" s="16">
        <v>2000</v>
      </c>
      <c r="Y399" s="16">
        <v>7000</v>
      </c>
      <c r="Z399" s="16">
        <v>14000</v>
      </c>
      <c r="AA399" s="12" t="str">
        <f t="shared" si="82"/>
        <v>0/30</v>
      </c>
      <c r="AB399" s="12" t="str">
        <f t="shared" si="83"/>
        <v>100,100,0,100,100,100</v>
      </c>
      <c r="AC399" s="12">
        <f t="shared" si="84"/>
        <v>4</v>
      </c>
      <c r="AD399" s="12" t="str">
        <f t="shared" si="85"/>
        <v>2000/7000/14000</v>
      </c>
      <c r="AE399" s="12" t="str">
        <f t="shared" si="86"/>
        <v/>
      </c>
      <c r="AF399" s="12" t="str">
        <f t="shared" si="87"/>
        <v/>
      </c>
      <c r="AG399" s="12" t="str">
        <f t="shared" si="88"/>
        <v/>
      </c>
      <c r="AH399" s="12" t="str">
        <f t="shared" si="89"/>
        <v/>
      </c>
      <c r="AI399" s="12" t="str">
        <f t="shared" si="90"/>
        <v>10/5</v>
      </c>
    </row>
    <row r="400" spans="1:35" s="8" customFormat="1" ht="21.95" customHeight="1">
      <c r="A400" s="9">
        <v>398</v>
      </c>
      <c r="B400" s="17">
        <v>398</v>
      </c>
      <c r="C400" s="6">
        <v>32</v>
      </c>
      <c r="D400" s="6">
        <v>0</v>
      </c>
      <c r="E400" s="5">
        <v>100</v>
      </c>
      <c r="F400" s="5">
        <v>100</v>
      </c>
      <c r="G400" s="5">
        <v>100</v>
      </c>
      <c r="H400" s="5">
        <v>0</v>
      </c>
      <c r="I400" s="5">
        <v>100</v>
      </c>
      <c r="J400" s="5">
        <v>100</v>
      </c>
      <c r="K400" s="15" t="s">
        <v>51</v>
      </c>
      <c r="L400" s="6">
        <v>3</v>
      </c>
      <c r="M400" s="6">
        <v>0</v>
      </c>
      <c r="N400" s="6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6">
        <v>0</v>
      </c>
      <c r="V400" s="5">
        <v>10</v>
      </c>
      <c r="W400" s="5">
        <v>5</v>
      </c>
      <c r="X400" s="16">
        <v>2000</v>
      </c>
      <c r="Y400" s="16">
        <v>7000</v>
      </c>
      <c r="Z400" s="16">
        <v>14000</v>
      </c>
      <c r="AA400" s="12" t="str">
        <f t="shared" si="82"/>
        <v>0/32</v>
      </c>
      <c r="AB400" s="12" t="str">
        <f t="shared" si="83"/>
        <v>100,100,100,0,100,100</v>
      </c>
      <c r="AC400" s="12">
        <f t="shared" si="84"/>
        <v>0</v>
      </c>
      <c r="AD400" s="12" t="str">
        <f t="shared" si="85"/>
        <v>2000/7000/14000</v>
      </c>
      <c r="AE400" s="12" t="str">
        <f t="shared" si="86"/>
        <v/>
      </c>
      <c r="AF400" s="12" t="str">
        <f t="shared" si="87"/>
        <v/>
      </c>
      <c r="AG400" s="12" t="str">
        <f t="shared" si="88"/>
        <v/>
      </c>
      <c r="AH400" s="12" t="str">
        <f t="shared" si="89"/>
        <v/>
      </c>
      <c r="AI400" s="12" t="str">
        <f t="shared" si="90"/>
        <v>10/5</v>
      </c>
    </row>
    <row r="401" spans="1:35" s="8" customFormat="1" ht="21.95" customHeight="1">
      <c r="A401" s="9">
        <v>399</v>
      </c>
      <c r="B401" s="17">
        <v>399</v>
      </c>
      <c r="C401" s="6">
        <v>30</v>
      </c>
      <c r="D401" s="6">
        <v>0</v>
      </c>
      <c r="E401" s="5">
        <v>100</v>
      </c>
      <c r="F401" s="5">
        <v>100</v>
      </c>
      <c r="G401" s="5">
        <v>0</v>
      </c>
      <c r="H401" s="5">
        <v>100</v>
      </c>
      <c r="I401" s="5">
        <v>100</v>
      </c>
      <c r="J401" s="5">
        <v>100</v>
      </c>
      <c r="K401" s="15" t="s">
        <v>56</v>
      </c>
      <c r="L401" s="6">
        <v>3</v>
      </c>
      <c r="M401" s="6">
        <v>0</v>
      </c>
      <c r="N401" s="6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6">
        <v>0</v>
      </c>
      <c r="V401" s="5">
        <v>10</v>
      </c>
      <c r="W401" s="5">
        <v>5</v>
      </c>
      <c r="X401" s="16">
        <v>2000</v>
      </c>
      <c r="Y401" s="16">
        <v>7000</v>
      </c>
      <c r="Z401" s="16">
        <v>14000</v>
      </c>
      <c r="AA401" s="12" t="str">
        <f t="shared" si="82"/>
        <v>0/30</v>
      </c>
      <c r="AB401" s="12" t="str">
        <f t="shared" si="83"/>
        <v>100,100,0,100,100,100</v>
      </c>
      <c r="AC401" s="12">
        <f t="shared" si="84"/>
        <v>5</v>
      </c>
      <c r="AD401" s="12" t="str">
        <f t="shared" si="85"/>
        <v>2000/7000/14000</v>
      </c>
      <c r="AE401" s="12" t="str">
        <f t="shared" si="86"/>
        <v/>
      </c>
      <c r="AF401" s="12" t="str">
        <f t="shared" si="87"/>
        <v/>
      </c>
      <c r="AG401" s="12" t="str">
        <f t="shared" si="88"/>
        <v/>
      </c>
      <c r="AH401" s="12" t="str">
        <f t="shared" si="89"/>
        <v/>
      </c>
      <c r="AI401" s="12" t="str">
        <f t="shared" si="90"/>
        <v>10/5</v>
      </c>
    </row>
    <row r="402" spans="1:35" s="8" customFormat="1" ht="21.95" customHeight="1">
      <c r="A402" s="9">
        <v>400</v>
      </c>
      <c r="B402" s="17">
        <v>400</v>
      </c>
      <c r="C402" s="6">
        <v>30</v>
      </c>
      <c r="D402" s="6">
        <v>0</v>
      </c>
      <c r="E402" s="5">
        <v>100</v>
      </c>
      <c r="F402" s="5">
        <v>100</v>
      </c>
      <c r="G402" s="5">
        <v>100</v>
      </c>
      <c r="H402" s="5">
        <v>0</v>
      </c>
      <c r="I402" s="5">
        <v>100</v>
      </c>
      <c r="J402" s="5">
        <v>100</v>
      </c>
      <c r="K402" s="15" t="s">
        <v>53</v>
      </c>
      <c r="L402" s="6">
        <v>3</v>
      </c>
      <c r="M402" s="6">
        <v>0</v>
      </c>
      <c r="N402" s="6">
        <v>0</v>
      </c>
      <c r="O402" s="5">
        <v>0</v>
      </c>
      <c r="P402" s="5">
        <v>0</v>
      </c>
      <c r="Q402" s="5">
        <v>0</v>
      </c>
      <c r="R402" s="5">
        <v>0</v>
      </c>
      <c r="S402" s="5">
        <v>18</v>
      </c>
      <c r="T402" s="5">
        <v>16</v>
      </c>
      <c r="U402" s="6">
        <v>0</v>
      </c>
      <c r="V402" s="5">
        <v>10</v>
      </c>
      <c r="W402" s="5">
        <v>5</v>
      </c>
      <c r="X402" s="16">
        <v>2000</v>
      </c>
      <c r="Y402" s="16">
        <v>7000</v>
      </c>
      <c r="Z402" s="16">
        <v>14000</v>
      </c>
      <c r="AA402" s="12" t="str">
        <f t="shared" si="82"/>
        <v>0/30</v>
      </c>
      <c r="AB402" s="12" t="str">
        <f t="shared" si="83"/>
        <v>100,100,100,0,100,100</v>
      </c>
      <c r="AC402" s="12">
        <f t="shared" si="84"/>
        <v>2</v>
      </c>
      <c r="AD402" s="12" t="str">
        <f t="shared" si="85"/>
        <v>2000/7000/14000</v>
      </c>
      <c r="AE402" s="12" t="str">
        <f t="shared" si="86"/>
        <v/>
      </c>
      <c r="AF402" s="12" t="str">
        <f t="shared" si="87"/>
        <v/>
      </c>
      <c r="AG402" s="12" t="str">
        <f t="shared" si="88"/>
        <v>4/5/</v>
      </c>
      <c r="AH402" s="12" t="str">
        <f t="shared" si="89"/>
        <v>18/16/</v>
      </c>
      <c r="AI402" s="12" t="str">
        <f t="shared" si="90"/>
        <v>10/5</v>
      </c>
    </row>
    <row r="403" spans="1:35" s="8" customFormat="1" ht="21.95" customHeight="1">
      <c r="A403" s="9">
        <v>401</v>
      </c>
      <c r="B403" s="17">
        <v>401</v>
      </c>
      <c r="C403" s="6">
        <v>30</v>
      </c>
      <c r="D403" s="6">
        <v>0</v>
      </c>
      <c r="E403" s="5">
        <v>100</v>
      </c>
      <c r="F403" s="5">
        <v>100</v>
      </c>
      <c r="G403" s="5">
        <v>100</v>
      </c>
      <c r="H403" s="5">
        <v>100</v>
      </c>
      <c r="I403" s="5">
        <v>0</v>
      </c>
      <c r="J403" s="5">
        <v>100</v>
      </c>
      <c r="K403" s="15" t="s">
        <v>53</v>
      </c>
      <c r="L403" s="6">
        <v>3</v>
      </c>
      <c r="M403" s="6">
        <v>0</v>
      </c>
      <c r="N403" s="6">
        <v>0</v>
      </c>
      <c r="O403" s="5">
        <v>16</v>
      </c>
      <c r="P403" s="5">
        <v>0</v>
      </c>
      <c r="Q403" s="5">
        <v>0</v>
      </c>
      <c r="R403" s="5">
        <v>0</v>
      </c>
      <c r="S403" s="5">
        <v>0</v>
      </c>
      <c r="T403" s="5">
        <v>18</v>
      </c>
      <c r="U403" s="6">
        <v>0</v>
      </c>
      <c r="V403" s="5">
        <v>10</v>
      </c>
      <c r="W403" s="5">
        <v>5</v>
      </c>
      <c r="X403" s="16">
        <v>2000</v>
      </c>
      <c r="Y403" s="16">
        <v>7000</v>
      </c>
      <c r="Z403" s="16">
        <v>14000</v>
      </c>
      <c r="AA403" s="12" t="str">
        <f t="shared" si="82"/>
        <v>0/30</v>
      </c>
      <c r="AB403" s="12" t="str">
        <f t="shared" si="83"/>
        <v>100,100,100,100,0,100</v>
      </c>
      <c r="AC403" s="12">
        <f t="shared" si="84"/>
        <v>2</v>
      </c>
      <c r="AD403" s="12" t="str">
        <f t="shared" si="85"/>
        <v>2000/7000/14000</v>
      </c>
      <c r="AE403" s="12" t="str">
        <f t="shared" si="86"/>
        <v/>
      </c>
      <c r="AF403" s="12" t="str">
        <f t="shared" si="87"/>
        <v/>
      </c>
      <c r="AG403" s="12" t="str">
        <f t="shared" si="88"/>
        <v>0/5/</v>
      </c>
      <c r="AH403" s="12" t="str">
        <f t="shared" si="89"/>
        <v>16/18/</v>
      </c>
      <c r="AI403" s="12" t="str">
        <f t="shared" si="90"/>
        <v>10/5</v>
      </c>
    </row>
    <row r="404" spans="1:35" s="8" customFormat="1" ht="21.95" customHeight="1">
      <c r="A404" s="9">
        <v>402</v>
      </c>
      <c r="B404" s="17">
        <v>402</v>
      </c>
      <c r="C404" s="6">
        <v>30</v>
      </c>
      <c r="D404" s="6">
        <v>0</v>
      </c>
      <c r="E404" s="5">
        <v>100</v>
      </c>
      <c r="F404" s="5">
        <v>100</v>
      </c>
      <c r="G404" s="5">
        <v>100</v>
      </c>
      <c r="H404" s="5">
        <v>100</v>
      </c>
      <c r="I404" s="5">
        <v>100</v>
      </c>
      <c r="J404" s="5">
        <v>0</v>
      </c>
      <c r="K404" s="15" t="s">
        <v>52</v>
      </c>
      <c r="L404" s="6">
        <v>3</v>
      </c>
      <c r="M404" s="6">
        <v>6</v>
      </c>
      <c r="N404" s="6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6">
        <v>0</v>
      </c>
      <c r="V404" s="5">
        <v>10</v>
      </c>
      <c r="W404" s="5">
        <v>5</v>
      </c>
      <c r="X404" s="16">
        <v>2000</v>
      </c>
      <c r="Y404" s="16">
        <v>7000</v>
      </c>
      <c r="Z404" s="16">
        <v>14000</v>
      </c>
      <c r="AA404" s="12" t="str">
        <f t="shared" si="82"/>
        <v>0/30</v>
      </c>
      <c r="AB404" s="12" t="str">
        <f t="shared" si="83"/>
        <v>100,100,100,100,100,0</v>
      </c>
      <c r="AC404" s="12">
        <f t="shared" si="84"/>
        <v>1</v>
      </c>
      <c r="AD404" s="12" t="str">
        <f t="shared" si="85"/>
        <v>2000/7000/14000</v>
      </c>
      <c r="AE404" s="12" t="str">
        <f t="shared" si="86"/>
        <v>0/</v>
      </c>
      <c r="AF404" s="12" t="str">
        <f t="shared" si="87"/>
        <v>6/</v>
      </c>
      <c r="AG404" s="12" t="str">
        <f t="shared" si="88"/>
        <v/>
      </c>
      <c r="AH404" s="12" t="str">
        <f t="shared" si="89"/>
        <v/>
      </c>
      <c r="AI404" s="12" t="str">
        <f t="shared" si="90"/>
        <v>10/5</v>
      </c>
    </row>
    <row r="405" spans="1:35" s="8" customFormat="1" ht="21.95" customHeight="1">
      <c r="A405" s="9">
        <v>403</v>
      </c>
      <c r="B405" s="17">
        <v>403</v>
      </c>
      <c r="C405" s="6">
        <v>30</v>
      </c>
      <c r="D405" s="6">
        <v>0</v>
      </c>
      <c r="E405" s="5">
        <v>0</v>
      </c>
      <c r="F405" s="5">
        <v>100</v>
      </c>
      <c r="G405" s="5">
        <v>100</v>
      </c>
      <c r="H405" s="5">
        <v>100</v>
      </c>
      <c r="I405" s="5">
        <v>100</v>
      </c>
      <c r="J405" s="5">
        <v>100</v>
      </c>
      <c r="K405" s="15" t="s">
        <v>52</v>
      </c>
      <c r="L405" s="6">
        <v>3</v>
      </c>
      <c r="M405" s="6">
        <v>0</v>
      </c>
      <c r="N405" s="6">
        <v>6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6">
        <v>0</v>
      </c>
      <c r="V405" s="5">
        <v>10</v>
      </c>
      <c r="W405" s="5">
        <v>5</v>
      </c>
      <c r="X405" s="16">
        <v>2000</v>
      </c>
      <c r="Y405" s="16">
        <v>7000</v>
      </c>
      <c r="Z405" s="16">
        <v>14000</v>
      </c>
      <c r="AA405" s="12" t="str">
        <f t="shared" si="82"/>
        <v>0/30</v>
      </c>
      <c r="AB405" s="12" t="str">
        <f t="shared" si="83"/>
        <v>0,100,100,100,100,100</v>
      </c>
      <c r="AC405" s="12">
        <f t="shared" si="84"/>
        <v>1</v>
      </c>
      <c r="AD405" s="12" t="str">
        <f t="shared" si="85"/>
        <v>2000/7000/14000</v>
      </c>
      <c r="AE405" s="12" t="str">
        <f t="shared" si="86"/>
        <v>1/</v>
      </c>
      <c r="AF405" s="12" t="str">
        <f t="shared" si="87"/>
        <v>6/</v>
      </c>
      <c r="AG405" s="12" t="str">
        <f t="shared" si="88"/>
        <v/>
      </c>
      <c r="AH405" s="12" t="str">
        <f t="shared" si="89"/>
        <v/>
      </c>
      <c r="AI405" s="12" t="str">
        <f t="shared" si="90"/>
        <v>10/5</v>
      </c>
    </row>
    <row r="406" spans="1:35" s="8" customFormat="1" ht="21.95" customHeight="1">
      <c r="A406" s="9">
        <v>404</v>
      </c>
      <c r="B406" s="17">
        <v>404</v>
      </c>
      <c r="C406" s="6">
        <v>0</v>
      </c>
      <c r="D406" s="6">
        <v>60</v>
      </c>
      <c r="E406" s="5">
        <v>100</v>
      </c>
      <c r="F406" s="5">
        <v>0</v>
      </c>
      <c r="G406" s="5">
        <v>100</v>
      </c>
      <c r="H406" s="5">
        <v>100</v>
      </c>
      <c r="I406" s="5">
        <v>100</v>
      </c>
      <c r="J406" s="5">
        <v>100</v>
      </c>
      <c r="K406" s="15" t="s">
        <v>54</v>
      </c>
      <c r="L406" s="6">
        <v>3</v>
      </c>
      <c r="M406" s="6">
        <v>0</v>
      </c>
      <c r="N406" s="6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6">
        <v>0</v>
      </c>
      <c r="V406" s="5">
        <v>10</v>
      </c>
      <c r="W406" s="5">
        <v>5</v>
      </c>
      <c r="X406" s="16">
        <v>2000</v>
      </c>
      <c r="Y406" s="16">
        <v>7000</v>
      </c>
      <c r="Z406" s="16">
        <v>14000</v>
      </c>
      <c r="AA406" s="12" t="str">
        <f t="shared" si="82"/>
        <v>1/60</v>
      </c>
      <c r="AB406" s="12" t="str">
        <f t="shared" si="83"/>
        <v>100,0,100,100,100,100</v>
      </c>
      <c r="AC406" s="12">
        <f t="shared" si="84"/>
        <v>3</v>
      </c>
      <c r="AD406" s="12" t="str">
        <f t="shared" si="85"/>
        <v>2000/7000/14000</v>
      </c>
      <c r="AE406" s="12" t="str">
        <f t="shared" si="86"/>
        <v/>
      </c>
      <c r="AF406" s="12" t="str">
        <f t="shared" si="87"/>
        <v/>
      </c>
      <c r="AG406" s="12" t="str">
        <f t="shared" si="88"/>
        <v/>
      </c>
      <c r="AH406" s="12" t="str">
        <f t="shared" si="89"/>
        <v/>
      </c>
      <c r="AI406" s="12" t="str">
        <f t="shared" si="90"/>
        <v>10/5</v>
      </c>
    </row>
    <row r="407" spans="1:35" s="8" customFormat="1" ht="21.95" customHeight="1">
      <c r="A407" s="9">
        <v>405</v>
      </c>
      <c r="B407" s="17">
        <v>405</v>
      </c>
      <c r="C407" s="6">
        <v>0</v>
      </c>
      <c r="D407" s="6">
        <v>60</v>
      </c>
      <c r="E407" s="5">
        <v>100</v>
      </c>
      <c r="F407" s="5">
        <v>100</v>
      </c>
      <c r="G407" s="5">
        <v>0</v>
      </c>
      <c r="H407" s="5">
        <v>100</v>
      </c>
      <c r="I407" s="5">
        <v>100</v>
      </c>
      <c r="J407" s="5">
        <v>100</v>
      </c>
      <c r="K407" s="15" t="s">
        <v>56</v>
      </c>
      <c r="L407" s="6">
        <v>3</v>
      </c>
      <c r="M407" s="6">
        <v>0</v>
      </c>
      <c r="N407" s="6">
        <v>0</v>
      </c>
      <c r="O407" s="5">
        <v>0</v>
      </c>
      <c r="P407" s="5">
        <v>0</v>
      </c>
      <c r="Q407" s="5">
        <v>0</v>
      </c>
      <c r="R407" s="5">
        <v>0</v>
      </c>
      <c r="S407" s="5">
        <v>0</v>
      </c>
      <c r="T407" s="5">
        <v>0</v>
      </c>
      <c r="U407" s="6">
        <v>0</v>
      </c>
      <c r="V407" s="5">
        <v>10</v>
      </c>
      <c r="W407" s="5">
        <v>5</v>
      </c>
      <c r="X407" s="16">
        <v>2000</v>
      </c>
      <c r="Y407" s="16">
        <v>7000</v>
      </c>
      <c r="Z407" s="16">
        <v>14000</v>
      </c>
      <c r="AA407" s="12" t="str">
        <f t="shared" si="82"/>
        <v>1/60</v>
      </c>
      <c r="AB407" s="12" t="str">
        <f t="shared" si="83"/>
        <v>100,100,0,100,100,100</v>
      </c>
      <c r="AC407" s="12">
        <f t="shared" si="84"/>
        <v>5</v>
      </c>
      <c r="AD407" s="12" t="str">
        <f t="shared" si="85"/>
        <v>2000/7000/14000</v>
      </c>
      <c r="AE407" s="12" t="str">
        <f t="shared" si="86"/>
        <v/>
      </c>
      <c r="AF407" s="12" t="str">
        <f t="shared" si="87"/>
        <v/>
      </c>
      <c r="AG407" s="12" t="str">
        <f t="shared" si="88"/>
        <v/>
      </c>
      <c r="AH407" s="12" t="str">
        <f t="shared" si="89"/>
        <v/>
      </c>
      <c r="AI407" s="12" t="str">
        <f t="shared" si="90"/>
        <v>10/5</v>
      </c>
    </row>
    <row r="408" spans="1:35" s="8" customFormat="1" ht="21.95" customHeight="1">
      <c r="A408" s="9">
        <v>406</v>
      </c>
      <c r="B408" s="17">
        <v>406</v>
      </c>
      <c r="C408" s="6">
        <v>0</v>
      </c>
      <c r="D408" s="6">
        <v>60</v>
      </c>
      <c r="E408" s="5">
        <v>100</v>
      </c>
      <c r="F408" s="5">
        <v>100</v>
      </c>
      <c r="G408" s="5">
        <v>100</v>
      </c>
      <c r="H408" s="5">
        <v>0</v>
      </c>
      <c r="I408" s="5">
        <v>100</v>
      </c>
      <c r="J408" s="5">
        <v>100</v>
      </c>
      <c r="K408" s="15" t="s">
        <v>53</v>
      </c>
      <c r="L408" s="6">
        <v>3</v>
      </c>
      <c r="M408" s="6">
        <v>0</v>
      </c>
      <c r="N408" s="6">
        <v>0</v>
      </c>
      <c r="O408" s="5">
        <v>0</v>
      </c>
      <c r="P408" s="5">
        <v>0</v>
      </c>
      <c r="Q408" s="5">
        <v>0</v>
      </c>
      <c r="R408" s="5">
        <v>0</v>
      </c>
      <c r="S408" s="5">
        <v>18</v>
      </c>
      <c r="T408" s="5">
        <v>16</v>
      </c>
      <c r="U408" s="6">
        <v>0</v>
      </c>
      <c r="V408" s="5">
        <v>10</v>
      </c>
      <c r="W408" s="5">
        <v>5</v>
      </c>
      <c r="X408" s="16">
        <v>2000</v>
      </c>
      <c r="Y408" s="16">
        <v>7000</v>
      </c>
      <c r="Z408" s="16">
        <v>14000</v>
      </c>
      <c r="AA408" s="12" t="str">
        <f t="shared" si="82"/>
        <v>1/60</v>
      </c>
      <c r="AB408" s="12" t="str">
        <f t="shared" si="83"/>
        <v>100,100,100,0,100,100</v>
      </c>
      <c r="AC408" s="12">
        <f t="shared" si="84"/>
        <v>2</v>
      </c>
      <c r="AD408" s="12" t="str">
        <f t="shared" si="85"/>
        <v>2000/7000/14000</v>
      </c>
      <c r="AE408" s="12" t="str">
        <f t="shared" si="86"/>
        <v/>
      </c>
      <c r="AF408" s="12" t="str">
        <f t="shared" si="87"/>
        <v/>
      </c>
      <c r="AG408" s="12" t="str">
        <f t="shared" si="88"/>
        <v>4/5/</v>
      </c>
      <c r="AH408" s="12" t="str">
        <f t="shared" si="89"/>
        <v>18/16/</v>
      </c>
      <c r="AI408" s="12" t="str">
        <f t="shared" si="90"/>
        <v>10/5</v>
      </c>
    </row>
    <row r="409" spans="1:35" s="8" customFormat="1" ht="21.95" customHeight="1">
      <c r="A409" s="9">
        <v>407</v>
      </c>
      <c r="B409" s="17">
        <v>407</v>
      </c>
      <c r="C409" s="6">
        <v>30</v>
      </c>
      <c r="D409" s="6">
        <v>0</v>
      </c>
      <c r="E409" s="5">
        <v>100</v>
      </c>
      <c r="F409" s="5">
        <v>100</v>
      </c>
      <c r="G409" s="5">
        <v>100</v>
      </c>
      <c r="H409" s="5">
        <v>100</v>
      </c>
      <c r="I409" s="5">
        <v>0</v>
      </c>
      <c r="J409" s="5">
        <v>100</v>
      </c>
      <c r="K409" s="15" t="s">
        <v>53</v>
      </c>
      <c r="L409" s="6">
        <v>3</v>
      </c>
      <c r="M409" s="6">
        <v>0</v>
      </c>
      <c r="N409" s="6">
        <v>0</v>
      </c>
      <c r="O409" s="5">
        <v>16</v>
      </c>
      <c r="P409" s="5">
        <v>0</v>
      </c>
      <c r="Q409" s="5">
        <v>0</v>
      </c>
      <c r="R409" s="5">
        <v>0</v>
      </c>
      <c r="S409" s="5">
        <v>0</v>
      </c>
      <c r="T409" s="5">
        <v>18</v>
      </c>
      <c r="U409" s="6">
        <v>0</v>
      </c>
      <c r="V409" s="5">
        <v>10</v>
      </c>
      <c r="W409" s="5">
        <v>5</v>
      </c>
      <c r="X409" s="16">
        <v>2000</v>
      </c>
      <c r="Y409" s="16">
        <v>7000</v>
      </c>
      <c r="Z409" s="16">
        <v>14000</v>
      </c>
      <c r="AA409" s="12" t="str">
        <f t="shared" si="82"/>
        <v>0/30</v>
      </c>
      <c r="AB409" s="12" t="str">
        <f t="shared" si="83"/>
        <v>100,100,100,100,0,100</v>
      </c>
      <c r="AC409" s="12">
        <f t="shared" si="84"/>
        <v>2</v>
      </c>
      <c r="AD409" s="12" t="str">
        <f t="shared" si="85"/>
        <v>2000/7000/14000</v>
      </c>
      <c r="AE409" s="12" t="str">
        <f t="shared" si="86"/>
        <v/>
      </c>
      <c r="AF409" s="12" t="str">
        <f t="shared" si="87"/>
        <v/>
      </c>
      <c r="AG409" s="12" t="str">
        <f t="shared" si="88"/>
        <v>0/5/</v>
      </c>
      <c r="AH409" s="12" t="str">
        <f t="shared" si="89"/>
        <v>16/18/</v>
      </c>
      <c r="AI409" s="12" t="str">
        <f t="shared" si="90"/>
        <v>10/5</v>
      </c>
    </row>
    <row r="410" spans="1:35" s="8" customFormat="1" ht="21.95" customHeight="1">
      <c r="A410" s="9">
        <v>408</v>
      </c>
      <c r="B410" s="17">
        <v>408</v>
      </c>
      <c r="C410" s="6">
        <v>30</v>
      </c>
      <c r="D410" s="6">
        <v>0</v>
      </c>
      <c r="E410" s="5">
        <v>100</v>
      </c>
      <c r="F410" s="5">
        <v>100</v>
      </c>
      <c r="G410" s="5">
        <v>100</v>
      </c>
      <c r="H410" s="5">
        <v>100</v>
      </c>
      <c r="I410" s="5">
        <v>100</v>
      </c>
      <c r="J410" s="5">
        <v>0</v>
      </c>
      <c r="K410" s="15" t="s">
        <v>52</v>
      </c>
      <c r="L410" s="6">
        <v>3</v>
      </c>
      <c r="M410" s="6">
        <v>6</v>
      </c>
      <c r="N410" s="6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6">
        <v>0</v>
      </c>
      <c r="V410" s="5">
        <v>10</v>
      </c>
      <c r="W410" s="5">
        <v>5</v>
      </c>
      <c r="X410" s="16">
        <v>2000</v>
      </c>
      <c r="Y410" s="16">
        <v>7000</v>
      </c>
      <c r="Z410" s="16">
        <v>14000</v>
      </c>
      <c r="AA410" s="12" t="str">
        <f t="shared" si="82"/>
        <v>0/30</v>
      </c>
      <c r="AB410" s="12" t="str">
        <f t="shared" si="83"/>
        <v>100,100,100,100,100,0</v>
      </c>
      <c r="AC410" s="12">
        <f t="shared" si="84"/>
        <v>1</v>
      </c>
      <c r="AD410" s="12" t="str">
        <f t="shared" si="85"/>
        <v>2000/7000/14000</v>
      </c>
      <c r="AE410" s="12" t="str">
        <f t="shared" si="86"/>
        <v>0/</v>
      </c>
      <c r="AF410" s="12" t="str">
        <f t="shared" si="87"/>
        <v>6/</v>
      </c>
      <c r="AG410" s="12" t="str">
        <f t="shared" si="88"/>
        <v/>
      </c>
      <c r="AH410" s="12" t="str">
        <f t="shared" si="89"/>
        <v/>
      </c>
      <c r="AI410" s="12" t="str">
        <f t="shared" si="90"/>
        <v>10/5</v>
      </c>
    </row>
    <row r="411" spans="1:35" s="8" customFormat="1" ht="21.95" customHeight="1">
      <c r="A411" s="9">
        <v>409</v>
      </c>
      <c r="B411" s="17">
        <v>409</v>
      </c>
      <c r="C411" s="6">
        <v>30</v>
      </c>
      <c r="D411" s="6">
        <v>0</v>
      </c>
      <c r="E411" s="5">
        <v>0</v>
      </c>
      <c r="F411" s="5">
        <v>100</v>
      </c>
      <c r="G411" s="5">
        <v>100</v>
      </c>
      <c r="H411" s="5">
        <v>100</v>
      </c>
      <c r="I411" s="5">
        <v>100</v>
      </c>
      <c r="J411" s="5">
        <v>100</v>
      </c>
      <c r="K411" s="15" t="s">
        <v>52</v>
      </c>
      <c r="L411" s="6">
        <v>3</v>
      </c>
      <c r="M411" s="6">
        <v>0</v>
      </c>
      <c r="N411" s="6">
        <v>6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>
        <v>0</v>
      </c>
      <c r="U411" s="6">
        <v>0</v>
      </c>
      <c r="V411" s="5">
        <v>10</v>
      </c>
      <c r="W411" s="5">
        <v>5</v>
      </c>
      <c r="X411" s="16">
        <v>2000</v>
      </c>
      <c r="Y411" s="16">
        <v>7000</v>
      </c>
      <c r="Z411" s="16">
        <v>14000</v>
      </c>
      <c r="AA411" s="12" t="str">
        <f t="shared" si="82"/>
        <v>0/30</v>
      </c>
      <c r="AB411" s="12" t="str">
        <f t="shared" si="83"/>
        <v>0,100,100,100,100,100</v>
      </c>
      <c r="AC411" s="12">
        <f t="shared" si="84"/>
        <v>1</v>
      </c>
      <c r="AD411" s="12" t="str">
        <f t="shared" si="85"/>
        <v>2000/7000/14000</v>
      </c>
      <c r="AE411" s="12" t="str">
        <f t="shared" si="86"/>
        <v>1/</v>
      </c>
      <c r="AF411" s="12" t="str">
        <f t="shared" si="87"/>
        <v>6/</v>
      </c>
      <c r="AG411" s="12" t="str">
        <f t="shared" si="88"/>
        <v/>
      </c>
      <c r="AH411" s="12" t="str">
        <f t="shared" si="89"/>
        <v/>
      </c>
      <c r="AI411" s="12" t="str">
        <f t="shared" si="90"/>
        <v>10/5</v>
      </c>
    </row>
    <row r="412" spans="1:35" s="8" customFormat="1" ht="21.95" customHeight="1">
      <c r="A412" s="9">
        <v>410</v>
      </c>
      <c r="B412" s="17">
        <v>410</v>
      </c>
      <c r="C412" s="6">
        <v>0</v>
      </c>
      <c r="D412" s="6">
        <v>60</v>
      </c>
      <c r="E412" s="5">
        <v>100</v>
      </c>
      <c r="F412" s="5">
        <v>0</v>
      </c>
      <c r="G412" s="5">
        <v>100</v>
      </c>
      <c r="H412" s="5">
        <v>100</v>
      </c>
      <c r="I412" s="5">
        <v>100</v>
      </c>
      <c r="J412" s="5">
        <v>100</v>
      </c>
      <c r="K412" s="15" t="s">
        <v>54</v>
      </c>
      <c r="L412" s="6">
        <v>3</v>
      </c>
      <c r="M412" s="6">
        <v>0</v>
      </c>
      <c r="N412" s="6">
        <v>0</v>
      </c>
      <c r="O412" s="5">
        <v>0</v>
      </c>
      <c r="P412" s="5">
        <v>0</v>
      </c>
      <c r="Q412" s="5">
        <v>0</v>
      </c>
      <c r="R412" s="5">
        <v>0</v>
      </c>
      <c r="S412" s="5">
        <v>0</v>
      </c>
      <c r="T412" s="5">
        <v>0</v>
      </c>
      <c r="U412" s="6">
        <v>0</v>
      </c>
      <c r="V412" s="5">
        <v>10</v>
      </c>
      <c r="W412" s="5">
        <v>5</v>
      </c>
      <c r="X412" s="16">
        <v>2000</v>
      </c>
      <c r="Y412" s="16">
        <v>7000</v>
      </c>
      <c r="Z412" s="16">
        <v>14000</v>
      </c>
      <c r="AA412" s="12" t="str">
        <f t="shared" si="82"/>
        <v>1/60</v>
      </c>
      <c r="AB412" s="12" t="str">
        <f t="shared" si="83"/>
        <v>100,0,100,100,100,100</v>
      </c>
      <c r="AC412" s="12">
        <f t="shared" si="84"/>
        <v>3</v>
      </c>
      <c r="AD412" s="12" t="str">
        <f t="shared" si="85"/>
        <v>2000/7000/14000</v>
      </c>
      <c r="AE412" s="12" t="str">
        <f t="shared" si="86"/>
        <v/>
      </c>
      <c r="AF412" s="12" t="str">
        <f t="shared" si="87"/>
        <v/>
      </c>
      <c r="AG412" s="12" t="str">
        <f t="shared" si="88"/>
        <v/>
      </c>
      <c r="AH412" s="12" t="str">
        <f t="shared" si="89"/>
        <v/>
      </c>
      <c r="AI412" s="12" t="str">
        <f t="shared" si="90"/>
        <v>10/5</v>
      </c>
    </row>
    <row r="413" spans="1:35" s="8" customFormat="1" ht="21.95" customHeight="1">
      <c r="A413" s="9">
        <v>411</v>
      </c>
      <c r="B413" s="17">
        <v>411</v>
      </c>
      <c r="C413" s="6">
        <v>0</v>
      </c>
      <c r="D413" s="6">
        <v>60</v>
      </c>
      <c r="E413" s="5">
        <v>100</v>
      </c>
      <c r="F413" s="5">
        <v>100</v>
      </c>
      <c r="G413" s="5">
        <v>0</v>
      </c>
      <c r="H413" s="5">
        <v>100</v>
      </c>
      <c r="I413" s="5">
        <v>100</v>
      </c>
      <c r="J413" s="5">
        <v>100</v>
      </c>
      <c r="K413" s="15" t="s">
        <v>54</v>
      </c>
      <c r="L413" s="6">
        <v>3</v>
      </c>
      <c r="M413" s="6">
        <v>0</v>
      </c>
      <c r="N413" s="6">
        <v>0</v>
      </c>
      <c r="O413" s="5">
        <v>0</v>
      </c>
      <c r="P413" s="5">
        <v>0</v>
      </c>
      <c r="Q413" s="5">
        <v>0</v>
      </c>
      <c r="R413" s="5">
        <v>0</v>
      </c>
      <c r="S413" s="5">
        <v>0</v>
      </c>
      <c r="T413" s="5">
        <v>0</v>
      </c>
      <c r="U413" s="6">
        <v>0</v>
      </c>
      <c r="V413" s="5">
        <v>10</v>
      </c>
      <c r="W413" s="5">
        <v>5</v>
      </c>
      <c r="X413" s="16">
        <v>2000</v>
      </c>
      <c r="Y413" s="16">
        <v>7000</v>
      </c>
      <c r="Z413" s="16">
        <v>14000</v>
      </c>
      <c r="AA413" s="12" t="str">
        <f t="shared" si="82"/>
        <v>1/60</v>
      </c>
      <c r="AB413" s="12" t="str">
        <f t="shared" si="83"/>
        <v>100,100,0,100,100,100</v>
      </c>
      <c r="AC413" s="12">
        <f t="shared" si="84"/>
        <v>3</v>
      </c>
      <c r="AD413" s="12" t="str">
        <f t="shared" si="85"/>
        <v>2000/7000/14000</v>
      </c>
      <c r="AE413" s="12" t="str">
        <f t="shared" si="86"/>
        <v/>
      </c>
      <c r="AF413" s="12" t="str">
        <f t="shared" si="87"/>
        <v/>
      </c>
      <c r="AG413" s="12" t="str">
        <f t="shared" si="88"/>
        <v/>
      </c>
      <c r="AH413" s="12" t="str">
        <f t="shared" si="89"/>
        <v/>
      </c>
      <c r="AI413" s="12" t="str">
        <f t="shared" si="90"/>
        <v>10/5</v>
      </c>
    </row>
    <row r="414" spans="1:35" s="8" customFormat="1" ht="21.95" customHeight="1">
      <c r="A414" s="9">
        <v>412</v>
      </c>
      <c r="B414" s="17">
        <v>412</v>
      </c>
      <c r="C414" s="6">
        <v>30</v>
      </c>
      <c r="D414" s="6">
        <v>0</v>
      </c>
      <c r="E414" s="5">
        <v>100</v>
      </c>
      <c r="F414" s="5">
        <v>100</v>
      </c>
      <c r="G414" s="5">
        <v>100</v>
      </c>
      <c r="H414" s="5">
        <v>0</v>
      </c>
      <c r="I414" s="5">
        <v>100</v>
      </c>
      <c r="J414" s="5">
        <v>100</v>
      </c>
      <c r="K414" s="15" t="s">
        <v>55</v>
      </c>
      <c r="L414" s="6">
        <v>3</v>
      </c>
      <c r="M414" s="6">
        <v>0</v>
      </c>
      <c r="N414" s="6">
        <v>0</v>
      </c>
      <c r="O414" s="5">
        <v>0</v>
      </c>
      <c r="P414" s="5">
        <v>0</v>
      </c>
      <c r="Q414" s="5">
        <v>0</v>
      </c>
      <c r="R414" s="5">
        <v>0</v>
      </c>
      <c r="S414" s="5">
        <v>0</v>
      </c>
      <c r="T414" s="5">
        <v>0</v>
      </c>
      <c r="U414" s="6">
        <v>5</v>
      </c>
      <c r="V414" s="5">
        <v>10</v>
      </c>
      <c r="W414" s="5">
        <v>5</v>
      </c>
      <c r="X414" s="16">
        <v>2000</v>
      </c>
      <c r="Y414" s="16">
        <v>7000</v>
      </c>
      <c r="Z414" s="16">
        <v>14000</v>
      </c>
      <c r="AA414" s="12" t="str">
        <f t="shared" si="82"/>
        <v>0/30</v>
      </c>
      <c r="AB414" s="12" t="str">
        <f t="shared" si="83"/>
        <v>100,100,100,0,100,100</v>
      </c>
      <c r="AC414" s="12">
        <f t="shared" si="84"/>
        <v>4</v>
      </c>
      <c r="AD414" s="12" t="str">
        <f t="shared" si="85"/>
        <v>2000/7000/14000</v>
      </c>
      <c r="AE414" s="12" t="str">
        <f t="shared" si="86"/>
        <v/>
      </c>
      <c r="AF414" s="12" t="str">
        <f t="shared" si="87"/>
        <v/>
      </c>
      <c r="AG414" s="12" t="str">
        <f t="shared" si="88"/>
        <v/>
      </c>
      <c r="AH414" s="12" t="str">
        <f t="shared" si="89"/>
        <v/>
      </c>
      <c r="AI414" s="12" t="str">
        <f t="shared" si="90"/>
        <v>10/5</v>
      </c>
    </row>
    <row r="415" spans="1:35" s="8" customFormat="1" ht="21.95" customHeight="1">
      <c r="A415" s="9">
        <v>413</v>
      </c>
      <c r="B415" s="17">
        <v>413</v>
      </c>
      <c r="C415" s="6">
        <v>30</v>
      </c>
      <c r="D415" s="6">
        <v>0</v>
      </c>
      <c r="E415" s="5">
        <v>100</v>
      </c>
      <c r="F415" s="5">
        <v>100</v>
      </c>
      <c r="G415" s="5">
        <v>100</v>
      </c>
      <c r="H415" s="5">
        <v>100</v>
      </c>
      <c r="I415" s="5">
        <v>0</v>
      </c>
      <c r="J415" s="5">
        <v>100</v>
      </c>
      <c r="K415" s="15" t="s">
        <v>55</v>
      </c>
      <c r="L415" s="6">
        <v>3</v>
      </c>
      <c r="M415" s="6">
        <v>0</v>
      </c>
      <c r="N415" s="6">
        <v>0</v>
      </c>
      <c r="O415" s="5">
        <v>0</v>
      </c>
      <c r="P415" s="5">
        <v>0</v>
      </c>
      <c r="Q415" s="5">
        <v>0</v>
      </c>
      <c r="R415" s="5">
        <v>0</v>
      </c>
      <c r="S415" s="5">
        <v>0</v>
      </c>
      <c r="T415" s="5">
        <v>0</v>
      </c>
      <c r="U415" s="6">
        <v>5</v>
      </c>
      <c r="V415" s="5">
        <v>10</v>
      </c>
      <c r="W415" s="5">
        <v>5</v>
      </c>
      <c r="X415" s="16">
        <v>2000</v>
      </c>
      <c r="Y415" s="16">
        <v>7000</v>
      </c>
      <c r="Z415" s="16">
        <v>14000</v>
      </c>
      <c r="AA415" s="12" t="str">
        <f t="shared" si="82"/>
        <v>0/30</v>
      </c>
      <c r="AB415" s="12" t="str">
        <f t="shared" si="83"/>
        <v>100,100,100,100,0,100</v>
      </c>
      <c r="AC415" s="12">
        <f t="shared" si="84"/>
        <v>4</v>
      </c>
      <c r="AD415" s="12" t="str">
        <f t="shared" si="85"/>
        <v>2000/7000/14000</v>
      </c>
      <c r="AE415" s="12" t="str">
        <f t="shared" si="86"/>
        <v/>
      </c>
      <c r="AF415" s="12" t="str">
        <f t="shared" si="87"/>
        <v/>
      </c>
      <c r="AG415" s="12" t="str">
        <f t="shared" si="88"/>
        <v/>
      </c>
      <c r="AH415" s="12" t="str">
        <f t="shared" si="89"/>
        <v/>
      </c>
      <c r="AI415" s="12" t="str">
        <f t="shared" si="90"/>
        <v>10/5</v>
      </c>
    </row>
    <row r="416" spans="1:35" s="8" customFormat="1" ht="21.95" customHeight="1">
      <c r="A416" s="9">
        <v>414</v>
      </c>
      <c r="B416" s="17">
        <v>414</v>
      </c>
      <c r="C416" s="6">
        <v>30</v>
      </c>
      <c r="D416" s="6">
        <v>0</v>
      </c>
      <c r="E416" s="5">
        <v>100</v>
      </c>
      <c r="F416" s="5">
        <v>100</v>
      </c>
      <c r="G416" s="5">
        <v>100</v>
      </c>
      <c r="H416" s="5">
        <v>100</v>
      </c>
      <c r="I416" s="5">
        <v>100</v>
      </c>
      <c r="J416" s="5">
        <v>0</v>
      </c>
      <c r="K416" s="15" t="s">
        <v>56</v>
      </c>
      <c r="L416" s="6">
        <v>3</v>
      </c>
      <c r="M416" s="6">
        <v>0</v>
      </c>
      <c r="N416" s="6">
        <v>0</v>
      </c>
      <c r="O416" s="5">
        <v>0</v>
      </c>
      <c r="P416" s="5">
        <v>0</v>
      </c>
      <c r="Q416" s="5">
        <v>0</v>
      </c>
      <c r="R416" s="5">
        <v>0</v>
      </c>
      <c r="S416" s="5">
        <v>0</v>
      </c>
      <c r="T416" s="5">
        <v>0</v>
      </c>
      <c r="U416" s="6">
        <v>0</v>
      </c>
      <c r="V416" s="5">
        <v>10</v>
      </c>
      <c r="W416" s="5">
        <v>5</v>
      </c>
      <c r="X416" s="16">
        <v>2000</v>
      </c>
      <c r="Y416" s="16">
        <v>7000</v>
      </c>
      <c r="Z416" s="16">
        <v>14000</v>
      </c>
      <c r="AA416" s="12" t="str">
        <f t="shared" si="82"/>
        <v>0/30</v>
      </c>
      <c r="AB416" s="12" t="str">
        <f t="shared" si="83"/>
        <v>100,100,100,100,100,0</v>
      </c>
      <c r="AC416" s="12">
        <f t="shared" si="84"/>
        <v>5</v>
      </c>
      <c r="AD416" s="12" t="str">
        <f t="shared" si="85"/>
        <v>2000/7000/14000</v>
      </c>
      <c r="AE416" s="12" t="str">
        <f t="shared" si="86"/>
        <v/>
      </c>
      <c r="AF416" s="12" t="str">
        <f t="shared" si="87"/>
        <v/>
      </c>
      <c r="AG416" s="12" t="str">
        <f t="shared" si="88"/>
        <v/>
      </c>
      <c r="AH416" s="12" t="str">
        <f t="shared" si="89"/>
        <v/>
      </c>
      <c r="AI416" s="12" t="str">
        <f t="shared" si="90"/>
        <v>10/5</v>
      </c>
    </row>
    <row r="417" spans="1:35" s="8" customFormat="1" ht="21.95" customHeight="1">
      <c r="A417" s="9">
        <v>415</v>
      </c>
      <c r="B417" s="17">
        <v>415</v>
      </c>
      <c r="C417" s="6">
        <v>30</v>
      </c>
      <c r="D417" s="6">
        <v>0</v>
      </c>
      <c r="E417" s="5">
        <v>0</v>
      </c>
      <c r="F417" s="5">
        <v>100</v>
      </c>
      <c r="G417" s="5">
        <v>100</v>
      </c>
      <c r="H417" s="5">
        <v>100</v>
      </c>
      <c r="I417" s="5">
        <v>100</v>
      </c>
      <c r="J417" s="5">
        <v>100</v>
      </c>
      <c r="K417" s="15" t="s">
        <v>56</v>
      </c>
      <c r="L417" s="6">
        <v>3</v>
      </c>
      <c r="M417" s="6">
        <v>0</v>
      </c>
      <c r="N417" s="6">
        <v>0</v>
      </c>
      <c r="O417" s="5">
        <v>0</v>
      </c>
      <c r="P417" s="5">
        <v>0</v>
      </c>
      <c r="Q417" s="5">
        <v>0</v>
      </c>
      <c r="R417" s="5">
        <v>0</v>
      </c>
      <c r="S417" s="5">
        <v>0</v>
      </c>
      <c r="T417" s="5">
        <v>0</v>
      </c>
      <c r="U417" s="6">
        <v>0</v>
      </c>
      <c r="V417" s="5">
        <v>10</v>
      </c>
      <c r="W417" s="5">
        <v>5</v>
      </c>
      <c r="X417" s="16">
        <v>2000</v>
      </c>
      <c r="Y417" s="16">
        <v>7000</v>
      </c>
      <c r="Z417" s="16">
        <v>14000</v>
      </c>
      <c r="AA417" s="12" t="str">
        <f t="shared" si="82"/>
        <v>0/30</v>
      </c>
      <c r="AB417" s="12" t="str">
        <f t="shared" si="83"/>
        <v>0,100,100,100,100,100</v>
      </c>
      <c r="AC417" s="12">
        <f t="shared" si="84"/>
        <v>5</v>
      </c>
      <c r="AD417" s="12" t="str">
        <f t="shared" si="85"/>
        <v>2000/7000/14000</v>
      </c>
      <c r="AE417" s="12" t="str">
        <f t="shared" si="86"/>
        <v/>
      </c>
      <c r="AF417" s="12" t="str">
        <f t="shared" si="87"/>
        <v/>
      </c>
      <c r="AG417" s="12" t="str">
        <f t="shared" si="88"/>
        <v/>
      </c>
      <c r="AH417" s="12" t="str">
        <f t="shared" si="89"/>
        <v/>
      </c>
      <c r="AI417" s="12" t="str">
        <f t="shared" si="90"/>
        <v>10/5</v>
      </c>
    </row>
    <row r="418" spans="1:35" s="8" customFormat="1" ht="21.95" customHeight="1">
      <c r="A418" s="9">
        <v>416</v>
      </c>
      <c r="B418" s="17">
        <v>416</v>
      </c>
      <c r="C418" s="6">
        <v>30</v>
      </c>
      <c r="D418" s="6">
        <v>0</v>
      </c>
      <c r="E418" s="5">
        <v>100</v>
      </c>
      <c r="F418" s="5">
        <v>0</v>
      </c>
      <c r="G418" s="5">
        <v>100</v>
      </c>
      <c r="H418" s="5">
        <v>100</v>
      </c>
      <c r="I418" s="5">
        <v>100</v>
      </c>
      <c r="J418" s="5">
        <v>100</v>
      </c>
      <c r="K418" s="15" t="s">
        <v>53</v>
      </c>
      <c r="L418" s="6">
        <v>3</v>
      </c>
      <c r="M418" s="6">
        <v>0</v>
      </c>
      <c r="N418" s="6">
        <v>0</v>
      </c>
      <c r="O418" s="5">
        <v>0</v>
      </c>
      <c r="P418" s="5">
        <v>0</v>
      </c>
      <c r="Q418" s="5">
        <v>20</v>
      </c>
      <c r="R418" s="5">
        <v>24</v>
      </c>
      <c r="S418" s="5">
        <v>0</v>
      </c>
      <c r="T418" s="5">
        <v>0</v>
      </c>
      <c r="U418" s="6">
        <v>0</v>
      </c>
      <c r="V418" s="5">
        <v>10</v>
      </c>
      <c r="W418" s="5">
        <v>5</v>
      </c>
      <c r="X418" s="16">
        <v>2000</v>
      </c>
      <c r="Y418" s="16">
        <v>7000</v>
      </c>
      <c r="Z418" s="16">
        <v>14000</v>
      </c>
      <c r="AA418" s="12" t="str">
        <f t="shared" ref="AA418:AA481" si="91">IF(C418=0,CONCATENATE("1/",D418),CONCATENATE("0/",C418))</f>
        <v>0/30</v>
      </c>
      <c r="AB418" s="12" t="str">
        <f t="shared" ref="AB418:AB481" si="92">CONCATENATE(E418,",",F418,",",G418,",",H418,",",I418,",",J418)</f>
        <v>100,0,100,100,100,100</v>
      </c>
      <c r="AC418" s="12">
        <f t="shared" ref="AC418:AC481" si="93">VLOOKUP(K418,$I$1005:$J$1012,2,FALSE)</f>
        <v>2</v>
      </c>
      <c r="AD418" s="12" t="str">
        <f t="shared" ref="AD418:AD481" si="94">CONCATENATE(X418,"/",Y418,"/",Z418)</f>
        <v>2000/7000/14000</v>
      </c>
      <c r="AE418" s="12" t="str">
        <f t="shared" ref="AE418:AE481" si="95">CONCATENATE(IF(M418=0,"","0/"),IF(N418=0,"","1/"))</f>
        <v/>
      </c>
      <c r="AF418" s="12" t="str">
        <f t="shared" ref="AF418:AF481" si="96">CONCATENATE(IF(M418=0,"",CONCATENATE(M418,"/")),IF(N418=0,"",CONCATENATE(N418,"/")))</f>
        <v/>
      </c>
      <c r="AG418" s="12" t="str">
        <f t="shared" ref="AG418:AG481" si="97">CONCATENATE(IF(O418=0,"","0/"),IF(P418=0,"","1/"),IF(Q418=0,"","2/"),IF(R418=0,"","3/"),IF(S418=0,"","4/"),IF(T418=0,"","5/"))</f>
        <v>2/3/</v>
      </c>
      <c r="AH418" s="12" t="str">
        <f t="shared" ref="AH418:AH481" si="98">CONCATENATE(IF(O418=0,"",CONCATENATE(O418,"/")),IF(P418=0,"",CONCATENATE(P418,"/")),IF(Q418=0,"",CONCATENATE(Q418,"/")),IF(R418=0,"",CONCATENATE(R418,"/")),IF(S418=0,"",CONCATENATE(S418,"/")),IF(T418=0,"",CONCATENATE(T418,"/")))</f>
        <v>20/24/</v>
      </c>
      <c r="AI418" s="12" t="str">
        <f t="shared" ref="AI418:AI481" si="99">CONCATENATE(V418,"/",W418)</f>
        <v>10/5</v>
      </c>
    </row>
    <row r="419" spans="1:35" s="8" customFormat="1" ht="21.95" customHeight="1">
      <c r="A419" s="9">
        <v>417</v>
      </c>
      <c r="B419" s="17">
        <v>417</v>
      </c>
      <c r="C419" s="6">
        <v>30</v>
      </c>
      <c r="D419" s="6">
        <v>0</v>
      </c>
      <c r="E419" s="5">
        <v>100</v>
      </c>
      <c r="F419" s="5">
        <v>100</v>
      </c>
      <c r="G419" s="5">
        <v>0</v>
      </c>
      <c r="H419" s="5">
        <v>100</v>
      </c>
      <c r="I419" s="5">
        <v>100</v>
      </c>
      <c r="J419" s="5">
        <v>100</v>
      </c>
      <c r="K419" s="15" t="s">
        <v>53</v>
      </c>
      <c r="L419" s="6">
        <v>3</v>
      </c>
      <c r="M419" s="6">
        <v>0</v>
      </c>
      <c r="N419" s="6">
        <v>0</v>
      </c>
      <c r="O419" s="5">
        <v>0</v>
      </c>
      <c r="P419" s="5">
        <v>0</v>
      </c>
      <c r="Q419" s="5">
        <v>0</v>
      </c>
      <c r="R419" s="5">
        <v>18</v>
      </c>
      <c r="S419" s="5">
        <v>32</v>
      </c>
      <c r="T419" s="5">
        <v>0</v>
      </c>
      <c r="U419" s="6">
        <v>0</v>
      </c>
      <c r="V419" s="5">
        <v>10</v>
      </c>
      <c r="W419" s="5">
        <v>5</v>
      </c>
      <c r="X419" s="16">
        <v>2000</v>
      </c>
      <c r="Y419" s="16">
        <v>7000</v>
      </c>
      <c r="Z419" s="16">
        <v>14000</v>
      </c>
      <c r="AA419" s="12" t="str">
        <f t="shared" si="91"/>
        <v>0/30</v>
      </c>
      <c r="AB419" s="12" t="str">
        <f t="shared" si="92"/>
        <v>100,100,0,100,100,100</v>
      </c>
      <c r="AC419" s="12">
        <f t="shared" si="93"/>
        <v>2</v>
      </c>
      <c r="AD419" s="12" t="str">
        <f t="shared" si="94"/>
        <v>2000/7000/14000</v>
      </c>
      <c r="AE419" s="12" t="str">
        <f t="shared" si="95"/>
        <v/>
      </c>
      <c r="AF419" s="12" t="str">
        <f t="shared" si="96"/>
        <v/>
      </c>
      <c r="AG419" s="12" t="str">
        <f t="shared" si="97"/>
        <v>3/4/</v>
      </c>
      <c r="AH419" s="12" t="str">
        <f t="shared" si="98"/>
        <v>18/32/</v>
      </c>
      <c r="AI419" s="12" t="str">
        <f t="shared" si="99"/>
        <v>10/5</v>
      </c>
    </row>
    <row r="420" spans="1:35" s="8" customFormat="1" ht="21.95" customHeight="1">
      <c r="A420" s="9">
        <v>418</v>
      </c>
      <c r="B420" s="17">
        <v>418</v>
      </c>
      <c r="C420" s="6">
        <v>0</v>
      </c>
      <c r="D420" s="6">
        <v>60</v>
      </c>
      <c r="E420" s="5">
        <v>100</v>
      </c>
      <c r="F420" s="5">
        <v>100</v>
      </c>
      <c r="G420" s="5">
        <v>100</v>
      </c>
      <c r="H420" s="5">
        <v>0</v>
      </c>
      <c r="I420" s="5">
        <v>100</v>
      </c>
      <c r="J420" s="5">
        <v>100</v>
      </c>
      <c r="K420" s="15" t="s">
        <v>52</v>
      </c>
      <c r="L420" s="6">
        <v>3</v>
      </c>
      <c r="M420" s="6">
        <v>6</v>
      </c>
      <c r="N420" s="6">
        <v>0</v>
      </c>
      <c r="O420" s="5">
        <v>0</v>
      </c>
      <c r="P420" s="5">
        <v>0</v>
      </c>
      <c r="Q420" s="5">
        <v>0</v>
      </c>
      <c r="R420" s="5">
        <v>0</v>
      </c>
      <c r="S420" s="5">
        <v>0</v>
      </c>
      <c r="T420" s="5">
        <v>0</v>
      </c>
      <c r="U420" s="6">
        <v>0</v>
      </c>
      <c r="V420" s="5">
        <v>10</v>
      </c>
      <c r="W420" s="5">
        <v>5</v>
      </c>
      <c r="X420" s="16">
        <v>2000</v>
      </c>
      <c r="Y420" s="16">
        <v>7000</v>
      </c>
      <c r="Z420" s="16">
        <v>14000</v>
      </c>
      <c r="AA420" s="12" t="str">
        <f t="shared" si="91"/>
        <v>1/60</v>
      </c>
      <c r="AB420" s="12" t="str">
        <f t="shared" si="92"/>
        <v>100,100,100,0,100,100</v>
      </c>
      <c r="AC420" s="12">
        <f t="shared" si="93"/>
        <v>1</v>
      </c>
      <c r="AD420" s="12" t="str">
        <f t="shared" si="94"/>
        <v>2000/7000/14000</v>
      </c>
      <c r="AE420" s="12" t="str">
        <f t="shared" si="95"/>
        <v>0/</v>
      </c>
      <c r="AF420" s="12" t="str">
        <f t="shared" si="96"/>
        <v>6/</v>
      </c>
      <c r="AG420" s="12" t="str">
        <f t="shared" si="97"/>
        <v/>
      </c>
      <c r="AH420" s="12" t="str">
        <f t="shared" si="98"/>
        <v/>
      </c>
      <c r="AI420" s="12" t="str">
        <f t="shared" si="99"/>
        <v>10/5</v>
      </c>
    </row>
    <row r="421" spans="1:35" s="8" customFormat="1" ht="21.95" customHeight="1">
      <c r="A421" s="9">
        <v>419</v>
      </c>
      <c r="B421" s="17">
        <v>419</v>
      </c>
      <c r="C421" s="6">
        <v>0</v>
      </c>
      <c r="D421" s="6">
        <v>60</v>
      </c>
      <c r="E421" s="5">
        <v>100</v>
      </c>
      <c r="F421" s="5">
        <v>100</v>
      </c>
      <c r="G421" s="5">
        <v>100</v>
      </c>
      <c r="H421" s="5">
        <v>100</v>
      </c>
      <c r="I421" s="5">
        <v>0</v>
      </c>
      <c r="J421" s="5">
        <v>100</v>
      </c>
      <c r="K421" s="15" t="s">
        <v>52</v>
      </c>
      <c r="L421" s="6">
        <v>3</v>
      </c>
      <c r="M421" s="6">
        <v>2</v>
      </c>
      <c r="N421" s="6">
        <v>4</v>
      </c>
      <c r="O421" s="5">
        <v>0</v>
      </c>
      <c r="P421" s="5">
        <v>0</v>
      </c>
      <c r="Q421" s="5">
        <v>0</v>
      </c>
      <c r="R421" s="5">
        <v>0</v>
      </c>
      <c r="S421" s="5">
        <v>0</v>
      </c>
      <c r="T421" s="5">
        <v>0</v>
      </c>
      <c r="U421" s="6">
        <v>0</v>
      </c>
      <c r="V421" s="5">
        <v>10</v>
      </c>
      <c r="W421" s="5">
        <v>5</v>
      </c>
      <c r="X421" s="16">
        <v>2000</v>
      </c>
      <c r="Y421" s="16">
        <v>7000</v>
      </c>
      <c r="Z421" s="16">
        <v>14000</v>
      </c>
      <c r="AA421" s="12" t="str">
        <f t="shared" si="91"/>
        <v>1/60</v>
      </c>
      <c r="AB421" s="12" t="str">
        <f t="shared" si="92"/>
        <v>100,100,100,100,0,100</v>
      </c>
      <c r="AC421" s="12">
        <f t="shared" si="93"/>
        <v>1</v>
      </c>
      <c r="AD421" s="12" t="str">
        <f t="shared" si="94"/>
        <v>2000/7000/14000</v>
      </c>
      <c r="AE421" s="12" t="str">
        <f t="shared" si="95"/>
        <v>0/1/</v>
      </c>
      <c r="AF421" s="12" t="str">
        <f t="shared" si="96"/>
        <v>2/4/</v>
      </c>
      <c r="AG421" s="12" t="str">
        <f t="shared" si="97"/>
        <v/>
      </c>
      <c r="AH421" s="12" t="str">
        <f t="shared" si="98"/>
        <v/>
      </c>
      <c r="AI421" s="12" t="str">
        <f t="shared" si="99"/>
        <v>10/5</v>
      </c>
    </row>
    <row r="422" spans="1:35" s="8" customFormat="1" ht="21.95" customHeight="1">
      <c r="A422" s="9">
        <v>420</v>
      </c>
      <c r="B422" s="17">
        <v>420</v>
      </c>
      <c r="C422" s="6">
        <v>30</v>
      </c>
      <c r="D422" s="6">
        <v>0</v>
      </c>
      <c r="E422" s="5">
        <v>100</v>
      </c>
      <c r="F422" s="5">
        <v>100</v>
      </c>
      <c r="G422" s="5">
        <v>100</v>
      </c>
      <c r="H422" s="5">
        <v>100</v>
      </c>
      <c r="I422" s="5">
        <v>100</v>
      </c>
      <c r="J422" s="5">
        <v>0</v>
      </c>
      <c r="K422" s="15" t="s">
        <v>54</v>
      </c>
      <c r="L422" s="6">
        <v>3</v>
      </c>
      <c r="M422" s="6">
        <v>0</v>
      </c>
      <c r="N422" s="6">
        <v>0</v>
      </c>
      <c r="O422" s="5">
        <v>0</v>
      </c>
      <c r="P422" s="5">
        <v>0</v>
      </c>
      <c r="Q422" s="5">
        <v>0</v>
      </c>
      <c r="R422" s="5">
        <v>0</v>
      </c>
      <c r="S422" s="5">
        <v>0</v>
      </c>
      <c r="T422" s="5">
        <v>0</v>
      </c>
      <c r="U422" s="6">
        <v>0</v>
      </c>
      <c r="V422" s="5">
        <v>10</v>
      </c>
      <c r="W422" s="5">
        <v>5</v>
      </c>
      <c r="X422" s="16">
        <v>2000</v>
      </c>
      <c r="Y422" s="16">
        <v>7000</v>
      </c>
      <c r="Z422" s="16">
        <v>14000</v>
      </c>
      <c r="AA422" s="12" t="str">
        <f t="shared" si="91"/>
        <v>0/30</v>
      </c>
      <c r="AB422" s="12" t="str">
        <f t="shared" si="92"/>
        <v>100,100,100,100,100,0</v>
      </c>
      <c r="AC422" s="12">
        <f t="shared" si="93"/>
        <v>3</v>
      </c>
      <c r="AD422" s="12" t="str">
        <f t="shared" si="94"/>
        <v>2000/7000/14000</v>
      </c>
      <c r="AE422" s="12" t="str">
        <f t="shared" si="95"/>
        <v/>
      </c>
      <c r="AF422" s="12" t="str">
        <f t="shared" si="96"/>
        <v/>
      </c>
      <c r="AG422" s="12" t="str">
        <f t="shared" si="97"/>
        <v/>
      </c>
      <c r="AH422" s="12" t="str">
        <f t="shared" si="98"/>
        <v/>
      </c>
      <c r="AI422" s="12" t="str">
        <f t="shared" si="99"/>
        <v>10/5</v>
      </c>
    </row>
    <row r="423" spans="1:35" s="8" customFormat="1" ht="21.95" customHeight="1">
      <c r="A423" s="9">
        <v>421</v>
      </c>
      <c r="B423" s="17">
        <v>421</v>
      </c>
      <c r="C423" s="6">
        <v>30</v>
      </c>
      <c r="D423" s="6">
        <v>0</v>
      </c>
      <c r="E423" s="5">
        <v>0</v>
      </c>
      <c r="F423" s="5">
        <v>100</v>
      </c>
      <c r="G423" s="5">
        <v>100</v>
      </c>
      <c r="H423" s="5">
        <v>100</v>
      </c>
      <c r="I423" s="5">
        <v>100</v>
      </c>
      <c r="J423" s="5">
        <v>100</v>
      </c>
      <c r="K423" s="15" t="s">
        <v>54</v>
      </c>
      <c r="L423" s="6">
        <v>3</v>
      </c>
      <c r="M423" s="6">
        <v>0</v>
      </c>
      <c r="N423" s="6">
        <v>0</v>
      </c>
      <c r="O423" s="5">
        <v>0</v>
      </c>
      <c r="P423" s="5">
        <v>0</v>
      </c>
      <c r="Q423" s="5">
        <v>0</v>
      </c>
      <c r="R423" s="5">
        <v>0</v>
      </c>
      <c r="S423" s="5">
        <v>0</v>
      </c>
      <c r="T423" s="5">
        <v>0</v>
      </c>
      <c r="U423" s="6">
        <v>0</v>
      </c>
      <c r="V423" s="5">
        <v>10</v>
      </c>
      <c r="W423" s="5">
        <v>5</v>
      </c>
      <c r="X423" s="16">
        <v>2000</v>
      </c>
      <c r="Y423" s="16">
        <v>7000</v>
      </c>
      <c r="Z423" s="16">
        <v>14000</v>
      </c>
      <c r="AA423" s="12" t="str">
        <f t="shared" si="91"/>
        <v>0/30</v>
      </c>
      <c r="AB423" s="12" t="str">
        <f t="shared" si="92"/>
        <v>0,100,100,100,100,100</v>
      </c>
      <c r="AC423" s="12">
        <f t="shared" si="93"/>
        <v>3</v>
      </c>
      <c r="AD423" s="12" t="str">
        <f t="shared" si="94"/>
        <v>2000/7000/14000</v>
      </c>
      <c r="AE423" s="12" t="str">
        <f t="shared" si="95"/>
        <v/>
      </c>
      <c r="AF423" s="12" t="str">
        <f t="shared" si="96"/>
        <v/>
      </c>
      <c r="AG423" s="12" t="str">
        <f t="shared" si="97"/>
        <v/>
      </c>
      <c r="AH423" s="12" t="str">
        <f t="shared" si="98"/>
        <v/>
      </c>
      <c r="AI423" s="12" t="str">
        <f t="shared" si="99"/>
        <v>10/5</v>
      </c>
    </row>
    <row r="424" spans="1:35" s="8" customFormat="1" ht="21.95" customHeight="1">
      <c r="A424" s="9">
        <v>422</v>
      </c>
      <c r="B424" s="17">
        <v>422</v>
      </c>
      <c r="C424" s="6">
        <v>30</v>
      </c>
      <c r="D424" s="6">
        <v>0</v>
      </c>
      <c r="E424" s="5">
        <v>100</v>
      </c>
      <c r="F424" s="5">
        <v>0</v>
      </c>
      <c r="G424" s="5">
        <v>100</v>
      </c>
      <c r="H424" s="5">
        <v>100</v>
      </c>
      <c r="I424" s="5">
        <v>100</v>
      </c>
      <c r="J424" s="5">
        <v>100</v>
      </c>
      <c r="K424" s="15" t="s">
        <v>55</v>
      </c>
      <c r="L424" s="6">
        <v>3</v>
      </c>
      <c r="M424" s="6">
        <v>0</v>
      </c>
      <c r="N424" s="6">
        <v>0</v>
      </c>
      <c r="O424" s="5">
        <v>0</v>
      </c>
      <c r="P424" s="5">
        <v>0</v>
      </c>
      <c r="Q424" s="5">
        <v>0</v>
      </c>
      <c r="R424" s="5">
        <v>0</v>
      </c>
      <c r="S424" s="5">
        <v>0</v>
      </c>
      <c r="T424" s="5">
        <v>0</v>
      </c>
      <c r="U424" s="6">
        <v>5</v>
      </c>
      <c r="V424" s="5">
        <v>10</v>
      </c>
      <c r="W424" s="5">
        <v>5</v>
      </c>
      <c r="X424" s="16">
        <v>2000</v>
      </c>
      <c r="Y424" s="16">
        <v>7000</v>
      </c>
      <c r="Z424" s="16">
        <v>14000</v>
      </c>
      <c r="AA424" s="12" t="str">
        <f t="shared" si="91"/>
        <v>0/30</v>
      </c>
      <c r="AB424" s="12" t="str">
        <f t="shared" si="92"/>
        <v>100,0,100,100,100,100</v>
      </c>
      <c r="AC424" s="12">
        <f t="shared" si="93"/>
        <v>4</v>
      </c>
      <c r="AD424" s="12" t="str">
        <f t="shared" si="94"/>
        <v>2000/7000/14000</v>
      </c>
      <c r="AE424" s="12" t="str">
        <f t="shared" si="95"/>
        <v/>
      </c>
      <c r="AF424" s="12" t="str">
        <f t="shared" si="96"/>
        <v/>
      </c>
      <c r="AG424" s="12" t="str">
        <f t="shared" si="97"/>
        <v/>
      </c>
      <c r="AH424" s="12" t="str">
        <f t="shared" si="98"/>
        <v/>
      </c>
      <c r="AI424" s="12" t="str">
        <f t="shared" si="99"/>
        <v>10/5</v>
      </c>
    </row>
    <row r="425" spans="1:35" s="8" customFormat="1" ht="21.95" customHeight="1">
      <c r="A425" s="9">
        <v>423</v>
      </c>
      <c r="B425" s="17">
        <v>423</v>
      </c>
      <c r="C425" s="6">
        <v>30</v>
      </c>
      <c r="D425" s="6">
        <v>0</v>
      </c>
      <c r="E425" s="5">
        <v>100</v>
      </c>
      <c r="F425" s="5">
        <v>100</v>
      </c>
      <c r="G425" s="5">
        <v>0</v>
      </c>
      <c r="H425" s="5">
        <v>100</v>
      </c>
      <c r="I425" s="5">
        <v>100</v>
      </c>
      <c r="J425" s="5">
        <v>100</v>
      </c>
      <c r="K425" s="15" t="s">
        <v>55</v>
      </c>
      <c r="L425" s="6">
        <v>3</v>
      </c>
      <c r="M425" s="6">
        <v>0</v>
      </c>
      <c r="N425" s="6">
        <v>0</v>
      </c>
      <c r="O425" s="5">
        <v>0</v>
      </c>
      <c r="P425" s="5">
        <v>0</v>
      </c>
      <c r="Q425" s="5">
        <v>0</v>
      </c>
      <c r="R425" s="5">
        <v>0</v>
      </c>
      <c r="S425" s="5">
        <v>0</v>
      </c>
      <c r="T425" s="5">
        <v>0</v>
      </c>
      <c r="U425" s="6">
        <v>5</v>
      </c>
      <c r="V425" s="5">
        <v>10</v>
      </c>
      <c r="W425" s="5">
        <v>5</v>
      </c>
      <c r="X425" s="16">
        <v>2000</v>
      </c>
      <c r="Y425" s="16">
        <v>7000</v>
      </c>
      <c r="Z425" s="16">
        <v>14000</v>
      </c>
      <c r="AA425" s="12" t="str">
        <f t="shared" si="91"/>
        <v>0/30</v>
      </c>
      <c r="AB425" s="12" t="str">
        <f t="shared" si="92"/>
        <v>100,100,0,100,100,100</v>
      </c>
      <c r="AC425" s="12">
        <f t="shared" si="93"/>
        <v>4</v>
      </c>
      <c r="AD425" s="12" t="str">
        <f t="shared" si="94"/>
        <v>2000/7000/14000</v>
      </c>
      <c r="AE425" s="12" t="str">
        <f t="shared" si="95"/>
        <v/>
      </c>
      <c r="AF425" s="12" t="str">
        <f t="shared" si="96"/>
        <v/>
      </c>
      <c r="AG425" s="12" t="str">
        <f t="shared" si="97"/>
        <v/>
      </c>
      <c r="AH425" s="12" t="str">
        <f t="shared" si="98"/>
        <v/>
      </c>
      <c r="AI425" s="12" t="str">
        <f t="shared" si="99"/>
        <v>10/5</v>
      </c>
    </row>
    <row r="426" spans="1:35" s="8" customFormat="1" ht="21.95" customHeight="1">
      <c r="A426" s="9">
        <v>424</v>
      </c>
      <c r="B426" s="17">
        <v>424</v>
      </c>
      <c r="C426" s="6">
        <v>32</v>
      </c>
      <c r="D426" s="6">
        <v>0</v>
      </c>
      <c r="E426" s="5">
        <v>100</v>
      </c>
      <c r="F426" s="5">
        <v>100</v>
      </c>
      <c r="G426" s="5">
        <v>100</v>
      </c>
      <c r="H426" s="5">
        <v>0</v>
      </c>
      <c r="I426" s="5">
        <v>100</v>
      </c>
      <c r="J426" s="5">
        <v>100</v>
      </c>
      <c r="K426" s="15" t="s">
        <v>51</v>
      </c>
      <c r="L426" s="6">
        <v>3</v>
      </c>
      <c r="M426" s="6">
        <v>0</v>
      </c>
      <c r="N426" s="6">
        <v>0</v>
      </c>
      <c r="O426" s="5">
        <v>0</v>
      </c>
      <c r="P426" s="5">
        <v>0</v>
      </c>
      <c r="Q426" s="5">
        <v>0</v>
      </c>
      <c r="R426" s="5">
        <v>0</v>
      </c>
      <c r="S426" s="5">
        <v>0</v>
      </c>
      <c r="T426" s="5">
        <v>0</v>
      </c>
      <c r="U426" s="6">
        <v>0</v>
      </c>
      <c r="V426" s="5">
        <v>10</v>
      </c>
      <c r="W426" s="5">
        <v>5</v>
      </c>
      <c r="X426" s="16">
        <v>2000</v>
      </c>
      <c r="Y426" s="16">
        <v>7000</v>
      </c>
      <c r="Z426" s="16">
        <v>14000</v>
      </c>
      <c r="AA426" s="12" t="str">
        <f t="shared" si="91"/>
        <v>0/32</v>
      </c>
      <c r="AB426" s="12" t="str">
        <f t="shared" si="92"/>
        <v>100,100,100,0,100,100</v>
      </c>
      <c r="AC426" s="12">
        <f t="shared" si="93"/>
        <v>0</v>
      </c>
      <c r="AD426" s="12" t="str">
        <f t="shared" si="94"/>
        <v>2000/7000/14000</v>
      </c>
      <c r="AE426" s="12" t="str">
        <f t="shared" si="95"/>
        <v/>
      </c>
      <c r="AF426" s="12" t="str">
        <f t="shared" si="96"/>
        <v/>
      </c>
      <c r="AG426" s="12" t="str">
        <f t="shared" si="97"/>
        <v/>
      </c>
      <c r="AH426" s="12" t="str">
        <f t="shared" si="98"/>
        <v/>
      </c>
      <c r="AI426" s="12" t="str">
        <f t="shared" si="99"/>
        <v>10/5</v>
      </c>
    </row>
    <row r="427" spans="1:35" s="8" customFormat="1" ht="21.95" customHeight="1">
      <c r="A427" s="9">
        <v>425</v>
      </c>
      <c r="B427" s="17">
        <v>425</v>
      </c>
      <c r="C427" s="6">
        <v>30</v>
      </c>
      <c r="D427" s="6">
        <v>0</v>
      </c>
      <c r="E427" s="5">
        <v>100</v>
      </c>
      <c r="F427" s="5">
        <v>100</v>
      </c>
      <c r="G427" s="5">
        <v>0</v>
      </c>
      <c r="H427" s="5">
        <v>100</v>
      </c>
      <c r="I427" s="5">
        <v>100</v>
      </c>
      <c r="J427" s="5">
        <v>100</v>
      </c>
      <c r="K427" s="15" t="s">
        <v>56</v>
      </c>
      <c r="L427" s="6">
        <v>3</v>
      </c>
      <c r="M427" s="6">
        <v>0</v>
      </c>
      <c r="N427" s="6">
        <v>0</v>
      </c>
      <c r="O427" s="5">
        <v>0</v>
      </c>
      <c r="P427" s="5">
        <v>0</v>
      </c>
      <c r="Q427" s="5">
        <v>0</v>
      </c>
      <c r="R427" s="5">
        <v>0</v>
      </c>
      <c r="S427" s="5">
        <v>0</v>
      </c>
      <c r="T427" s="5">
        <v>0</v>
      </c>
      <c r="U427" s="6">
        <v>0</v>
      </c>
      <c r="V427" s="5">
        <v>10</v>
      </c>
      <c r="W427" s="5">
        <v>5</v>
      </c>
      <c r="X427" s="16">
        <v>2000</v>
      </c>
      <c r="Y427" s="16">
        <v>7000</v>
      </c>
      <c r="Z427" s="16">
        <v>14000</v>
      </c>
      <c r="AA427" s="12" t="str">
        <f t="shared" si="91"/>
        <v>0/30</v>
      </c>
      <c r="AB427" s="12" t="str">
        <f t="shared" si="92"/>
        <v>100,100,0,100,100,100</v>
      </c>
      <c r="AC427" s="12">
        <f t="shared" si="93"/>
        <v>5</v>
      </c>
      <c r="AD427" s="12" t="str">
        <f t="shared" si="94"/>
        <v>2000/7000/14000</v>
      </c>
      <c r="AE427" s="12" t="str">
        <f t="shared" si="95"/>
        <v/>
      </c>
      <c r="AF427" s="12" t="str">
        <f t="shared" si="96"/>
        <v/>
      </c>
      <c r="AG427" s="12" t="str">
        <f t="shared" si="97"/>
        <v/>
      </c>
      <c r="AH427" s="12" t="str">
        <f t="shared" si="98"/>
        <v/>
      </c>
      <c r="AI427" s="12" t="str">
        <f t="shared" si="99"/>
        <v>10/5</v>
      </c>
    </row>
    <row r="428" spans="1:35" s="8" customFormat="1" ht="21.95" customHeight="1">
      <c r="A428" s="9">
        <v>426</v>
      </c>
      <c r="B428" s="17">
        <v>426</v>
      </c>
      <c r="C428" s="6">
        <v>30</v>
      </c>
      <c r="D428" s="6">
        <v>0</v>
      </c>
      <c r="E428" s="5">
        <v>100</v>
      </c>
      <c r="F428" s="5">
        <v>100</v>
      </c>
      <c r="G428" s="5">
        <v>100</v>
      </c>
      <c r="H428" s="5">
        <v>0</v>
      </c>
      <c r="I428" s="5">
        <v>100</v>
      </c>
      <c r="J428" s="5">
        <v>100</v>
      </c>
      <c r="K428" s="15" t="s">
        <v>53</v>
      </c>
      <c r="L428" s="6">
        <v>3</v>
      </c>
      <c r="M428" s="6">
        <v>0</v>
      </c>
      <c r="N428" s="6">
        <v>0</v>
      </c>
      <c r="O428" s="5">
        <v>0</v>
      </c>
      <c r="P428" s="5">
        <v>0</v>
      </c>
      <c r="Q428" s="5">
        <v>0</v>
      </c>
      <c r="R428" s="5">
        <v>0</v>
      </c>
      <c r="S428" s="5">
        <v>18</v>
      </c>
      <c r="T428" s="5">
        <v>16</v>
      </c>
      <c r="U428" s="6">
        <v>0</v>
      </c>
      <c r="V428" s="5">
        <v>10</v>
      </c>
      <c r="W428" s="5">
        <v>5</v>
      </c>
      <c r="X428" s="16">
        <v>2000</v>
      </c>
      <c r="Y428" s="16">
        <v>7000</v>
      </c>
      <c r="Z428" s="16">
        <v>14000</v>
      </c>
      <c r="AA428" s="12" t="str">
        <f t="shared" si="91"/>
        <v>0/30</v>
      </c>
      <c r="AB428" s="12" t="str">
        <f t="shared" si="92"/>
        <v>100,100,100,0,100,100</v>
      </c>
      <c r="AC428" s="12">
        <f t="shared" si="93"/>
        <v>2</v>
      </c>
      <c r="AD428" s="12" t="str">
        <f t="shared" si="94"/>
        <v>2000/7000/14000</v>
      </c>
      <c r="AE428" s="12" t="str">
        <f t="shared" si="95"/>
        <v/>
      </c>
      <c r="AF428" s="12" t="str">
        <f t="shared" si="96"/>
        <v/>
      </c>
      <c r="AG428" s="12" t="str">
        <f t="shared" si="97"/>
        <v>4/5/</v>
      </c>
      <c r="AH428" s="12" t="str">
        <f t="shared" si="98"/>
        <v>18/16/</v>
      </c>
      <c r="AI428" s="12" t="str">
        <f t="shared" si="99"/>
        <v>10/5</v>
      </c>
    </row>
    <row r="429" spans="1:35" s="8" customFormat="1" ht="21.95" customHeight="1">
      <c r="A429" s="9">
        <v>427</v>
      </c>
      <c r="B429" s="17">
        <v>427</v>
      </c>
      <c r="C429" s="6">
        <v>30</v>
      </c>
      <c r="D429" s="6">
        <v>0</v>
      </c>
      <c r="E429" s="5">
        <v>100</v>
      </c>
      <c r="F429" s="5">
        <v>100</v>
      </c>
      <c r="G429" s="5">
        <v>100</v>
      </c>
      <c r="H429" s="5">
        <v>100</v>
      </c>
      <c r="I429" s="5">
        <v>0</v>
      </c>
      <c r="J429" s="5">
        <v>100</v>
      </c>
      <c r="K429" s="15" t="s">
        <v>53</v>
      </c>
      <c r="L429" s="6">
        <v>3</v>
      </c>
      <c r="M429" s="6">
        <v>0</v>
      </c>
      <c r="N429" s="6">
        <v>0</v>
      </c>
      <c r="O429" s="5">
        <v>16</v>
      </c>
      <c r="P429" s="5">
        <v>0</v>
      </c>
      <c r="Q429" s="5">
        <v>0</v>
      </c>
      <c r="R429" s="5">
        <v>0</v>
      </c>
      <c r="S429" s="5">
        <v>0</v>
      </c>
      <c r="T429" s="5">
        <v>18</v>
      </c>
      <c r="U429" s="6">
        <v>0</v>
      </c>
      <c r="V429" s="5">
        <v>10</v>
      </c>
      <c r="W429" s="5">
        <v>5</v>
      </c>
      <c r="X429" s="16">
        <v>2000</v>
      </c>
      <c r="Y429" s="16">
        <v>7000</v>
      </c>
      <c r="Z429" s="16">
        <v>14000</v>
      </c>
      <c r="AA429" s="12" t="str">
        <f t="shared" si="91"/>
        <v>0/30</v>
      </c>
      <c r="AB429" s="12" t="str">
        <f t="shared" si="92"/>
        <v>100,100,100,100,0,100</v>
      </c>
      <c r="AC429" s="12">
        <f t="shared" si="93"/>
        <v>2</v>
      </c>
      <c r="AD429" s="12" t="str">
        <f t="shared" si="94"/>
        <v>2000/7000/14000</v>
      </c>
      <c r="AE429" s="12" t="str">
        <f t="shared" si="95"/>
        <v/>
      </c>
      <c r="AF429" s="12" t="str">
        <f t="shared" si="96"/>
        <v/>
      </c>
      <c r="AG429" s="12" t="str">
        <f t="shared" si="97"/>
        <v>0/5/</v>
      </c>
      <c r="AH429" s="12" t="str">
        <f t="shared" si="98"/>
        <v>16/18/</v>
      </c>
      <c r="AI429" s="12" t="str">
        <f t="shared" si="99"/>
        <v>10/5</v>
      </c>
    </row>
    <row r="430" spans="1:35" s="8" customFormat="1" ht="21.95" customHeight="1">
      <c r="A430" s="9">
        <v>428</v>
      </c>
      <c r="B430" s="17">
        <v>428</v>
      </c>
      <c r="C430" s="6">
        <v>30</v>
      </c>
      <c r="D430" s="6">
        <v>0</v>
      </c>
      <c r="E430" s="5">
        <v>100</v>
      </c>
      <c r="F430" s="5">
        <v>100</v>
      </c>
      <c r="G430" s="5">
        <v>100</v>
      </c>
      <c r="H430" s="5">
        <v>100</v>
      </c>
      <c r="I430" s="5">
        <v>100</v>
      </c>
      <c r="J430" s="5">
        <v>0</v>
      </c>
      <c r="K430" s="15" t="s">
        <v>52</v>
      </c>
      <c r="L430" s="6">
        <v>3</v>
      </c>
      <c r="M430" s="6">
        <v>6</v>
      </c>
      <c r="N430" s="6">
        <v>0</v>
      </c>
      <c r="O430" s="5">
        <v>0</v>
      </c>
      <c r="P430" s="5">
        <v>0</v>
      </c>
      <c r="Q430" s="5">
        <v>0</v>
      </c>
      <c r="R430" s="5">
        <v>0</v>
      </c>
      <c r="S430" s="5">
        <v>0</v>
      </c>
      <c r="T430" s="5">
        <v>0</v>
      </c>
      <c r="U430" s="6">
        <v>0</v>
      </c>
      <c r="V430" s="5">
        <v>10</v>
      </c>
      <c r="W430" s="5">
        <v>5</v>
      </c>
      <c r="X430" s="16">
        <v>2000</v>
      </c>
      <c r="Y430" s="16">
        <v>7000</v>
      </c>
      <c r="Z430" s="16">
        <v>14000</v>
      </c>
      <c r="AA430" s="12" t="str">
        <f t="shared" si="91"/>
        <v>0/30</v>
      </c>
      <c r="AB430" s="12" t="str">
        <f t="shared" si="92"/>
        <v>100,100,100,100,100,0</v>
      </c>
      <c r="AC430" s="12">
        <f t="shared" si="93"/>
        <v>1</v>
      </c>
      <c r="AD430" s="12" t="str">
        <f t="shared" si="94"/>
        <v>2000/7000/14000</v>
      </c>
      <c r="AE430" s="12" t="str">
        <f t="shared" si="95"/>
        <v>0/</v>
      </c>
      <c r="AF430" s="12" t="str">
        <f t="shared" si="96"/>
        <v>6/</v>
      </c>
      <c r="AG430" s="12" t="str">
        <f t="shared" si="97"/>
        <v/>
      </c>
      <c r="AH430" s="12" t="str">
        <f t="shared" si="98"/>
        <v/>
      </c>
      <c r="AI430" s="12" t="str">
        <f t="shared" si="99"/>
        <v>10/5</v>
      </c>
    </row>
    <row r="431" spans="1:35" s="8" customFormat="1" ht="21.95" customHeight="1">
      <c r="A431" s="9">
        <v>429</v>
      </c>
      <c r="B431" s="17">
        <v>429</v>
      </c>
      <c r="C431" s="6">
        <v>30</v>
      </c>
      <c r="D431" s="6">
        <v>0</v>
      </c>
      <c r="E431" s="5">
        <v>0</v>
      </c>
      <c r="F431" s="5">
        <v>100</v>
      </c>
      <c r="G431" s="5">
        <v>100</v>
      </c>
      <c r="H431" s="5">
        <v>100</v>
      </c>
      <c r="I431" s="5">
        <v>100</v>
      </c>
      <c r="J431" s="5">
        <v>100</v>
      </c>
      <c r="K431" s="15" t="s">
        <v>52</v>
      </c>
      <c r="L431" s="6">
        <v>3</v>
      </c>
      <c r="M431" s="6">
        <v>0</v>
      </c>
      <c r="N431" s="6">
        <v>6</v>
      </c>
      <c r="O431" s="5">
        <v>0</v>
      </c>
      <c r="P431" s="5">
        <v>0</v>
      </c>
      <c r="Q431" s="5">
        <v>0</v>
      </c>
      <c r="R431" s="5">
        <v>0</v>
      </c>
      <c r="S431" s="5">
        <v>0</v>
      </c>
      <c r="T431" s="5">
        <v>0</v>
      </c>
      <c r="U431" s="6">
        <v>0</v>
      </c>
      <c r="V431" s="5">
        <v>10</v>
      </c>
      <c r="W431" s="5">
        <v>5</v>
      </c>
      <c r="X431" s="16">
        <v>2000</v>
      </c>
      <c r="Y431" s="16">
        <v>7000</v>
      </c>
      <c r="Z431" s="16">
        <v>14000</v>
      </c>
      <c r="AA431" s="12" t="str">
        <f t="shared" si="91"/>
        <v>0/30</v>
      </c>
      <c r="AB431" s="12" t="str">
        <f t="shared" si="92"/>
        <v>0,100,100,100,100,100</v>
      </c>
      <c r="AC431" s="12">
        <f t="shared" si="93"/>
        <v>1</v>
      </c>
      <c r="AD431" s="12" t="str">
        <f t="shared" si="94"/>
        <v>2000/7000/14000</v>
      </c>
      <c r="AE431" s="12" t="str">
        <f t="shared" si="95"/>
        <v>1/</v>
      </c>
      <c r="AF431" s="12" t="str">
        <f t="shared" si="96"/>
        <v>6/</v>
      </c>
      <c r="AG431" s="12" t="str">
        <f t="shared" si="97"/>
        <v/>
      </c>
      <c r="AH431" s="12" t="str">
        <f t="shared" si="98"/>
        <v/>
      </c>
      <c r="AI431" s="12" t="str">
        <f t="shared" si="99"/>
        <v>10/5</v>
      </c>
    </row>
    <row r="432" spans="1:35" s="8" customFormat="1" ht="21.95" customHeight="1">
      <c r="A432" s="9">
        <v>430</v>
      </c>
      <c r="B432" s="17">
        <v>430</v>
      </c>
      <c r="C432" s="6">
        <v>0</v>
      </c>
      <c r="D432" s="6">
        <v>60</v>
      </c>
      <c r="E432" s="5">
        <v>100</v>
      </c>
      <c r="F432" s="5">
        <v>0</v>
      </c>
      <c r="G432" s="5">
        <v>100</v>
      </c>
      <c r="H432" s="5">
        <v>100</v>
      </c>
      <c r="I432" s="5">
        <v>100</v>
      </c>
      <c r="J432" s="5">
        <v>100</v>
      </c>
      <c r="K432" s="15" t="s">
        <v>54</v>
      </c>
      <c r="L432" s="6">
        <v>3</v>
      </c>
      <c r="M432" s="6">
        <v>0</v>
      </c>
      <c r="N432" s="6">
        <v>0</v>
      </c>
      <c r="O432" s="5">
        <v>0</v>
      </c>
      <c r="P432" s="5">
        <v>0</v>
      </c>
      <c r="Q432" s="5">
        <v>0</v>
      </c>
      <c r="R432" s="5">
        <v>0</v>
      </c>
      <c r="S432" s="5">
        <v>0</v>
      </c>
      <c r="T432" s="5">
        <v>0</v>
      </c>
      <c r="U432" s="6">
        <v>0</v>
      </c>
      <c r="V432" s="5">
        <v>10</v>
      </c>
      <c r="W432" s="5">
        <v>5</v>
      </c>
      <c r="X432" s="16">
        <v>2000</v>
      </c>
      <c r="Y432" s="16">
        <v>7000</v>
      </c>
      <c r="Z432" s="16">
        <v>14000</v>
      </c>
      <c r="AA432" s="12" t="str">
        <f t="shared" si="91"/>
        <v>1/60</v>
      </c>
      <c r="AB432" s="12" t="str">
        <f t="shared" si="92"/>
        <v>100,0,100,100,100,100</v>
      </c>
      <c r="AC432" s="12">
        <f t="shared" si="93"/>
        <v>3</v>
      </c>
      <c r="AD432" s="12" t="str">
        <f t="shared" si="94"/>
        <v>2000/7000/14000</v>
      </c>
      <c r="AE432" s="12" t="str">
        <f t="shared" si="95"/>
        <v/>
      </c>
      <c r="AF432" s="12" t="str">
        <f t="shared" si="96"/>
        <v/>
      </c>
      <c r="AG432" s="12" t="str">
        <f t="shared" si="97"/>
        <v/>
      </c>
      <c r="AH432" s="12" t="str">
        <f t="shared" si="98"/>
        <v/>
      </c>
      <c r="AI432" s="12" t="str">
        <f t="shared" si="99"/>
        <v>10/5</v>
      </c>
    </row>
    <row r="433" spans="1:35" s="8" customFormat="1" ht="21.95" customHeight="1">
      <c r="A433" s="9">
        <v>431</v>
      </c>
      <c r="B433" s="17">
        <v>431</v>
      </c>
      <c r="C433" s="6">
        <v>0</v>
      </c>
      <c r="D433" s="6">
        <v>60</v>
      </c>
      <c r="E433" s="5">
        <v>100</v>
      </c>
      <c r="F433" s="5">
        <v>100</v>
      </c>
      <c r="G433" s="5">
        <v>0</v>
      </c>
      <c r="H433" s="5">
        <v>100</v>
      </c>
      <c r="I433" s="5">
        <v>100</v>
      </c>
      <c r="J433" s="5">
        <v>100</v>
      </c>
      <c r="K433" s="15" t="s">
        <v>54</v>
      </c>
      <c r="L433" s="6">
        <v>3</v>
      </c>
      <c r="M433" s="6">
        <v>0</v>
      </c>
      <c r="N433" s="6">
        <v>0</v>
      </c>
      <c r="O433" s="5">
        <v>0</v>
      </c>
      <c r="P433" s="5">
        <v>0</v>
      </c>
      <c r="Q433" s="5">
        <v>0</v>
      </c>
      <c r="R433" s="5">
        <v>0</v>
      </c>
      <c r="S433" s="5">
        <v>0</v>
      </c>
      <c r="T433" s="5">
        <v>0</v>
      </c>
      <c r="U433" s="6">
        <v>0</v>
      </c>
      <c r="V433" s="5">
        <v>10</v>
      </c>
      <c r="W433" s="5">
        <v>5</v>
      </c>
      <c r="X433" s="16">
        <v>2000</v>
      </c>
      <c r="Y433" s="16">
        <v>7000</v>
      </c>
      <c r="Z433" s="16">
        <v>14000</v>
      </c>
      <c r="AA433" s="12" t="str">
        <f t="shared" si="91"/>
        <v>1/60</v>
      </c>
      <c r="AB433" s="12" t="str">
        <f t="shared" si="92"/>
        <v>100,100,0,100,100,100</v>
      </c>
      <c r="AC433" s="12">
        <f t="shared" si="93"/>
        <v>3</v>
      </c>
      <c r="AD433" s="12" t="str">
        <f t="shared" si="94"/>
        <v>2000/7000/14000</v>
      </c>
      <c r="AE433" s="12" t="str">
        <f t="shared" si="95"/>
        <v/>
      </c>
      <c r="AF433" s="12" t="str">
        <f t="shared" si="96"/>
        <v/>
      </c>
      <c r="AG433" s="12" t="str">
        <f t="shared" si="97"/>
        <v/>
      </c>
      <c r="AH433" s="12" t="str">
        <f t="shared" si="98"/>
        <v/>
      </c>
      <c r="AI433" s="12" t="str">
        <f t="shared" si="99"/>
        <v>10/5</v>
      </c>
    </row>
    <row r="434" spans="1:35" s="8" customFormat="1" ht="21.95" customHeight="1">
      <c r="A434" s="9">
        <v>432</v>
      </c>
      <c r="B434" s="17">
        <v>432</v>
      </c>
      <c r="C434" s="6">
        <v>30</v>
      </c>
      <c r="D434" s="6">
        <v>0</v>
      </c>
      <c r="E434" s="5">
        <v>100</v>
      </c>
      <c r="F434" s="5">
        <v>100</v>
      </c>
      <c r="G434" s="5">
        <v>100</v>
      </c>
      <c r="H434" s="5">
        <v>0</v>
      </c>
      <c r="I434" s="5">
        <v>100</v>
      </c>
      <c r="J434" s="5">
        <v>100</v>
      </c>
      <c r="K434" s="15" t="s">
        <v>55</v>
      </c>
      <c r="L434" s="6">
        <v>3</v>
      </c>
      <c r="M434" s="6">
        <v>0</v>
      </c>
      <c r="N434" s="6">
        <v>0</v>
      </c>
      <c r="O434" s="5">
        <v>0</v>
      </c>
      <c r="P434" s="5">
        <v>0</v>
      </c>
      <c r="Q434" s="5">
        <v>0</v>
      </c>
      <c r="R434" s="5">
        <v>0</v>
      </c>
      <c r="S434" s="5">
        <v>0</v>
      </c>
      <c r="T434" s="5">
        <v>0</v>
      </c>
      <c r="U434" s="6">
        <v>5</v>
      </c>
      <c r="V434" s="5">
        <v>10</v>
      </c>
      <c r="W434" s="5">
        <v>5</v>
      </c>
      <c r="X434" s="16">
        <v>2000</v>
      </c>
      <c r="Y434" s="16">
        <v>7000</v>
      </c>
      <c r="Z434" s="16">
        <v>14000</v>
      </c>
      <c r="AA434" s="12" t="str">
        <f t="shared" si="91"/>
        <v>0/30</v>
      </c>
      <c r="AB434" s="12" t="str">
        <f t="shared" si="92"/>
        <v>100,100,100,0,100,100</v>
      </c>
      <c r="AC434" s="12">
        <f t="shared" si="93"/>
        <v>4</v>
      </c>
      <c r="AD434" s="12" t="str">
        <f t="shared" si="94"/>
        <v>2000/7000/14000</v>
      </c>
      <c r="AE434" s="12" t="str">
        <f t="shared" si="95"/>
        <v/>
      </c>
      <c r="AF434" s="12" t="str">
        <f t="shared" si="96"/>
        <v/>
      </c>
      <c r="AG434" s="12" t="str">
        <f t="shared" si="97"/>
        <v/>
      </c>
      <c r="AH434" s="12" t="str">
        <f t="shared" si="98"/>
        <v/>
      </c>
      <c r="AI434" s="12" t="str">
        <f t="shared" si="99"/>
        <v>10/5</v>
      </c>
    </row>
    <row r="435" spans="1:35" s="8" customFormat="1" ht="21.95" customHeight="1">
      <c r="A435" s="9">
        <v>433</v>
      </c>
      <c r="B435" s="17">
        <v>433</v>
      </c>
      <c r="C435" s="6">
        <v>30</v>
      </c>
      <c r="D435" s="6">
        <v>0</v>
      </c>
      <c r="E435" s="5">
        <v>100</v>
      </c>
      <c r="F435" s="5">
        <v>100</v>
      </c>
      <c r="G435" s="5">
        <v>100</v>
      </c>
      <c r="H435" s="5">
        <v>100</v>
      </c>
      <c r="I435" s="5">
        <v>0</v>
      </c>
      <c r="J435" s="5">
        <v>100</v>
      </c>
      <c r="K435" s="15" t="s">
        <v>55</v>
      </c>
      <c r="L435" s="6">
        <v>3</v>
      </c>
      <c r="M435" s="6">
        <v>0</v>
      </c>
      <c r="N435" s="6">
        <v>0</v>
      </c>
      <c r="O435" s="5">
        <v>0</v>
      </c>
      <c r="P435" s="5">
        <v>0</v>
      </c>
      <c r="Q435" s="5">
        <v>0</v>
      </c>
      <c r="R435" s="5">
        <v>0</v>
      </c>
      <c r="S435" s="5">
        <v>0</v>
      </c>
      <c r="T435" s="5">
        <v>0</v>
      </c>
      <c r="U435" s="6">
        <v>5</v>
      </c>
      <c r="V435" s="5">
        <v>10</v>
      </c>
      <c r="W435" s="5">
        <v>5</v>
      </c>
      <c r="X435" s="16">
        <v>2000</v>
      </c>
      <c r="Y435" s="16">
        <v>7000</v>
      </c>
      <c r="Z435" s="16">
        <v>14000</v>
      </c>
      <c r="AA435" s="12" t="str">
        <f t="shared" si="91"/>
        <v>0/30</v>
      </c>
      <c r="AB435" s="12" t="str">
        <f t="shared" si="92"/>
        <v>100,100,100,100,0,100</v>
      </c>
      <c r="AC435" s="12">
        <f t="shared" si="93"/>
        <v>4</v>
      </c>
      <c r="AD435" s="12" t="str">
        <f t="shared" si="94"/>
        <v>2000/7000/14000</v>
      </c>
      <c r="AE435" s="12" t="str">
        <f t="shared" si="95"/>
        <v/>
      </c>
      <c r="AF435" s="12" t="str">
        <f t="shared" si="96"/>
        <v/>
      </c>
      <c r="AG435" s="12" t="str">
        <f t="shared" si="97"/>
        <v/>
      </c>
      <c r="AH435" s="12" t="str">
        <f t="shared" si="98"/>
        <v/>
      </c>
      <c r="AI435" s="12" t="str">
        <f t="shared" si="99"/>
        <v>10/5</v>
      </c>
    </row>
    <row r="436" spans="1:35" s="8" customFormat="1" ht="21.95" customHeight="1">
      <c r="A436" s="9">
        <v>434</v>
      </c>
      <c r="B436" s="17">
        <v>434</v>
      </c>
      <c r="C436" s="6">
        <v>30</v>
      </c>
      <c r="D436" s="6">
        <v>0</v>
      </c>
      <c r="E436" s="5">
        <v>100</v>
      </c>
      <c r="F436" s="5">
        <v>100</v>
      </c>
      <c r="G436" s="5">
        <v>100</v>
      </c>
      <c r="H436" s="5">
        <v>100</v>
      </c>
      <c r="I436" s="5">
        <v>100</v>
      </c>
      <c r="J436" s="5">
        <v>0</v>
      </c>
      <c r="K436" s="15" t="s">
        <v>56</v>
      </c>
      <c r="L436" s="6">
        <v>3</v>
      </c>
      <c r="M436" s="6">
        <v>0</v>
      </c>
      <c r="N436" s="6">
        <v>0</v>
      </c>
      <c r="O436" s="5">
        <v>0</v>
      </c>
      <c r="P436" s="5">
        <v>0</v>
      </c>
      <c r="Q436" s="5">
        <v>0</v>
      </c>
      <c r="R436" s="5">
        <v>0</v>
      </c>
      <c r="S436" s="5">
        <v>0</v>
      </c>
      <c r="T436" s="5">
        <v>0</v>
      </c>
      <c r="U436" s="6">
        <v>0</v>
      </c>
      <c r="V436" s="5">
        <v>10</v>
      </c>
      <c r="W436" s="5">
        <v>5</v>
      </c>
      <c r="X436" s="16">
        <v>2000</v>
      </c>
      <c r="Y436" s="16">
        <v>7000</v>
      </c>
      <c r="Z436" s="16">
        <v>14000</v>
      </c>
      <c r="AA436" s="12" t="str">
        <f t="shared" si="91"/>
        <v>0/30</v>
      </c>
      <c r="AB436" s="12" t="str">
        <f t="shared" si="92"/>
        <v>100,100,100,100,100,0</v>
      </c>
      <c r="AC436" s="12">
        <f t="shared" si="93"/>
        <v>5</v>
      </c>
      <c r="AD436" s="12" t="str">
        <f t="shared" si="94"/>
        <v>2000/7000/14000</v>
      </c>
      <c r="AE436" s="12" t="str">
        <f t="shared" si="95"/>
        <v/>
      </c>
      <c r="AF436" s="12" t="str">
        <f t="shared" si="96"/>
        <v/>
      </c>
      <c r="AG436" s="12" t="str">
        <f t="shared" si="97"/>
        <v/>
      </c>
      <c r="AH436" s="12" t="str">
        <f t="shared" si="98"/>
        <v/>
      </c>
      <c r="AI436" s="12" t="str">
        <f t="shared" si="99"/>
        <v>10/5</v>
      </c>
    </row>
    <row r="437" spans="1:35" s="8" customFormat="1" ht="21.95" customHeight="1">
      <c r="A437" s="9">
        <v>435</v>
      </c>
      <c r="B437" s="17">
        <v>435</v>
      </c>
      <c r="C437" s="6">
        <v>0</v>
      </c>
      <c r="D437" s="6">
        <v>60</v>
      </c>
      <c r="E437" s="5">
        <v>0</v>
      </c>
      <c r="F437" s="5">
        <v>100</v>
      </c>
      <c r="G437" s="5">
        <v>100</v>
      </c>
      <c r="H437" s="5">
        <v>100</v>
      </c>
      <c r="I437" s="5">
        <v>100</v>
      </c>
      <c r="J437" s="5">
        <v>100</v>
      </c>
      <c r="K437" s="15" t="s">
        <v>56</v>
      </c>
      <c r="L437" s="6">
        <v>3</v>
      </c>
      <c r="M437" s="6">
        <v>0</v>
      </c>
      <c r="N437" s="6">
        <v>0</v>
      </c>
      <c r="O437" s="5">
        <v>0</v>
      </c>
      <c r="P437" s="5">
        <v>0</v>
      </c>
      <c r="Q437" s="5">
        <v>0</v>
      </c>
      <c r="R437" s="5">
        <v>0</v>
      </c>
      <c r="S437" s="5">
        <v>0</v>
      </c>
      <c r="T437" s="5">
        <v>0</v>
      </c>
      <c r="U437" s="6">
        <v>0</v>
      </c>
      <c r="V437" s="5">
        <v>10</v>
      </c>
      <c r="W437" s="5">
        <v>5</v>
      </c>
      <c r="X437" s="16">
        <v>2000</v>
      </c>
      <c r="Y437" s="16">
        <v>7000</v>
      </c>
      <c r="Z437" s="16">
        <v>14000</v>
      </c>
      <c r="AA437" s="12" t="str">
        <f t="shared" si="91"/>
        <v>1/60</v>
      </c>
      <c r="AB437" s="12" t="str">
        <f t="shared" si="92"/>
        <v>0,100,100,100,100,100</v>
      </c>
      <c r="AC437" s="12">
        <f t="shared" si="93"/>
        <v>5</v>
      </c>
      <c r="AD437" s="12" t="str">
        <f t="shared" si="94"/>
        <v>2000/7000/14000</v>
      </c>
      <c r="AE437" s="12" t="str">
        <f t="shared" si="95"/>
        <v/>
      </c>
      <c r="AF437" s="12" t="str">
        <f t="shared" si="96"/>
        <v/>
      </c>
      <c r="AG437" s="12" t="str">
        <f t="shared" si="97"/>
        <v/>
      </c>
      <c r="AH437" s="12" t="str">
        <f t="shared" si="98"/>
        <v/>
      </c>
      <c r="AI437" s="12" t="str">
        <f t="shared" si="99"/>
        <v>10/5</v>
      </c>
    </row>
    <row r="438" spans="1:35" s="8" customFormat="1" ht="21.95" customHeight="1">
      <c r="A438" s="9">
        <v>436</v>
      </c>
      <c r="B438" s="17">
        <v>436</v>
      </c>
      <c r="C438" s="6">
        <v>30</v>
      </c>
      <c r="D438" s="6">
        <v>0</v>
      </c>
      <c r="E438" s="5">
        <v>100</v>
      </c>
      <c r="F438" s="5">
        <v>0</v>
      </c>
      <c r="G438" s="5">
        <v>100</v>
      </c>
      <c r="H438" s="5">
        <v>100</v>
      </c>
      <c r="I438" s="5">
        <v>100</v>
      </c>
      <c r="J438" s="5">
        <v>100</v>
      </c>
      <c r="K438" s="15" t="s">
        <v>53</v>
      </c>
      <c r="L438" s="6">
        <v>3</v>
      </c>
      <c r="M438" s="6">
        <v>0</v>
      </c>
      <c r="N438" s="6">
        <v>0</v>
      </c>
      <c r="O438" s="5">
        <v>0</v>
      </c>
      <c r="P438" s="5">
        <v>0</v>
      </c>
      <c r="Q438" s="5">
        <v>20</v>
      </c>
      <c r="R438" s="5">
        <v>24</v>
      </c>
      <c r="S438" s="5">
        <v>0</v>
      </c>
      <c r="T438" s="5">
        <v>0</v>
      </c>
      <c r="U438" s="6">
        <v>0</v>
      </c>
      <c r="V438" s="5">
        <v>10</v>
      </c>
      <c r="W438" s="5">
        <v>5</v>
      </c>
      <c r="X438" s="16">
        <v>2000</v>
      </c>
      <c r="Y438" s="16">
        <v>7000</v>
      </c>
      <c r="Z438" s="16">
        <v>14000</v>
      </c>
      <c r="AA438" s="12" t="str">
        <f t="shared" si="91"/>
        <v>0/30</v>
      </c>
      <c r="AB438" s="12" t="str">
        <f t="shared" si="92"/>
        <v>100,0,100,100,100,100</v>
      </c>
      <c r="AC438" s="12">
        <f t="shared" si="93"/>
        <v>2</v>
      </c>
      <c r="AD438" s="12" t="str">
        <f t="shared" si="94"/>
        <v>2000/7000/14000</v>
      </c>
      <c r="AE438" s="12" t="str">
        <f t="shared" si="95"/>
        <v/>
      </c>
      <c r="AF438" s="12" t="str">
        <f t="shared" si="96"/>
        <v/>
      </c>
      <c r="AG438" s="12" t="str">
        <f t="shared" si="97"/>
        <v>2/3/</v>
      </c>
      <c r="AH438" s="12" t="str">
        <f t="shared" si="98"/>
        <v>20/24/</v>
      </c>
      <c r="AI438" s="12" t="str">
        <f t="shared" si="99"/>
        <v>10/5</v>
      </c>
    </row>
    <row r="439" spans="1:35" s="8" customFormat="1" ht="21.95" customHeight="1">
      <c r="A439" s="9">
        <v>437</v>
      </c>
      <c r="B439" s="17">
        <v>437</v>
      </c>
      <c r="C439" s="6">
        <v>30</v>
      </c>
      <c r="D439" s="6">
        <v>0</v>
      </c>
      <c r="E439" s="5">
        <v>100</v>
      </c>
      <c r="F439" s="5">
        <v>100</v>
      </c>
      <c r="G439" s="5">
        <v>0</v>
      </c>
      <c r="H439" s="5">
        <v>100</v>
      </c>
      <c r="I439" s="5">
        <v>100</v>
      </c>
      <c r="J439" s="5">
        <v>100</v>
      </c>
      <c r="K439" s="15" t="s">
        <v>53</v>
      </c>
      <c r="L439" s="6">
        <v>3</v>
      </c>
      <c r="M439" s="6">
        <v>0</v>
      </c>
      <c r="N439" s="6">
        <v>0</v>
      </c>
      <c r="O439" s="5">
        <v>0</v>
      </c>
      <c r="P439" s="5">
        <v>0</v>
      </c>
      <c r="Q439" s="5">
        <v>0</v>
      </c>
      <c r="R439" s="5">
        <v>18</v>
      </c>
      <c r="S439" s="5">
        <v>32</v>
      </c>
      <c r="T439" s="5">
        <v>0</v>
      </c>
      <c r="U439" s="6">
        <v>0</v>
      </c>
      <c r="V439" s="5">
        <v>10</v>
      </c>
      <c r="W439" s="5">
        <v>5</v>
      </c>
      <c r="X439" s="16">
        <v>2000</v>
      </c>
      <c r="Y439" s="16">
        <v>7000</v>
      </c>
      <c r="Z439" s="16">
        <v>14000</v>
      </c>
      <c r="AA439" s="12" t="str">
        <f t="shared" si="91"/>
        <v>0/30</v>
      </c>
      <c r="AB439" s="12" t="str">
        <f t="shared" si="92"/>
        <v>100,100,0,100,100,100</v>
      </c>
      <c r="AC439" s="12">
        <f t="shared" si="93"/>
        <v>2</v>
      </c>
      <c r="AD439" s="12" t="str">
        <f t="shared" si="94"/>
        <v>2000/7000/14000</v>
      </c>
      <c r="AE439" s="12" t="str">
        <f t="shared" si="95"/>
        <v/>
      </c>
      <c r="AF439" s="12" t="str">
        <f t="shared" si="96"/>
        <v/>
      </c>
      <c r="AG439" s="12" t="str">
        <f t="shared" si="97"/>
        <v>3/4/</v>
      </c>
      <c r="AH439" s="12" t="str">
        <f t="shared" si="98"/>
        <v>18/32/</v>
      </c>
      <c r="AI439" s="12" t="str">
        <f t="shared" si="99"/>
        <v>10/5</v>
      </c>
    </row>
    <row r="440" spans="1:35" s="8" customFormat="1" ht="21.95" customHeight="1">
      <c r="A440" s="9">
        <v>438</v>
      </c>
      <c r="B440" s="17">
        <v>438</v>
      </c>
      <c r="C440" s="6">
        <v>30</v>
      </c>
      <c r="D440" s="6">
        <v>0</v>
      </c>
      <c r="E440" s="5">
        <v>100</v>
      </c>
      <c r="F440" s="5">
        <v>100</v>
      </c>
      <c r="G440" s="5">
        <v>100</v>
      </c>
      <c r="H440" s="5">
        <v>0</v>
      </c>
      <c r="I440" s="5">
        <v>100</v>
      </c>
      <c r="J440" s="5">
        <v>100</v>
      </c>
      <c r="K440" s="15" t="s">
        <v>52</v>
      </c>
      <c r="L440" s="6">
        <v>3</v>
      </c>
      <c r="M440" s="6">
        <v>6</v>
      </c>
      <c r="N440" s="6">
        <v>0</v>
      </c>
      <c r="O440" s="5">
        <v>0</v>
      </c>
      <c r="P440" s="5">
        <v>0</v>
      </c>
      <c r="Q440" s="5">
        <v>0</v>
      </c>
      <c r="R440" s="5">
        <v>0</v>
      </c>
      <c r="S440" s="5">
        <v>0</v>
      </c>
      <c r="T440" s="5">
        <v>0</v>
      </c>
      <c r="U440" s="6">
        <v>0</v>
      </c>
      <c r="V440" s="5">
        <v>10</v>
      </c>
      <c r="W440" s="5">
        <v>5</v>
      </c>
      <c r="X440" s="16">
        <v>2000</v>
      </c>
      <c r="Y440" s="16">
        <v>7000</v>
      </c>
      <c r="Z440" s="16">
        <v>14000</v>
      </c>
      <c r="AA440" s="12" t="str">
        <f t="shared" si="91"/>
        <v>0/30</v>
      </c>
      <c r="AB440" s="12" t="str">
        <f t="shared" si="92"/>
        <v>100,100,100,0,100,100</v>
      </c>
      <c r="AC440" s="12">
        <f t="shared" si="93"/>
        <v>1</v>
      </c>
      <c r="AD440" s="12" t="str">
        <f t="shared" si="94"/>
        <v>2000/7000/14000</v>
      </c>
      <c r="AE440" s="12" t="str">
        <f t="shared" si="95"/>
        <v>0/</v>
      </c>
      <c r="AF440" s="12" t="str">
        <f t="shared" si="96"/>
        <v>6/</v>
      </c>
      <c r="AG440" s="12" t="str">
        <f t="shared" si="97"/>
        <v/>
      </c>
      <c r="AH440" s="12" t="str">
        <f t="shared" si="98"/>
        <v/>
      </c>
      <c r="AI440" s="12" t="str">
        <f t="shared" si="99"/>
        <v>10/5</v>
      </c>
    </row>
    <row r="441" spans="1:35" s="8" customFormat="1" ht="21.95" customHeight="1">
      <c r="A441" s="9">
        <v>439</v>
      </c>
      <c r="B441" s="17">
        <v>439</v>
      </c>
      <c r="C441" s="6">
        <v>30</v>
      </c>
      <c r="D441" s="6">
        <v>0</v>
      </c>
      <c r="E441" s="5">
        <v>100</v>
      </c>
      <c r="F441" s="5">
        <v>100</v>
      </c>
      <c r="G441" s="5">
        <v>100</v>
      </c>
      <c r="H441" s="5">
        <v>100</v>
      </c>
      <c r="I441" s="5">
        <v>0</v>
      </c>
      <c r="J441" s="5">
        <v>100</v>
      </c>
      <c r="K441" s="15" t="s">
        <v>52</v>
      </c>
      <c r="L441" s="6">
        <v>3</v>
      </c>
      <c r="M441" s="6">
        <v>2</v>
      </c>
      <c r="N441" s="6">
        <v>4</v>
      </c>
      <c r="O441" s="5">
        <v>0</v>
      </c>
      <c r="P441" s="5">
        <v>0</v>
      </c>
      <c r="Q441" s="5">
        <v>0</v>
      </c>
      <c r="R441" s="5">
        <v>0</v>
      </c>
      <c r="S441" s="5">
        <v>0</v>
      </c>
      <c r="T441" s="5">
        <v>0</v>
      </c>
      <c r="U441" s="6">
        <v>0</v>
      </c>
      <c r="V441" s="5">
        <v>10</v>
      </c>
      <c r="W441" s="5">
        <v>5</v>
      </c>
      <c r="X441" s="16">
        <v>2000</v>
      </c>
      <c r="Y441" s="16">
        <v>7000</v>
      </c>
      <c r="Z441" s="16">
        <v>14000</v>
      </c>
      <c r="AA441" s="12" t="str">
        <f t="shared" si="91"/>
        <v>0/30</v>
      </c>
      <c r="AB441" s="12" t="str">
        <f t="shared" si="92"/>
        <v>100,100,100,100,0,100</v>
      </c>
      <c r="AC441" s="12">
        <f t="shared" si="93"/>
        <v>1</v>
      </c>
      <c r="AD441" s="12" t="str">
        <f t="shared" si="94"/>
        <v>2000/7000/14000</v>
      </c>
      <c r="AE441" s="12" t="str">
        <f t="shared" si="95"/>
        <v>0/1/</v>
      </c>
      <c r="AF441" s="12" t="str">
        <f t="shared" si="96"/>
        <v>2/4/</v>
      </c>
      <c r="AG441" s="12" t="str">
        <f t="shared" si="97"/>
        <v/>
      </c>
      <c r="AH441" s="12" t="str">
        <f t="shared" si="98"/>
        <v/>
      </c>
      <c r="AI441" s="12" t="str">
        <f t="shared" si="99"/>
        <v>10/5</v>
      </c>
    </row>
    <row r="442" spans="1:35" s="8" customFormat="1" ht="21.95" customHeight="1">
      <c r="A442" s="9">
        <v>440</v>
      </c>
      <c r="B442" s="17">
        <v>440</v>
      </c>
      <c r="C442" s="6">
        <v>0</v>
      </c>
      <c r="D442" s="6">
        <v>60</v>
      </c>
      <c r="E442" s="5">
        <v>100</v>
      </c>
      <c r="F442" s="5">
        <v>100</v>
      </c>
      <c r="G442" s="5">
        <v>100</v>
      </c>
      <c r="H442" s="5">
        <v>100</v>
      </c>
      <c r="I442" s="5">
        <v>100</v>
      </c>
      <c r="J442" s="5">
        <v>0</v>
      </c>
      <c r="K442" s="15" t="s">
        <v>54</v>
      </c>
      <c r="L442" s="6">
        <v>3</v>
      </c>
      <c r="M442" s="6">
        <v>0</v>
      </c>
      <c r="N442" s="6">
        <v>0</v>
      </c>
      <c r="O442" s="5">
        <v>0</v>
      </c>
      <c r="P442" s="5">
        <v>0</v>
      </c>
      <c r="Q442" s="5">
        <v>0</v>
      </c>
      <c r="R442" s="5">
        <v>0</v>
      </c>
      <c r="S442" s="5">
        <v>0</v>
      </c>
      <c r="T442" s="5">
        <v>0</v>
      </c>
      <c r="U442" s="6">
        <v>0</v>
      </c>
      <c r="V442" s="5">
        <v>10</v>
      </c>
      <c r="W442" s="5">
        <v>5</v>
      </c>
      <c r="X442" s="16">
        <v>2000</v>
      </c>
      <c r="Y442" s="16">
        <v>7000</v>
      </c>
      <c r="Z442" s="16">
        <v>14000</v>
      </c>
      <c r="AA442" s="12" t="str">
        <f t="shared" si="91"/>
        <v>1/60</v>
      </c>
      <c r="AB442" s="12" t="str">
        <f t="shared" si="92"/>
        <v>100,100,100,100,100,0</v>
      </c>
      <c r="AC442" s="12">
        <f t="shared" si="93"/>
        <v>3</v>
      </c>
      <c r="AD442" s="12" t="str">
        <f t="shared" si="94"/>
        <v>2000/7000/14000</v>
      </c>
      <c r="AE442" s="12" t="str">
        <f t="shared" si="95"/>
        <v/>
      </c>
      <c r="AF442" s="12" t="str">
        <f t="shared" si="96"/>
        <v/>
      </c>
      <c r="AG442" s="12" t="str">
        <f t="shared" si="97"/>
        <v/>
      </c>
      <c r="AH442" s="12" t="str">
        <f t="shared" si="98"/>
        <v/>
      </c>
      <c r="AI442" s="12" t="str">
        <f t="shared" si="99"/>
        <v>10/5</v>
      </c>
    </row>
    <row r="443" spans="1:35" s="8" customFormat="1" ht="21.95" customHeight="1">
      <c r="A443" s="9">
        <v>441</v>
      </c>
      <c r="B443" s="17">
        <v>441</v>
      </c>
      <c r="C443" s="6">
        <v>0</v>
      </c>
      <c r="D443" s="6">
        <v>60</v>
      </c>
      <c r="E443" s="5">
        <v>0</v>
      </c>
      <c r="F443" s="5">
        <v>100</v>
      </c>
      <c r="G443" s="5">
        <v>100</v>
      </c>
      <c r="H443" s="5">
        <v>100</v>
      </c>
      <c r="I443" s="5">
        <v>100</v>
      </c>
      <c r="J443" s="5">
        <v>100</v>
      </c>
      <c r="K443" s="15" t="s">
        <v>54</v>
      </c>
      <c r="L443" s="6">
        <v>3</v>
      </c>
      <c r="M443" s="6">
        <v>0</v>
      </c>
      <c r="N443" s="6">
        <v>0</v>
      </c>
      <c r="O443" s="5">
        <v>0</v>
      </c>
      <c r="P443" s="5">
        <v>0</v>
      </c>
      <c r="Q443" s="5">
        <v>0</v>
      </c>
      <c r="R443" s="5">
        <v>0</v>
      </c>
      <c r="S443" s="5">
        <v>0</v>
      </c>
      <c r="T443" s="5">
        <v>0</v>
      </c>
      <c r="U443" s="6">
        <v>0</v>
      </c>
      <c r="V443" s="5">
        <v>10</v>
      </c>
      <c r="W443" s="5">
        <v>5</v>
      </c>
      <c r="X443" s="16">
        <v>2000</v>
      </c>
      <c r="Y443" s="16">
        <v>7000</v>
      </c>
      <c r="Z443" s="16">
        <v>14000</v>
      </c>
      <c r="AA443" s="12" t="str">
        <f t="shared" si="91"/>
        <v>1/60</v>
      </c>
      <c r="AB443" s="12" t="str">
        <f t="shared" si="92"/>
        <v>0,100,100,100,100,100</v>
      </c>
      <c r="AC443" s="12">
        <f t="shared" si="93"/>
        <v>3</v>
      </c>
      <c r="AD443" s="12" t="str">
        <f t="shared" si="94"/>
        <v>2000/7000/14000</v>
      </c>
      <c r="AE443" s="12" t="str">
        <f t="shared" si="95"/>
        <v/>
      </c>
      <c r="AF443" s="12" t="str">
        <f t="shared" si="96"/>
        <v/>
      </c>
      <c r="AG443" s="12" t="str">
        <f t="shared" si="97"/>
        <v/>
      </c>
      <c r="AH443" s="12" t="str">
        <f t="shared" si="98"/>
        <v/>
      </c>
      <c r="AI443" s="12" t="str">
        <f t="shared" si="99"/>
        <v>10/5</v>
      </c>
    </row>
    <row r="444" spans="1:35" s="8" customFormat="1" ht="21.95" customHeight="1">
      <c r="A444" s="9">
        <v>442</v>
      </c>
      <c r="B444" s="17">
        <v>442</v>
      </c>
      <c r="C444" s="6">
        <v>30</v>
      </c>
      <c r="D444" s="6">
        <v>0</v>
      </c>
      <c r="E444" s="5">
        <v>100</v>
      </c>
      <c r="F444" s="5">
        <v>0</v>
      </c>
      <c r="G444" s="5">
        <v>100</v>
      </c>
      <c r="H444" s="5">
        <v>100</v>
      </c>
      <c r="I444" s="5">
        <v>100</v>
      </c>
      <c r="J444" s="5">
        <v>100</v>
      </c>
      <c r="K444" s="15" t="s">
        <v>55</v>
      </c>
      <c r="L444" s="6">
        <v>3</v>
      </c>
      <c r="M444" s="6">
        <v>0</v>
      </c>
      <c r="N444" s="6">
        <v>0</v>
      </c>
      <c r="O444" s="5">
        <v>0</v>
      </c>
      <c r="P444" s="5">
        <v>0</v>
      </c>
      <c r="Q444" s="5">
        <v>0</v>
      </c>
      <c r="R444" s="5">
        <v>0</v>
      </c>
      <c r="S444" s="5">
        <v>0</v>
      </c>
      <c r="T444" s="5">
        <v>0</v>
      </c>
      <c r="U444" s="6">
        <v>5</v>
      </c>
      <c r="V444" s="5">
        <v>10</v>
      </c>
      <c r="W444" s="5">
        <v>5</v>
      </c>
      <c r="X444" s="16">
        <v>2000</v>
      </c>
      <c r="Y444" s="16">
        <v>7000</v>
      </c>
      <c r="Z444" s="16">
        <v>14000</v>
      </c>
      <c r="AA444" s="12" t="str">
        <f t="shared" si="91"/>
        <v>0/30</v>
      </c>
      <c r="AB444" s="12" t="str">
        <f t="shared" si="92"/>
        <v>100,0,100,100,100,100</v>
      </c>
      <c r="AC444" s="12">
        <f t="shared" si="93"/>
        <v>4</v>
      </c>
      <c r="AD444" s="12" t="str">
        <f t="shared" si="94"/>
        <v>2000/7000/14000</v>
      </c>
      <c r="AE444" s="12" t="str">
        <f t="shared" si="95"/>
        <v/>
      </c>
      <c r="AF444" s="12" t="str">
        <f t="shared" si="96"/>
        <v/>
      </c>
      <c r="AG444" s="12" t="str">
        <f t="shared" si="97"/>
        <v/>
      </c>
      <c r="AH444" s="12" t="str">
        <f t="shared" si="98"/>
        <v/>
      </c>
      <c r="AI444" s="12" t="str">
        <f t="shared" si="99"/>
        <v>10/5</v>
      </c>
    </row>
    <row r="445" spans="1:35" s="8" customFormat="1" ht="21.95" customHeight="1">
      <c r="A445" s="9">
        <v>443</v>
      </c>
      <c r="B445" s="17">
        <v>443</v>
      </c>
      <c r="C445" s="6">
        <v>30</v>
      </c>
      <c r="D445" s="6">
        <v>0</v>
      </c>
      <c r="E445" s="5">
        <v>100</v>
      </c>
      <c r="F445" s="5">
        <v>100</v>
      </c>
      <c r="G445" s="5">
        <v>0</v>
      </c>
      <c r="H445" s="5">
        <v>100</v>
      </c>
      <c r="I445" s="5">
        <v>100</v>
      </c>
      <c r="J445" s="5">
        <v>100</v>
      </c>
      <c r="K445" s="15" t="s">
        <v>55</v>
      </c>
      <c r="L445" s="6">
        <v>3</v>
      </c>
      <c r="M445" s="6">
        <v>0</v>
      </c>
      <c r="N445" s="6">
        <v>0</v>
      </c>
      <c r="O445" s="5">
        <v>0</v>
      </c>
      <c r="P445" s="5">
        <v>0</v>
      </c>
      <c r="Q445" s="5">
        <v>0</v>
      </c>
      <c r="R445" s="5">
        <v>0</v>
      </c>
      <c r="S445" s="5">
        <v>0</v>
      </c>
      <c r="T445" s="5">
        <v>0</v>
      </c>
      <c r="U445" s="6">
        <v>5</v>
      </c>
      <c r="V445" s="5">
        <v>10</v>
      </c>
      <c r="W445" s="5">
        <v>5</v>
      </c>
      <c r="X445" s="16">
        <v>2000</v>
      </c>
      <c r="Y445" s="16">
        <v>7000</v>
      </c>
      <c r="Z445" s="16">
        <v>14000</v>
      </c>
      <c r="AA445" s="12" t="str">
        <f t="shared" si="91"/>
        <v>0/30</v>
      </c>
      <c r="AB445" s="12" t="str">
        <f t="shared" si="92"/>
        <v>100,100,0,100,100,100</v>
      </c>
      <c r="AC445" s="12">
        <f t="shared" si="93"/>
        <v>4</v>
      </c>
      <c r="AD445" s="12" t="str">
        <f t="shared" si="94"/>
        <v>2000/7000/14000</v>
      </c>
      <c r="AE445" s="12" t="str">
        <f t="shared" si="95"/>
        <v/>
      </c>
      <c r="AF445" s="12" t="str">
        <f t="shared" si="96"/>
        <v/>
      </c>
      <c r="AG445" s="12" t="str">
        <f t="shared" si="97"/>
        <v/>
      </c>
      <c r="AH445" s="12" t="str">
        <f t="shared" si="98"/>
        <v/>
      </c>
      <c r="AI445" s="12" t="str">
        <f t="shared" si="99"/>
        <v>10/5</v>
      </c>
    </row>
    <row r="446" spans="1:35" s="8" customFormat="1" ht="21.95" customHeight="1">
      <c r="A446" s="9">
        <v>444</v>
      </c>
      <c r="B446" s="17">
        <v>444</v>
      </c>
      <c r="C446" s="6">
        <v>32</v>
      </c>
      <c r="D446" s="6">
        <v>0</v>
      </c>
      <c r="E446" s="5">
        <v>100</v>
      </c>
      <c r="F446" s="5">
        <v>100</v>
      </c>
      <c r="G446" s="5">
        <v>100</v>
      </c>
      <c r="H446" s="5">
        <v>0</v>
      </c>
      <c r="I446" s="5">
        <v>100</v>
      </c>
      <c r="J446" s="5">
        <v>100</v>
      </c>
      <c r="K446" s="15" t="s">
        <v>51</v>
      </c>
      <c r="L446" s="6">
        <v>3</v>
      </c>
      <c r="M446" s="6">
        <v>0</v>
      </c>
      <c r="N446" s="6">
        <v>0</v>
      </c>
      <c r="O446" s="5">
        <v>0</v>
      </c>
      <c r="P446" s="5">
        <v>0</v>
      </c>
      <c r="Q446" s="5">
        <v>0</v>
      </c>
      <c r="R446" s="5">
        <v>0</v>
      </c>
      <c r="S446" s="5">
        <v>0</v>
      </c>
      <c r="T446" s="5">
        <v>0</v>
      </c>
      <c r="U446" s="6">
        <v>0</v>
      </c>
      <c r="V446" s="5">
        <v>10</v>
      </c>
      <c r="W446" s="5">
        <v>5</v>
      </c>
      <c r="X446" s="16">
        <v>2000</v>
      </c>
      <c r="Y446" s="16">
        <v>7000</v>
      </c>
      <c r="Z446" s="16">
        <v>14000</v>
      </c>
      <c r="AA446" s="12" t="str">
        <f t="shared" si="91"/>
        <v>0/32</v>
      </c>
      <c r="AB446" s="12" t="str">
        <f t="shared" si="92"/>
        <v>100,100,100,0,100,100</v>
      </c>
      <c r="AC446" s="12">
        <f t="shared" si="93"/>
        <v>0</v>
      </c>
      <c r="AD446" s="12" t="str">
        <f t="shared" si="94"/>
        <v>2000/7000/14000</v>
      </c>
      <c r="AE446" s="12" t="str">
        <f t="shared" si="95"/>
        <v/>
      </c>
      <c r="AF446" s="12" t="str">
        <f t="shared" si="96"/>
        <v/>
      </c>
      <c r="AG446" s="12" t="str">
        <f t="shared" si="97"/>
        <v/>
      </c>
      <c r="AH446" s="12" t="str">
        <f t="shared" si="98"/>
        <v/>
      </c>
      <c r="AI446" s="12" t="str">
        <f t="shared" si="99"/>
        <v>10/5</v>
      </c>
    </row>
    <row r="447" spans="1:35" s="8" customFormat="1" ht="21.95" customHeight="1">
      <c r="A447" s="9">
        <v>445</v>
      </c>
      <c r="B447" s="17">
        <v>445</v>
      </c>
      <c r="C447" s="6">
        <v>30</v>
      </c>
      <c r="D447" s="6">
        <v>0</v>
      </c>
      <c r="E447" s="5">
        <v>100</v>
      </c>
      <c r="F447" s="5">
        <v>100</v>
      </c>
      <c r="G447" s="5">
        <v>100</v>
      </c>
      <c r="H447" s="5">
        <v>100</v>
      </c>
      <c r="I447" s="5">
        <v>0</v>
      </c>
      <c r="J447" s="5">
        <v>100</v>
      </c>
      <c r="K447" s="15" t="s">
        <v>53</v>
      </c>
      <c r="L447" s="6">
        <v>3</v>
      </c>
      <c r="M447" s="6">
        <v>0</v>
      </c>
      <c r="N447" s="6">
        <v>0</v>
      </c>
      <c r="O447" s="5">
        <v>16</v>
      </c>
      <c r="P447" s="5">
        <v>0</v>
      </c>
      <c r="Q447" s="5">
        <v>0</v>
      </c>
      <c r="R447" s="5">
        <v>0</v>
      </c>
      <c r="S447" s="5">
        <v>0</v>
      </c>
      <c r="T447" s="5">
        <v>18</v>
      </c>
      <c r="U447" s="6">
        <v>0</v>
      </c>
      <c r="V447" s="5">
        <v>10</v>
      </c>
      <c r="W447" s="5">
        <v>5</v>
      </c>
      <c r="X447" s="16">
        <v>2000</v>
      </c>
      <c r="Y447" s="16">
        <v>7000</v>
      </c>
      <c r="Z447" s="16">
        <v>14000</v>
      </c>
      <c r="AA447" s="12" t="str">
        <f t="shared" si="91"/>
        <v>0/30</v>
      </c>
      <c r="AB447" s="12" t="str">
        <f t="shared" si="92"/>
        <v>100,100,100,100,0,100</v>
      </c>
      <c r="AC447" s="12">
        <f t="shared" si="93"/>
        <v>2</v>
      </c>
      <c r="AD447" s="12" t="str">
        <f t="shared" si="94"/>
        <v>2000/7000/14000</v>
      </c>
      <c r="AE447" s="12" t="str">
        <f t="shared" si="95"/>
        <v/>
      </c>
      <c r="AF447" s="12" t="str">
        <f t="shared" si="96"/>
        <v/>
      </c>
      <c r="AG447" s="12" t="str">
        <f t="shared" si="97"/>
        <v>0/5/</v>
      </c>
      <c r="AH447" s="12" t="str">
        <f t="shared" si="98"/>
        <v>16/18/</v>
      </c>
      <c r="AI447" s="12" t="str">
        <f t="shared" si="99"/>
        <v>10/5</v>
      </c>
    </row>
    <row r="448" spans="1:35" s="8" customFormat="1" ht="21.95" customHeight="1">
      <c r="A448" s="9">
        <v>446</v>
      </c>
      <c r="B448" s="17">
        <v>446</v>
      </c>
      <c r="C448" s="6">
        <v>30</v>
      </c>
      <c r="D448" s="6">
        <v>0</v>
      </c>
      <c r="E448" s="5">
        <v>100</v>
      </c>
      <c r="F448" s="5">
        <v>100</v>
      </c>
      <c r="G448" s="5">
        <v>100</v>
      </c>
      <c r="H448" s="5">
        <v>100</v>
      </c>
      <c r="I448" s="5">
        <v>100</v>
      </c>
      <c r="J448" s="5">
        <v>0</v>
      </c>
      <c r="K448" s="15" t="s">
        <v>52</v>
      </c>
      <c r="L448" s="6">
        <v>3</v>
      </c>
      <c r="M448" s="6">
        <v>6</v>
      </c>
      <c r="N448" s="6">
        <v>0</v>
      </c>
      <c r="O448" s="5">
        <v>0</v>
      </c>
      <c r="P448" s="5">
        <v>0</v>
      </c>
      <c r="Q448" s="5">
        <v>0</v>
      </c>
      <c r="R448" s="5">
        <v>0</v>
      </c>
      <c r="S448" s="5">
        <v>0</v>
      </c>
      <c r="T448" s="5">
        <v>0</v>
      </c>
      <c r="U448" s="6">
        <v>0</v>
      </c>
      <c r="V448" s="5">
        <v>10</v>
      </c>
      <c r="W448" s="5">
        <v>5</v>
      </c>
      <c r="X448" s="16">
        <v>2000</v>
      </c>
      <c r="Y448" s="16">
        <v>7000</v>
      </c>
      <c r="Z448" s="16">
        <v>14000</v>
      </c>
      <c r="AA448" s="12" t="str">
        <f t="shared" si="91"/>
        <v>0/30</v>
      </c>
      <c r="AB448" s="12" t="str">
        <f t="shared" si="92"/>
        <v>100,100,100,100,100,0</v>
      </c>
      <c r="AC448" s="12">
        <f t="shared" si="93"/>
        <v>1</v>
      </c>
      <c r="AD448" s="12" t="str">
        <f t="shared" si="94"/>
        <v>2000/7000/14000</v>
      </c>
      <c r="AE448" s="12" t="str">
        <f t="shared" si="95"/>
        <v>0/</v>
      </c>
      <c r="AF448" s="12" t="str">
        <f t="shared" si="96"/>
        <v>6/</v>
      </c>
      <c r="AG448" s="12" t="str">
        <f t="shared" si="97"/>
        <v/>
      </c>
      <c r="AH448" s="12" t="str">
        <f t="shared" si="98"/>
        <v/>
      </c>
      <c r="AI448" s="12" t="str">
        <f t="shared" si="99"/>
        <v>10/5</v>
      </c>
    </row>
    <row r="449" spans="1:35" s="8" customFormat="1" ht="21.95" customHeight="1">
      <c r="A449" s="9">
        <v>447</v>
      </c>
      <c r="B449" s="17">
        <v>447</v>
      </c>
      <c r="C449" s="6">
        <v>30</v>
      </c>
      <c r="D449" s="6">
        <v>0</v>
      </c>
      <c r="E449" s="5">
        <v>0</v>
      </c>
      <c r="F449" s="5">
        <v>100</v>
      </c>
      <c r="G449" s="5">
        <v>100</v>
      </c>
      <c r="H449" s="5">
        <v>100</v>
      </c>
      <c r="I449" s="5">
        <v>100</v>
      </c>
      <c r="J449" s="5">
        <v>100</v>
      </c>
      <c r="K449" s="15" t="s">
        <v>52</v>
      </c>
      <c r="L449" s="6">
        <v>3</v>
      </c>
      <c r="M449" s="6">
        <v>0</v>
      </c>
      <c r="N449" s="6">
        <v>6</v>
      </c>
      <c r="O449" s="5">
        <v>0</v>
      </c>
      <c r="P449" s="5">
        <v>0</v>
      </c>
      <c r="Q449" s="5">
        <v>0</v>
      </c>
      <c r="R449" s="5">
        <v>0</v>
      </c>
      <c r="S449" s="5">
        <v>0</v>
      </c>
      <c r="T449" s="5">
        <v>0</v>
      </c>
      <c r="U449" s="6">
        <v>0</v>
      </c>
      <c r="V449" s="5">
        <v>10</v>
      </c>
      <c r="W449" s="5">
        <v>5</v>
      </c>
      <c r="X449" s="16">
        <v>2000</v>
      </c>
      <c r="Y449" s="16">
        <v>7000</v>
      </c>
      <c r="Z449" s="16">
        <v>14000</v>
      </c>
      <c r="AA449" s="12" t="str">
        <f t="shared" si="91"/>
        <v>0/30</v>
      </c>
      <c r="AB449" s="12" t="str">
        <f t="shared" si="92"/>
        <v>0,100,100,100,100,100</v>
      </c>
      <c r="AC449" s="12">
        <f t="shared" si="93"/>
        <v>1</v>
      </c>
      <c r="AD449" s="12" t="str">
        <f t="shared" si="94"/>
        <v>2000/7000/14000</v>
      </c>
      <c r="AE449" s="12" t="str">
        <f t="shared" si="95"/>
        <v>1/</v>
      </c>
      <c r="AF449" s="12" t="str">
        <f t="shared" si="96"/>
        <v>6/</v>
      </c>
      <c r="AG449" s="12" t="str">
        <f t="shared" si="97"/>
        <v/>
      </c>
      <c r="AH449" s="12" t="str">
        <f t="shared" si="98"/>
        <v/>
      </c>
      <c r="AI449" s="12" t="str">
        <f t="shared" si="99"/>
        <v>10/5</v>
      </c>
    </row>
    <row r="450" spans="1:35" s="8" customFormat="1" ht="21.95" customHeight="1">
      <c r="A450" s="9">
        <v>448</v>
      </c>
      <c r="B450" s="17">
        <v>448</v>
      </c>
      <c r="C450" s="6">
        <v>0</v>
      </c>
      <c r="D450" s="6">
        <v>60</v>
      </c>
      <c r="E450" s="5">
        <v>100</v>
      </c>
      <c r="F450" s="5">
        <v>0</v>
      </c>
      <c r="G450" s="5">
        <v>100</v>
      </c>
      <c r="H450" s="5">
        <v>100</v>
      </c>
      <c r="I450" s="5">
        <v>100</v>
      </c>
      <c r="J450" s="5">
        <v>100</v>
      </c>
      <c r="K450" s="15" t="s">
        <v>54</v>
      </c>
      <c r="L450" s="6">
        <v>3</v>
      </c>
      <c r="M450" s="6">
        <v>0</v>
      </c>
      <c r="N450" s="6">
        <v>0</v>
      </c>
      <c r="O450" s="5">
        <v>0</v>
      </c>
      <c r="P450" s="5">
        <v>0</v>
      </c>
      <c r="Q450" s="5">
        <v>0</v>
      </c>
      <c r="R450" s="5">
        <v>0</v>
      </c>
      <c r="S450" s="5">
        <v>0</v>
      </c>
      <c r="T450" s="5">
        <v>0</v>
      </c>
      <c r="U450" s="6">
        <v>0</v>
      </c>
      <c r="V450" s="5">
        <v>10</v>
      </c>
      <c r="W450" s="5">
        <v>5</v>
      </c>
      <c r="X450" s="16">
        <v>2000</v>
      </c>
      <c r="Y450" s="16">
        <v>7000</v>
      </c>
      <c r="Z450" s="16">
        <v>14000</v>
      </c>
      <c r="AA450" s="12" t="str">
        <f t="shared" si="91"/>
        <v>1/60</v>
      </c>
      <c r="AB450" s="12" t="str">
        <f t="shared" si="92"/>
        <v>100,0,100,100,100,100</v>
      </c>
      <c r="AC450" s="12">
        <f t="shared" si="93"/>
        <v>3</v>
      </c>
      <c r="AD450" s="12" t="str">
        <f t="shared" si="94"/>
        <v>2000/7000/14000</v>
      </c>
      <c r="AE450" s="12" t="str">
        <f t="shared" si="95"/>
        <v/>
      </c>
      <c r="AF450" s="12" t="str">
        <f t="shared" si="96"/>
        <v/>
      </c>
      <c r="AG450" s="12" t="str">
        <f t="shared" si="97"/>
        <v/>
      </c>
      <c r="AH450" s="12" t="str">
        <f t="shared" si="98"/>
        <v/>
      </c>
      <c r="AI450" s="12" t="str">
        <f t="shared" si="99"/>
        <v>10/5</v>
      </c>
    </row>
    <row r="451" spans="1:35" s="8" customFormat="1" ht="21.95" customHeight="1">
      <c r="A451" s="9">
        <v>449</v>
      </c>
      <c r="B451" s="17">
        <v>449</v>
      </c>
      <c r="C451" s="6">
        <v>0</v>
      </c>
      <c r="D451" s="6">
        <v>60</v>
      </c>
      <c r="E451" s="5">
        <v>100</v>
      </c>
      <c r="F451" s="5">
        <v>100</v>
      </c>
      <c r="G451" s="5">
        <v>0</v>
      </c>
      <c r="H451" s="5">
        <v>100</v>
      </c>
      <c r="I451" s="5">
        <v>100</v>
      </c>
      <c r="J451" s="5">
        <v>100</v>
      </c>
      <c r="K451" s="15" t="s">
        <v>54</v>
      </c>
      <c r="L451" s="6">
        <v>3</v>
      </c>
      <c r="M451" s="6">
        <v>0</v>
      </c>
      <c r="N451" s="6">
        <v>0</v>
      </c>
      <c r="O451" s="5">
        <v>0</v>
      </c>
      <c r="P451" s="5">
        <v>0</v>
      </c>
      <c r="Q451" s="5">
        <v>0</v>
      </c>
      <c r="R451" s="5">
        <v>0</v>
      </c>
      <c r="S451" s="5">
        <v>0</v>
      </c>
      <c r="T451" s="5">
        <v>0</v>
      </c>
      <c r="U451" s="6">
        <v>0</v>
      </c>
      <c r="V451" s="5">
        <v>10</v>
      </c>
      <c r="W451" s="5">
        <v>5</v>
      </c>
      <c r="X451" s="16">
        <v>2000</v>
      </c>
      <c r="Y451" s="16">
        <v>7000</v>
      </c>
      <c r="Z451" s="16">
        <v>14000</v>
      </c>
      <c r="AA451" s="12" t="str">
        <f t="shared" si="91"/>
        <v>1/60</v>
      </c>
      <c r="AB451" s="12" t="str">
        <f t="shared" si="92"/>
        <v>100,100,0,100,100,100</v>
      </c>
      <c r="AC451" s="12">
        <f t="shared" si="93"/>
        <v>3</v>
      </c>
      <c r="AD451" s="12" t="str">
        <f t="shared" si="94"/>
        <v>2000/7000/14000</v>
      </c>
      <c r="AE451" s="12" t="str">
        <f t="shared" si="95"/>
        <v/>
      </c>
      <c r="AF451" s="12" t="str">
        <f t="shared" si="96"/>
        <v/>
      </c>
      <c r="AG451" s="12" t="str">
        <f t="shared" si="97"/>
        <v/>
      </c>
      <c r="AH451" s="12" t="str">
        <f t="shared" si="98"/>
        <v/>
      </c>
      <c r="AI451" s="12" t="str">
        <f t="shared" si="99"/>
        <v>10/5</v>
      </c>
    </row>
    <row r="452" spans="1:35" s="8" customFormat="1" ht="21.95" customHeight="1">
      <c r="A452" s="9">
        <v>450</v>
      </c>
      <c r="B452" s="17">
        <v>450</v>
      </c>
      <c r="C452" s="6">
        <v>30</v>
      </c>
      <c r="D452" s="6">
        <v>0</v>
      </c>
      <c r="E452" s="5">
        <v>100</v>
      </c>
      <c r="F452" s="5">
        <v>100</v>
      </c>
      <c r="G452" s="5">
        <v>100</v>
      </c>
      <c r="H452" s="5">
        <v>0</v>
      </c>
      <c r="I452" s="5">
        <v>100</v>
      </c>
      <c r="J452" s="5">
        <v>100</v>
      </c>
      <c r="K452" s="15" t="s">
        <v>55</v>
      </c>
      <c r="L452" s="6">
        <v>3</v>
      </c>
      <c r="M452" s="6">
        <v>0</v>
      </c>
      <c r="N452" s="6">
        <v>0</v>
      </c>
      <c r="O452" s="5">
        <v>0</v>
      </c>
      <c r="P452" s="5">
        <v>0</v>
      </c>
      <c r="Q452" s="5">
        <v>0</v>
      </c>
      <c r="R452" s="5">
        <v>0</v>
      </c>
      <c r="S452" s="5">
        <v>0</v>
      </c>
      <c r="T452" s="5">
        <v>0</v>
      </c>
      <c r="U452" s="6">
        <v>5</v>
      </c>
      <c r="V452" s="5">
        <v>10</v>
      </c>
      <c r="W452" s="5">
        <v>5</v>
      </c>
      <c r="X452" s="16">
        <v>2000</v>
      </c>
      <c r="Y452" s="16">
        <v>7000</v>
      </c>
      <c r="Z452" s="16">
        <v>14000</v>
      </c>
      <c r="AA452" s="12" t="str">
        <f t="shared" si="91"/>
        <v>0/30</v>
      </c>
      <c r="AB452" s="12" t="str">
        <f t="shared" si="92"/>
        <v>100,100,100,0,100,100</v>
      </c>
      <c r="AC452" s="12">
        <f t="shared" si="93"/>
        <v>4</v>
      </c>
      <c r="AD452" s="12" t="str">
        <f t="shared" si="94"/>
        <v>2000/7000/14000</v>
      </c>
      <c r="AE452" s="12" t="str">
        <f t="shared" si="95"/>
        <v/>
      </c>
      <c r="AF452" s="12" t="str">
        <f t="shared" si="96"/>
        <v/>
      </c>
      <c r="AG452" s="12" t="str">
        <f t="shared" si="97"/>
        <v/>
      </c>
      <c r="AH452" s="12" t="str">
        <f t="shared" si="98"/>
        <v/>
      </c>
      <c r="AI452" s="12" t="str">
        <f t="shared" si="99"/>
        <v>10/5</v>
      </c>
    </row>
    <row r="453" spans="1:35" s="8" customFormat="1" ht="21.95" customHeight="1">
      <c r="A453" s="9">
        <v>451</v>
      </c>
      <c r="B453" s="17">
        <v>451</v>
      </c>
      <c r="C453" s="6">
        <v>30</v>
      </c>
      <c r="D453" s="6">
        <v>0</v>
      </c>
      <c r="E453" s="5">
        <v>100</v>
      </c>
      <c r="F453" s="5">
        <v>100</v>
      </c>
      <c r="G453" s="5">
        <v>100</v>
      </c>
      <c r="H453" s="5">
        <v>100</v>
      </c>
      <c r="I453" s="5">
        <v>0</v>
      </c>
      <c r="J453" s="5">
        <v>100</v>
      </c>
      <c r="K453" s="15" t="s">
        <v>55</v>
      </c>
      <c r="L453" s="6">
        <v>3</v>
      </c>
      <c r="M453" s="6">
        <v>0</v>
      </c>
      <c r="N453" s="6">
        <v>0</v>
      </c>
      <c r="O453" s="5">
        <v>0</v>
      </c>
      <c r="P453" s="5">
        <v>0</v>
      </c>
      <c r="Q453" s="5">
        <v>0</v>
      </c>
      <c r="R453" s="5">
        <v>0</v>
      </c>
      <c r="S453" s="5">
        <v>0</v>
      </c>
      <c r="T453" s="5">
        <v>0</v>
      </c>
      <c r="U453" s="6">
        <v>5</v>
      </c>
      <c r="V453" s="5">
        <v>10</v>
      </c>
      <c r="W453" s="5">
        <v>5</v>
      </c>
      <c r="X453" s="16">
        <v>2000</v>
      </c>
      <c r="Y453" s="16">
        <v>7000</v>
      </c>
      <c r="Z453" s="16">
        <v>14000</v>
      </c>
      <c r="AA453" s="12" t="str">
        <f t="shared" si="91"/>
        <v>0/30</v>
      </c>
      <c r="AB453" s="12" t="str">
        <f t="shared" si="92"/>
        <v>100,100,100,100,0,100</v>
      </c>
      <c r="AC453" s="12">
        <f t="shared" si="93"/>
        <v>4</v>
      </c>
      <c r="AD453" s="12" t="str">
        <f t="shared" si="94"/>
        <v>2000/7000/14000</v>
      </c>
      <c r="AE453" s="12" t="str">
        <f t="shared" si="95"/>
        <v/>
      </c>
      <c r="AF453" s="12" t="str">
        <f t="shared" si="96"/>
        <v/>
      </c>
      <c r="AG453" s="12" t="str">
        <f t="shared" si="97"/>
        <v/>
      </c>
      <c r="AH453" s="12" t="str">
        <f t="shared" si="98"/>
        <v/>
      </c>
      <c r="AI453" s="12" t="str">
        <f t="shared" si="99"/>
        <v>10/5</v>
      </c>
    </row>
    <row r="454" spans="1:35" s="8" customFormat="1" ht="21.95" customHeight="1">
      <c r="A454" s="9">
        <v>452</v>
      </c>
      <c r="B454" s="17">
        <v>452</v>
      </c>
      <c r="C454" s="6">
        <v>30</v>
      </c>
      <c r="D454" s="6">
        <v>0</v>
      </c>
      <c r="E454" s="5">
        <v>100</v>
      </c>
      <c r="F454" s="5">
        <v>100</v>
      </c>
      <c r="G454" s="5">
        <v>100</v>
      </c>
      <c r="H454" s="5">
        <v>100</v>
      </c>
      <c r="I454" s="5">
        <v>100</v>
      </c>
      <c r="J454" s="5">
        <v>0</v>
      </c>
      <c r="K454" s="15" t="s">
        <v>56</v>
      </c>
      <c r="L454" s="6">
        <v>3</v>
      </c>
      <c r="M454" s="6">
        <v>0</v>
      </c>
      <c r="N454" s="6">
        <v>0</v>
      </c>
      <c r="O454" s="5">
        <v>0</v>
      </c>
      <c r="P454" s="5">
        <v>0</v>
      </c>
      <c r="Q454" s="5">
        <v>0</v>
      </c>
      <c r="R454" s="5">
        <v>0</v>
      </c>
      <c r="S454" s="5">
        <v>0</v>
      </c>
      <c r="T454" s="5">
        <v>0</v>
      </c>
      <c r="U454" s="6">
        <v>0</v>
      </c>
      <c r="V454" s="5">
        <v>10</v>
      </c>
      <c r="W454" s="5">
        <v>5</v>
      </c>
      <c r="X454" s="16">
        <v>2000</v>
      </c>
      <c r="Y454" s="16">
        <v>7000</v>
      </c>
      <c r="Z454" s="16">
        <v>14000</v>
      </c>
      <c r="AA454" s="12" t="str">
        <f t="shared" si="91"/>
        <v>0/30</v>
      </c>
      <c r="AB454" s="12" t="str">
        <f t="shared" si="92"/>
        <v>100,100,100,100,100,0</v>
      </c>
      <c r="AC454" s="12">
        <f t="shared" si="93"/>
        <v>5</v>
      </c>
      <c r="AD454" s="12" t="str">
        <f t="shared" si="94"/>
        <v>2000/7000/14000</v>
      </c>
      <c r="AE454" s="12" t="str">
        <f t="shared" si="95"/>
        <v/>
      </c>
      <c r="AF454" s="12" t="str">
        <f t="shared" si="96"/>
        <v/>
      </c>
      <c r="AG454" s="12" t="str">
        <f t="shared" si="97"/>
        <v/>
      </c>
      <c r="AH454" s="12" t="str">
        <f t="shared" si="98"/>
        <v/>
      </c>
      <c r="AI454" s="12" t="str">
        <f t="shared" si="99"/>
        <v>10/5</v>
      </c>
    </row>
    <row r="455" spans="1:35" s="8" customFormat="1" ht="21.95" customHeight="1">
      <c r="A455" s="9">
        <v>453</v>
      </c>
      <c r="B455" s="17">
        <v>453</v>
      </c>
      <c r="C455" s="6">
        <v>0</v>
      </c>
      <c r="D455" s="6">
        <v>60</v>
      </c>
      <c r="E455" s="5">
        <v>0</v>
      </c>
      <c r="F455" s="5">
        <v>100</v>
      </c>
      <c r="G455" s="5">
        <v>100</v>
      </c>
      <c r="H455" s="5">
        <v>100</v>
      </c>
      <c r="I455" s="5">
        <v>100</v>
      </c>
      <c r="J455" s="5">
        <v>100</v>
      </c>
      <c r="K455" s="15" t="s">
        <v>56</v>
      </c>
      <c r="L455" s="6">
        <v>3</v>
      </c>
      <c r="M455" s="6">
        <v>0</v>
      </c>
      <c r="N455" s="6">
        <v>0</v>
      </c>
      <c r="O455" s="5">
        <v>0</v>
      </c>
      <c r="P455" s="5">
        <v>0</v>
      </c>
      <c r="Q455" s="5">
        <v>0</v>
      </c>
      <c r="R455" s="5">
        <v>0</v>
      </c>
      <c r="S455" s="5">
        <v>0</v>
      </c>
      <c r="T455" s="5">
        <v>0</v>
      </c>
      <c r="U455" s="6">
        <v>0</v>
      </c>
      <c r="V455" s="5">
        <v>10</v>
      </c>
      <c r="W455" s="5">
        <v>5</v>
      </c>
      <c r="X455" s="16">
        <v>2000</v>
      </c>
      <c r="Y455" s="16">
        <v>7000</v>
      </c>
      <c r="Z455" s="16">
        <v>14000</v>
      </c>
      <c r="AA455" s="12" t="str">
        <f t="shared" si="91"/>
        <v>1/60</v>
      </c>
      <c r="AB455" s="12" t="str">
        <f t="shared" si="92"/>
        <v>0,100,100,100,100,100</v>
      </c>
      <c r="AC455" s="12">
        <f t="shared" si="93"/>
        <v>5</v>
      </c>
      <c r="AD455" s="12" t="str">
        <f t="shared" si="94"/>
        <v>2000/7000/14000</v>
      </c>
      <c r="AE455" s="12" t="str">
        <f t="shared" si="95"/>
        <v/>
      </c>
      <c r="AF455" s="12" t="str">
        <f t="shared" si="96"/>
        <v/>
      </c>
      <c r="AG455" s="12" t="str">
        <f t="shared" si="97"/>
        <v/>
      </c>
      <c r="AH455" s="12" t="str">
        <f t="shared" si="98"/>
        <v/>
      </c>
      <c r="AI455" s="12" t="str">
        <f t="shared" si="99"/>
        <v>10/5</v>
      </c>
    </row>
    <row r="456" spans="1:35" s="8" customFormat="1" ht="21.95" customHeight="1">
      <c r="A456" s="9">
        <v>454</v>
      </c>
      <c r="B456" s="17">
        <v>454</v>
      </c>
      <c r="C456" s="6">
        <v>0</v>
      </c>
      <c r="D456" s="6">
        <v>60</v>
      </c>
      <c r="E456" s="5">
        <v>0</v>
      </c>
      <c r="F456" s="5">
        <v>100</v>
      </c>
      <c r="G456" s="5">
        <v>100</v>
      </c>
      <c r="H456" s="5">
        <v>100</v>
      </c>
      <c r="I456" s="5">
        <v>100</v>
      </c>
      <c r="J456" s="5">
        <v>100</v>
      </c>
      <c r="K456" s="15" t="s">
        <v>56</v>
      </c>
      <c r="L456" s="6">
        <v>3</v>
      </c>
      <c r="M456" s="6">
        <v>0</v>
      </c>
      <c r="N456" s="6">
        <v>0</v>
      </c>
      <c r="O456" s="5">
        <v>0</v>
      </c>
      <c r="P456" s="5">
        <v>0</v>
      </c>
      <c r="Q456" s="5">
        <v>0</v>
      </c>
      <c r="R456" s="5">
        <v>0</v>
      </c>
      <c r="S456" s="5">
        <v>0</v>
      </c>
      <c r="T456" s="5">
        <v>0</v>
      </c>
      <c r="U456" s="6">
        <v>0</v>
      </c>
      <c r="V456" s="5">
        <v>10</v>
      </c>
      <c r="W456" s="5">
        <v>5</v>
      </c>
      <c r="X456" s="16">
        <v>2000</v>
      </c>
      <c r="Y456" s="16">
        <v>7000</v>
      </c>
      <c r="Z456" s="16">
        <v>14000</v>
      </c>
      <c r="AA456" s="12" t="str">
        <f t="shared" si="91"/>
        <v>1/60</v>
      </c>
      <c r="AB456" s="12" t="str">
        <f t="shared" si="92"/>
        <v>0,100,100,100,100,100</v>
      </c>
      <c r="AC456" s="12">
        <f t="shared" si="93"/>
        <v>5</v>
      </c>
      <c r="AD456" s="12" t="str">
        <f t="shared" si="94"/>
        <v>2000/7000/14000</v>
      </c>
      <c r="AE456" s="12" t="str">
        <f t="shared" si="95"/>
        <v/>
      </c>
      <c r="AF456" s="12" t="str">
        <f t="shared" si="96"/>
        <v/>
      </c>
      <c r="AG456" s="12" t="str">
        <f t="shared" si="97"/>
        <v/>
      </c>
      <c r="AH456" s="12" t="str">
        <f t="shared" si="98"/>
        <v/>
      </c>
      <c r="AI456" s="12" t="str">
        <f t="shared" si="99"/>
        <v>10/5</v>
      </c>
    </row>
    <row r="457" spans="1:35" s="8" customFormat="1" ht="21.95" customHeight="1">
      <c r="A457" s="9">
        <v>455</v>
      </c>
      <c r="B457" s="17">
        <v>455</v>
      </c>
      <c r="C457" s="6">
        <v>30</v>
      </c>
      <c r="D457" s="6">
        <v>0</v>
      </c>
      <c r="E457" s="5">
        <v>100</v>
      </c>
      <c r="F457" s="5">
        <v>0</v>
      </c>
      <c r="G457" s="5">
        <v>100</v>
      </c>
      <c r="H457" s="5">
        <v>100</v>
      </c>
      <c r="I457" s="5">
        <v>100</v>
      </c>
      <c r="J457" s="5">
        <v>100</v>
      </c>
      <c r="K457" s="15" t="s">
        <v>53</v>
      </c>
      <c r="L457" s="6">
        <v>3</v>
      </c>
      <c r="M457" s="6">
        <v>0</v>
      </c>
      <c r="N457" s="6">
        <v>0</v>
      </c>
      <c r="O457" s="5">
        <v>0</v>
      </c>
      <c r="P457" s="5">
        <v>0</v>
      </c>
      <c r="Q457" s="5">
        <v>20</v>
      </c>
      <c r="R457" s="5">
        <v>24</v>
      </c>
      <c r="S457" s="5">
        <v>0</v>
      </c>
      <c r="T457" s="5">
        <v>0</v>
      </c>
      <c r="U457" s="6">
        <v>0</v>
      </c>
      <c r="V457" s="5">
        <v>10</v>
      </c>
      <c r="W457" s="5">
        <v>5</v>
      </c>
      <c r="X457" s="16">
        <v>2000</v>
      </c>
      <c r="Y457" s="16">
        <v>7000</v>
      </c>
      <c r="Z457" s="16">
        <v>14000</v>
      </c>
      <c r="AA457" s="12" t="str">
        <f t="shared" si="91"/>
        <v>0/30</v>
      </c>
      <c r="AB457" s="12" t="str">
        <f t="shared" si="92"/>
        <v>100,0,100,100,100,100</v>
      </c>
      <c r="AC457" s="12">
        <f t="shared" si="93"/>
        <v>2</v>
      </c>
      <c r="AD457" s="12" t="str">
        <f t="shared" si="94"/>
        <v>2000/7000/14000</v>
      </c>
      <c r="AE457" s="12" t="str">
        <f t="shared" si="95"/>
        <v/>
      </c>
      <c r="AF457" s="12" t="str">
        <f t="shared" si="96"/>
        <v/>
      </c>
      <c r="AG457" s="12" t="str">
        <f t="shared" si="97"/>
        <v>2/3/</v>
      </c>
      <c r="AH457" s="12" t="str">
        <f t="shared" si="98"/>
        <v>20/24/</v>
      </c>
      <c r="AI457" s="12" t="str">
        <f t="shared" si="99"/>
        <v>10/5</v>
      </c>
    </row>
    <row r="458" spans="1:35" s="8" customFormat="1" ht="21.95" customHeight="1">
      <c r="A458" s="9">
        <v>456</v>
      </c>
      <c r="B458" s="17">
        <v>456</v>
      </c>
      <c r="C458" s="6">
        <v>30</v>
      </c>
      <c r="D458" s="6">
        <v>0</v>
      </c>
      <c r="E458" s="5">
        <v>100</v>
      </c>
      <c r="F458" s="5">
        <v>100</v>
      </c>
      <c r="G458" s="5">
        <v>0</v>
      </c>
      <c r="H458" s="5">
        <v>100</v>
      </c>
      <c r="I458" s="5">
        <v>100</v>
      </c>
      <c r="J458" s="5">
        <v>100</v>
      </c>
      <c r="K458" s="15" t="s">
        <v>53</v>
      </c>
      <c r="L458" s="6">
        <v>3</v>
      </c>
      <c r="M458" s="6">
        <v>0</v>
      </c>
      <c r="N458" s="6">
        <v>0</v>
      </c>
      <c r="O458" s="5">
        <v>0</v>
      </c>
      <c r="P458" s="5">
        <v>0</v>
      </c>
      <c r="Q458" s="5">
        <v>0</v>
      </c>
      <c r="R458" s="5">
        <v>18</v>
      </c>
      <c r="S458" s="5">
        <v>32</v>
      </c>
      <c r="T458" s="5">
        <v>0</v>
      </c>
      <c r="U458" s="6">
        <v>0</v>
      </c>
      <c r="V458" s="5">
        <v>10</v>
      </c>
      <c r="W458" s="5">
        <v>5</v>
      </c>
      <c r="X458" s="16">
        <v>2000</v>
      </c>
      <c r="Y458" s="16">
        <v>7000</v>
      </c>
      <c r="Z458" s="16">
        <v>14000</v>
      </c>
      <c r="AA458" s="12" t="str">
        <f t="shared" si="91"/>
        <v>0/30</v>
      </c>
      <c r="AB458" s="12" t="str">
        <f t="shared" si="92"/>
        <v>100,100,0,100,100,100</v>
      </c>
      <c r="AC458" s="12">
        <f t="shared" si="93"/>
        <v>2</v>
      </c>
      <c r="AD458" s="12" t="str">
        <f t="shared" si="94"/>
        <v>2000/7000/14000</v>
      </c>
      <c r="AE458" s="12" t="str">
        <f t="shared" si="95"/>
        <v/>
      </c>
      <c r="AF458" s="12" t="str">
        <f t="shared" si="96"/>
        <v/>
      </c>
      <c r="AG458" s="12" t="str">
        <f t="shared" si="97"/>
        <v>3/4/</v>
      </c>
      <c r="AH458" s="12" t="str">
        <f t="shared" si="98"/>
        <v>18/32/</v>
      </c>
      <c r="AI458" s="12" t="str">
        <f t="shared" si="99"/>
        <v>10/5</v>
      </c>
    </row>
    <row r="459" spans="1:35" s="8" customFormat="1" ht="21.95" customHeight="1">
      <c r="A459" s="9">
        <v>457</v>
      </c>
      <c r="B459" s="17">
        <v>457</v>
      </c>
      <c r="C459" s="6">
        <v>30</v>
      </c>
      <c r="D459" s="6">
        <v>0</v>
      </c>
      <c r="E459" s="5">
        <v>100</v>
      </c>
      <c r="F459" s="5">
        <v>100</v>
      </c>
      <c r="G459" s="5">
        <v>100</v>
      </c>
      <c r="H459" s="5">
        <v>0</v>
      </c>
      <c r="I459" s="5">
        <v>100</v>
      </c>
      <c r="J459" s="5">
        <v>100</v>
      </c>
      <c r="K459" s="15" t="s">
        <v>52</v>
      </c>
      <c r="L459" s="6">
        <v>3</v>
      </c>
      <c r="M459" s="6">
        <v>6</v>
      </c>
      <c r="N459" s="6">
        <v>0</v>
      </c>
      <c r="O459" s="5">
        <v>0</v>
      </c>
      <c r="P459" s="5">
        <v>0</v>
      </c>
      <c r="Q459" s="5">
        <v>0</v>
      </c>
      <c r="R459" s="5">
        <v>0</v>
      </c>
      <c r="S459" s="5">
        <v>0</v>
      </c>
      <c r="T459" s="5">
        <v>0</v>
      </c>
      <c r="U459" s="6">
        <v>0</v>
      </c>
      <c r="V459" s="5">
        <v>10</v>
      </c>
      <c r="W459" s="5">
        <v>5</v>
      </c>
      <c r="X459" s="16">
        <v>2000</v>
      </c>
      <c r="Y459" s="16">
        <v>7000</v>
      </c>
      <c r="Z459" s="16">
        <v>14000</v>
      </c>
      <c r="AA459" s="12" t="str">
        <f t="shared" si="91"/>
        <v>0/30</v>
      </c>
      <c r="AB459" s="12" t="str">
        <f t="shared" si="92"/>
        <v>100,100,100,0,100,100</v>
      </c>
      <c r="AC459" s="12">
        <f t="shared" si="93"/>
        <v>1</v>
      </c>
      <c r="AD459" s="12" t="str">
        <f t="shared" si="94"/>
        <v>2000/7000/14000</v>
      </c>
      <c r="AE459" s="12" t="str">
        <f t="shared" si="95"/>
        <v>0/</v>
      </c>
      <c r="AF459" s="12" t="str">
        <f t="shared" si="96"/>
        <v>6/</v>
      </c>
      <c r="AG459" s="12" t="str">
        <f t="shared" si="97"/>
        <v/>
      </c>
      <c r="AH459" s="12" t="str">
        <f t="shared" si="98"/>
        <v/>
      </c>
      <c r="AI459" s="12" t="str">
        <f t="shared" si="99"/>
        <v>10/5</v>
      </c>
    </row>
    <row r="460" spans="1:35" s="8" customFormat="1" ht="21.95" customHeight="1">
      <c r="A460" s="9">
        <v>458</v>
      </c>
      <c r="B460" s="17">
        <v>458</v>
      </c>
      <c r="C460" s="6">
        <v>30</v>
      </c>
      <c r="D460" s="6">
        <v>0</v>
      </c>
      <c r="E460" s="5">
        <v>100</v>
      </c>
      <c r="F460" s="5">
        <v>100</v>
      </c>
      <c r="G460" s="5">
        <v>100</v>
      </c>
      <c r="H460" s="5">
        <v>100</v>
      </c>
      <c r="I460" s="5">
        <v>0</v>
      </c>
      <c r="J460" s="5">
        <v>100</v>
      </c>
      <c r="K460" s="15" t="s">
        <v>52</v>
      </c>
      <c r="L460" s="6">
        <v>3</v>
      </c>
      <c r="M460" s="6">
        <v>2</v>
      </c>
      <c r="N460" s="6">
        <v>4</v>
      </c>
      <c r="O460" s="5">
        <v>0</v>
      </c>
      <c r="P460" s="5">
        <v>0</v>
      </c>
      <c r="Q460" s="5">
        <v>0</v>
      </c>
      <c r="R460" s="5">
        <v>0</v>
      </c>
      <c r="S460" s="5">
        <v>0</v>
      </c>
      <c r="T460" s="5">
        <v>0</v>
      </c>
      <c r="U460" s="6">
        <v>0</v>
      </c>
      <c r="V460" s="5">
        <v>10</v>
      </c>
      <c r="W460" s="5">
        <v>5</v>
      </c>
      <c r="X460" s="16">
        <v>2000</v>
      </c>
      <c r="Y460" s="16">
        <v>7000</v>
      </c>
      <c r="Z460" s="16">
        <v>14000</v>
      </c>
      <c r="AA460" s="12" t="str">
        <f t="shared" si="91"/>
        <v>0/30</v>
      </c>
      <c r="AB460" s="12" t="str">
        <f t="shared" si="92"/>
        <v>100,100,100,100,0,100</v>
      </c>
      <c r="AC460" s="12">
        <f t="shared" si="93"/>
        <v>1</v>
      </c>
      <c r="AD460" s="12" t="str">
        <f t="shared" si="94"/>
        <v>2000/7000/14000</v>
      </c>
      <c r="AE460" s="12" t="str">
        <f t="shared" si="95"/>
        <v>0/1/</v>
      </c>
      <c r="AF460" s="12" t="str">
        <f t="shared" si="96"/>
        <v>2/4/</v>
      </c>
      <c r="AG460" s="12" t="str">
        <f t="shared" si="97"/>
        <v/>
      </c>
      <c r="AH460" s="12" t="str">
        <f t="shared" si="98"/>
        <v/>
      </c>
      <c r="AI460" s="12" t="str">
        <f t="shared" si="99"/>
        <v>10/5</v>
      </c>
    </row>
    <row r="461" spans="1:35" s="8" customFormat="1" ht="21.95" customHeight="1">
      <c r="A461" s="9">
        <v>459</v>
      </c>
      <c r="B461" s="17">
        <v>459</v>
      </c>
      <c r="C461" s="6">
        <v>0</v>
      </c>
      <c r="D461" s="6">
        <v>60</v>
      </c>
      <c r="E461" s="5">
        <v>100</v>
      </c>
      <c r="F461" s="5">
        <v>100</v>
      </c>
      <c r="G461" s="5">
        <v>100</v>
      </c>
      <c r="H461" s="5">
        <v>100</v>
      </c>
      <c r="I461" s="5">
        <v>100</v>
      </c>
      <c r="J461" s="5">
        <v>0</v>
      </c>
      <c r="K461" s="15" t="s">
        <v>54</v>
      </c>
      <c r="L461" s="6">
        <v>3</v>
      </c>
      <c r="M461" s="6">
        <v>0</v>
      </c>
      <c r="N461" s="6">
        <v>0</v>
      </c>
      <c r="O461" s="5">
        <v>0</v>
      </c>
      <c r="P461" s="5">
        <v>0</v>
      </c>
      <c r="Q461" s="5">
        <v>0</v>
      </c>
      <c r="R461" s="5">
        <v>0</v>
      </c>
      <c r="S461" s="5">
        <v>0</v>
      </c>
      <c r="T461" s="5">
        <v>0</v>
      </c>
      <c r="U461" s="6">
        <v>0</v>
      </c>
      <c r="V461" s="5">
        <v>10</v>
      </c>
      <c r="W461" s="5">
        <v>5</v>
      </c>
      <c r="X461" s="16">
        <v>2000</v>
      </c>
      <c r="Y461" s="16">
        <v>7000</v>
      </c>
      <c r="Z461" s="16">
        <v>14000</v>
      </c>
      <c r="AA461" s="12" t="str">
        <f t="shared" si="91"/>
        <v>1/60</v>
      </c>
      <c r="AB461" s="12" t="str">
        <f t="shared" si="92"/>
        <v>100,100,100,100,100,0</v>
      </c>
      <c r="AC461" s="12">
        <f t="shared" si="93"/>
        <v>3</v>
      </c>
      <c r="AD461" s="12" t="str">
        <f t="shared" si="94"/>
        <v>2000/7000/14000</v>
      </c>
      <c r="AE461" s="12" t="str">
        <f t="shared" si="95"/>
        <v/>
      </c>
      <c r="AF461" s="12" t="str">
        <f t="shared" si="96"/>
        <v/>
      </c>
      <c r="AG461" s="12" t="str">
        <f t="shared" si="97"/>
        <v/>
      </c>
      <c r="AH461" s="12" t="str">
        <f t="shared" si="98"/>
        <v/>
      </c>
      <c r="AI461" s="12" t="str">
        <f t="shared" si="99"/>
        <v>10/5</v>
      </c>
    </row>
    <row r="462" spans="1:35" s="8" customFormat="1" ht="21.95" customHeight="1">
      <c r="A462" s="9">
        <v>460</v>
      </c>
      <c r="B462" s="17">
        <v>460</v>
      </c>
      <c r="C462" s="6">
        <v>0</v>
      </c>
      <c r="D462" s="6">
        <v>60</v>
      </c>
      <c r="E462" s="5">
        <v>0</v>
      </c>
      <c r="F462" s="5">
        <v>100</v>
      </c>
      <c r="G462" s="5">
        <v>100</v>
      </c>
      <c r="H462" s="5">
        <v>100</v>
      </c>
      <c r="I462" s="5">
        <v>100</v>
      </c>
      <c r="J462" s="5">
        <v>100</v>
      </c>
      <c r="K462" s="15" t="s">
        <v>54</v>
      </c>
      <c r="L462" s="6">
        <v>3</v>
      </c>
      <c r="M462" s="6">
        <v>0</v>
      </c>
      <c r="N462" s="6">
        <v>0</v>
      </c>
      <c r="O462" s="5">
        <v>0</v>
      </c>
      <c r="P462" s="5">
        <v>0</v>
      </c>
      <c r="Q462" s="5">
        <v>0</v>
      </c>
      <c r="R462" s="5">
        <v>0</v>
      </c>
      <c r="S462" s="5">
        <v>0</v>
      </c>
      <c r="T462" s="5">
        <v>0</v>
      </c>
      <c r="U462" s="6">
        <v>0</v>
      </c>
      <c r="V462" s="5">
        <v>10</v>
      </c>
      <c r="W462" s="5">
        <v>5</v>
      </c>
      <c r="X462" s="16">
        <v>2000</v>
      </c>
      <c r="Y462" s="16">
        <v>7000</v>
      </c>
      <c r="Z462" s="16">
        <v>14000</v>
      </c>
      <c r="AA462" s="12" t="str">
        <f t="shared" si="91"/>
        <v>1/60</v>
      </c>
      <c r="AB462" s="12" t="str">
        <f t="shared" si="92"/>
        <v>0,100,100,100,100,100</v>
      </c>
      <c r="AC462" s="12">
        <f t="shared" si="93"/>
        <v>3</v>
      </c>
      <c r="AD462" s="12" t="str">
        <f t="shared" si="94"/>
        <v>2000/7000/14000</v>
      </c>
      <c r="AE462" s="12" t="str">
        <f t="shared" si="95"/>
        <v/>
      </c>
      <c r="AF462" s="12" t="str">
        <f t="shared" si="96"/>
        <v/>
      </c>
      <c r="AG462" s="12" t="str">
        <f t="shared" si="97"/>
        <v/>
      </c>
      <c r="AH462" s="12" t="str">
        <f t="shared" si="98"/>
        <v/>
      </c>
      <c r="AI462" s="12" t="str">
        <f t="shared" si="99"/>
        <v>10/5</v>
      </c>
    </row>
    <row r="463" spans="1:35" s="8" customFormat="1" ht="21.95" customHeight="1">
      <c r="A463" s="9">
        <v>461</v>
      </c>
      <c r="B463" s="17">
        <v>461</v>
      </c>
      <c r="C463" s="6">
        <v>30</v>
      </c>
      <c r="D463" s="6">
        <v>0</v>
      </c>
      <c r="E463" s="5">
        <v>100</v>
      </c>
      <c r="F463" s="5">
        <v>0</v>
      </c>
      <c r="G463" s="5">
        <v>100</v>
      </c>
      <c r="H463" s="5">
        <v>100</v>
      </c>
      <c r="I463" s="5">
        <v>100</v>
      </c>
      <c r="J463" s="5">
        <v>100</v>
      </c>
      <c r="K463" s="15" t="s">
        <v>55</v>
      </c>
      <c r="L463" s="6">
        <v>3</v>
      </c>
      <c r="M463" s="6">
        <v>0</v>
      </c>
      <c r="N463" s="6">
        <v>0</v>
      </c>
      <c r="O463" s="5">
        <v>0</v>
      </c>
      <c r="P463" s="5">
        <v>0</v>
      </c>
      <c r="Q463" s="5">
        <v>0</v>
      </c>
      <c r="R463" s="5">
        <v>0</v>
      </c>
      <c r="S463" s="5">
        <v>0</v>
      </c>
      <c r="T463" s="5">
        <v>0</v>
      </c>
      <c r="U463" s="6">
        <v>5</v>
      </c>
      <c r="V463" s="5">
        <v>10</v>
      </c>
      <c r="W463" s="5">
        <v>5</v>
      </c>
      <c r="X463" s="16">
        <v>2000</v>
      </c>
      <c r="Y463" s="16">
        <v>7000</v>
      </c>
      <c r="Z463" s="16">
        <v>14000</v>
      </c>
      <c r="AA463" s="12" t="str">
        <f t="shared" si="91"/>
        <v>0/30</v>
      </c>
      <c r="AB463" s="12" t="str">
        <f t="shared" si="92"/>
        <v>100,0,100,100,100,100</v>
      </c>
      <c r="AC463" s="12">
        <f t="shared" si="93"/>
        <v>4</v>
      </c>
      <c r="AD463" s="12" t="str">
        <f t="shared" si="94"/>
        <v>2000/7000/14000</v>
      </c>
      <c r="AE463" s="12" t="str">
        <f t="shared" si="95"/>
        <v/>
      </c>
      <c r="AF463" s="12" t="str">
        <f t="shared" si="96"/>
        <v/>
      </c>
      <c r="AG463" s="12" t="str">
        <f t="shared" si="97"/>
        <v/>
      </c>
      <c r="AH463" s="12" t="str">
        <f t="shared" si="98"/>
        <v/>
      </c>
      <c r="AI463" s="12" t="str">
        <f t="shared" si="99"/>
        <v>10/5</v>
      </c>
    </row>
    <row r="464" spans="1:35" s="8" customFormat="1" ht="21.95" customHeight="1">
      <c r="A464" s="9">
        <v>462</v>
      </c>
      <c r="B464" s="17">
        <v>462</v>
      </c>
      <c r="C464" s="6">
        <v>30</v>
      </c>
      <c r="D464" s="6">
        <v>0</v>
      </c>
      <c r="E464" s="5">
        <v>100</v>
      </c>
      <c r="F464" s="5">
        <v>100</v>
      </c>
      <c r="G464" s="5">
        <v>0</v>
      </c>
      <c r="H464" s="5">
        <v>100</v>
      </c>
      <c r="I464" s="5">
        <v>100</v>
      </c>
      <c r="J464" s="5">
        <v>100</v>
      </c>
      <c r="K464" s="15" t="s">
        <v>55</v>
      </c>
      <c r="L464" s="6">
        <v>3</v>
      </c>
      <c r="M464" s="6">
        <v>0</v>
      </c>
      <c r="N464" s="6">
        <v>0</v>
      </c>
      <c r="O464" s="5">
        <v>0</v>
      </c>
      <c r="P464" s="5">
        <v>0</v>
      </c>
      <c r="Q464" s="5">
        <v>0</v>
      </c>
      <c r="R464" s="5">
        <v>0</v>
      </c>
      <c r="S464" s="5">
        <v>0</v>
      </c>
      <c r="T464" s="5">
        <v>0</v>
      </c>
      <c r="U464" s="6">
        <v>5</v>
      </c>
      <c r="V464" s="5">
        <v>10</v>
      </c>
      <c r="W464" s="5">
        <v>5</v>
      </c>
      <c r="X464" s="16">
        <v>2000</v>
      </c>
      <c r="Y464" s="16">
        <v>7000</v>
      </c>
      <c r="Z464" s="16">
        <v>14000</v>
      </c>
      <c r="AA464" s="12" t="str">
        <f t="shared" si="91"/>
        <v>0/30</v>
      </c>
      <c r="AB464" s="12" t="str">
        <f t="shared" si="92"/>
        <v>100,100,0,100,100,100</v>
      </c>
      <c r="AC464" s="12">
        <f t="shared" si="93"/>
        <v>4</v>
      </c>
      <c r="AD464" s="12" t="str">
        <f t="shared" si="94"/>
        <v>2000/7000/14000</v>
      </c>
      <c r="AE464" s="12" t="str">
        <f t="shared" si="95"/>
        <v/>
      </c>
      <c r="AF464" s="12" t="str">
        <f t="shared" si="96"/>
        <v/>
      </c>
      <c r="AG464" s="12" t="str">
        <f t="shared" si="97"/>
        <v/>
      </c>
      <c r="AH464" s="12" t="str">
        <f t="shared" si="98"/>
        <v/>
      </c>
      <c r="AI464" s="12" t="str">
        <f t="shared" si="99"/>
        <v>10/5</v>
      </c>
    </row>
    <row r="465" spans="1:35" s="8" customFormat="1" ht="21.95" customHeight="1">
      <c r="A465" s="9">
        <v>463</v>
      </c>
      <c r="B465" s="17">
        <v>463</v>
      </c>
      <c r="C465" s="6">
        <v>32</v>
      </c>
      <c r="D465" s="6">
        <v>0</v>
      </c>
      <c r="E465" s="5">
        <v>100</v>
      </c>
      <c r="F465" s="5">
        <v>100</v>
      </c>
      <c r="G465" s="5">
        <v>100</v>
      </c>
      <c r="H465" s="5">
        <v>0</v>
      </c>
      <c r="I465" s="5">
        <v>100</v>
      </c>
      <c r="J465" s="5">
        <v>100</v>
      </c>
      <c r="K465" s="15" t="s">
        <v>51</v>
      </c>
      <c r="L465" s="6">
        <v>3</v>
      </c>
      <c r="M465" s="6">
        <v>0</v>
      </c>
      <c r="N465" s="6">
        <v>0</v>
      </c>
      <c r="O465" s="5">
        <v>0</v>
      </c>
      <c r="P465" s="5">
        <v>0</v>
      </c>
      <c r="Q465" s="5">
        <v>0</v>
      </c>
      <c r="R465" s="5">
        <v>0</v>
      </c>
      <c r="S465" s="5">
        <v>0</v>
      </c>
      <c r="T465" s="5">
        <v>0</v>
      </c>
      <c r="U465" s="6">
        <v>0</v>
      </c>
      <c r="V465" s="5">
        <v>10</v>
      </c>
      <c r="W465" s="5">
        <v>5</v>
      </c>
      <c r="X465" s="16">
        <v>2000</v>
      </c>
      <c r="Y465" s="16">
        <v>7000</v>
      </c>
      <c r="Z465" s="16">
        <v>14000</v>
      </c>
      <c r="AA465" s="12" t="str">
        <f t="shared" si="91"/>
        <v>0/32</v>
      </c>
      <c r="AB465" s="12" t="str">
        <f t="shared" si="92"/>
        <v>100,100,100,0,100,100</v>
      </c>
      <c r="AC465" s="12">
        <f t="shared" si="93"/>
        <v>0</v>
      </c>
      <c r="AD465" s="12" t="str">
        <f t="shared" si="94"/>
        <v>2000/7000/14000</v>
      </c>
      <c r="AE465" s="12" t="str">
        <f t="shared" si="95"/>
        <v/>
      </c>
      <c r="AF465" s="12" t="str">
        <f t="shared" si="96"/>
        <v/>
      </c>
      <c r="AG465" s="12" t="str">
        <f t="shared" si="97"/>
        <v/>
      </c>
      <c r="AH465" s="12" t="str">
        <f t="shared" si="98"/>
        <v/>
      </c>
      <c r="AI465" s="12" t="str">
        <f t="shared" si="99"/>
        <v>10/5</v>
      </c>
    </row>
    <row r="466" spans="1:35" s="8" customFormat="1" ht="21.95" customHeight="1">
      <c r="A466" s="9">
        <v>464</v>
      </c>
      <c r="B466" s="17">
        <v>464</v>
      </c>
      <c r="C466" s="6">
        <v>30</v>
      </c>
      <c r="D466" s="6">
        <v>0</v>
      </c>
      <c r="E466" s="5">
        <v>100</v>
      </c>
      <c r="F466" s="5">
        <v>100</v>
      </c>
      <c r="G466" s="5">
        <v>100</v>
      </c>
      <c r="H466" s="5">
        <v>100</v>
      </c>
      <c r="I466" s="5">
        <v>0</v>
      </c>
      <c r="J466" s="5">
        <v>100</v>
      </c>
      <c r="K466" s="15" t="s">
        <v>53</v>
      </c>
      <c r="L466" s="6">
        <v>3</v>
      </c>
      <c r="M466" s="6">
        <v>0</v>
      </c>
      <c r="N466" s="6">
        <v>0</v>
      </c>
      <c r="O466" s="5">
        <v>16</v>
      </c>
      <c r="P466" s="5">
        <v>0</v>
      </c>
      <c r="Q466" s="5">
        <v>0</v>
      </c>
      <c r="R466" s="5">
        <v>0</v>
      </c>
      <c r="S466" s="5">
        <v>0</v>
      </c>
      <c r="T466" s="5">
        <v>18</v>
      </c>
      <c r="U466" s="6">
        <v>0</v>
      </c>
      <c r="V466" s="5">
        <v>10</v>
      </c>
      <c r="W466" s="5">
        <v>5</v>
      </c>
      <c r="X466" s="16">
        <v>2000</v>
      </c>
      <c r="Y466" s="16">
        <v>7000</v>
      </c>
      <c r="Z466" s="16">
        <v>14000</v>
      </c>
      <c r="AA466" s="12" t="str">
        <f t="shared" si="91"/>
        <v>0/30</v>
      </c>
      <c r="AB466" s="12" t="str">
        <f t="shared" si="92"/>
        <v>100,100,100,100,0,100</v>
      </c>
      <c r="AC466" s="12">
        <f t="shared" si="93"/>
        <v>2</v>
      </c>
      <c r="AD466" s="12" t="str">
        <f t="shared" si="94"/>
        <v>2000/7000/14000</v>
      </c>
      <c r="AE466" s="12" t="str">
        <f t="shared" si="95"/>
        <v/>
      </c>
      <c r="AF466" s="12" t="str">
        <f t="shared" si="96"/>
        <v/>
      </c>
      <c r="AG466" s="12" t="str">
        <f t="shared" si="97"/>
        <v>0/5/</v>
      </c>
      <c r="AH466" s="12" t="str">
        <f t="shared" si="98"/>
        <v>16/18/</v>
      </c>
      <c r="AI466" s="12" t="str">
        <f t="shared" si="99"/>
        <v>10/5</v>
      </c>
    </row>
    <row r="467" spans="1:35" s="8" customFormat="1" ht="21.95" customHeight="1">
      <c r="A467" s="9">
        <v>465</v>
      </c>
      <c r="B467" s="17">
        <v>465</v>
      </c>
      <c r="C467" s="6">
        <v>30</v>
      </c>
      <c r="D467" s="6">
        <v>0</v>
      </c>
      <c r="E467" s="5">
        <v>100</v>
      </c>
      <c r="F467" s="5">
        <v>100</v>
      </c>
      <c r="G467" s="5">
        <v>100</v>
      </c>
      <c r="H467" s="5">
        <v>100</v>
      </c>
      <c r="I467" s="5">
        <v>100</v>
      </c>
      <c r="J467" s="5">
        <v>0</v>
      </c>
      <c r="K467" s="15" t="s">
        <v>52</v>
      </c>
      <c r="L467" s="6">
        <v>3</v>
      </c>
      <c r="M467" s="6">
        <v>6</v>
      </c>
      <c r="N467" s="6">
        <v>0</v>
      </c>
      <c r="O467" s="5">
        <v>0</v>
      </c>
      <c r="P467" s="5">
        <v>0</v>
      </c>
      <c r="Q467" s="5">
        <v>0</v>
      </c>
      <c r="R467" s="5">
        <v>0</v>
      </c>
      <c r="S467" s="5">
        <v>0</v>
      </c>
      <c r="T467" s="5">
        <v>0</v>
      </c>
      <c r="U467" s="6">
        <v>0</v>
      </c>
      <c r="V467" s="5">
        <v>10</v>
      </c>
      <c r="W467" s="5">
        <v>5</v>
      </c>
      <c r="X467" s="16">
        <v>2000</v>
      </c>
      <c r="Y467" s="16">
        <v>7000</v>
      </c>
      <c r="Z467" s="16">
        <v>14000</v>
      </c>
      <c r="AA467" s="12" t="str">
        <f t="shared" si="91"/>
        <v>0/30</v>
      </c>
      <c r="AB467" s="12" t="str">
        <f t="shared" si="92"/>
        <v>100,100,100,100,100,0</v>
      </c>
      <c r="AC467" s="12">
        <f t="shared" si="93"/>
        <v>1</v>
      </c>
      <c r="AD467" s="12" t="str">
        <f t="shared" si="94"/>
        <v>2000/7000/14000</v>
      </c>
      <c r="AE467" s="12" t="str">
        <f t="shared" si="95"/>
        <v>0/</v>
      </c>
      <c r="AF467" s="12" t="str">
        <f t="shared" si="96"/>
        <v>6/</v>
      </c>
      <c r="AG467" s="12" t="str">
        <f t="shared" si="97"/>
        <v/>
      </c>
      <c r="AH467" s="12" t="str">
        <f t="shared" si="98"/>
        <v/>
      </c>
      <c r="AI467" s="12" t="str">
        <f t="shared" si="99"/>
        <v>10/5</v>
      </c>
    </row>
    <row r="468" spans="1:35" s="8" customFormat="1" ht="21.95" customHeight="1">
      <c r="A468" s="9">
        <v>466</v>
      </c>
      <c r="B468" s="17">
        <v>466</v>
      </c>
      <c r="C468" s="6">
        <v>30</v>
      </c>
      <c r="D468" s="6">
        <v>0</v>
      </c>
      <c r="E468" s="5">
        <v>0</v>
      </c>
      <c r="F468" s="5">
        <v>100</v>
      </c>
      <c r="G468" s="5">
        <v>100</v>
      </c>
      <c r="H468" s="5">
        <v>100</v>
      </c>
      <c r="I468" s="5">
        <v>100</v>
      </c>
      <c r="J468" s="5">
        <v>100</v>
      </c>
      <c r="K468" s="15" t="s">
        <v>52</v>
      </c>
      <c r="L468" s="6">
        <v>3</v>
      </c>
      <c r="M468" s="6">
        <v>0</v>
      </c>
      <c r="N468" s="6">
        <v>6</v>
      </c>
      <c r="O468" s="5">
        <v>0</v>
      </c>
      <c r="P468" s="5">
        <v>0</v>
      </c>
      <c r="Q468" s="5">
        <v>0</v>
      </c>
      <c r="R468" s="5">
        <v>0</v>
      </c>
      <c r="S468" s="5">
        <v>0</v>
      </c>
      <c r="T468" s="5">
        <v>0</v>
      </c>
      <c r="U468" s="6">
        <v>0</v>
      </c>
      <c r="V468" s="5">
        <v>10</v>
      </c>
      <c r="W468" s="5">
        <v>5</v>
      </c>
      <c r="X468" s="16">
        <v>2000</v>
      </c>
      <c r="Y468" s="16">
        <v>7000</v>
      </c>
      <c r="Z468" s="16">
        <v>14000</v>
      </c>
      <c r="AA468" s="12" t="str">
        <f t="shared" si="91"/>
        <v>0/30</v>
      </c>
      <c r="AB468" s="12" t="str">
        <f t="shared" si="92"/>
        <v>0,100,100,100,100,100</v>
      </c>
      <c r="AC468" s="12">
        <f t="shared" si="93"/>
        <v>1</v>
      </c>
      <c r="AD468" s="12" t="str">
        <f t="shared" si="94"/>
        <v>2000/7000/14000</v>
      </c>
      <c r="AE468" s="12" t="str">
        <f t="shared" si="95"/>
        <v>1/</v>
      </c>
      <c r="AF468" s="12" t="str">
        <f t="shared" si="96"/>
        <v>6/</v>
      </c>
      <c r="AG468" s="12" t="str">
        <f t="shared" si="97"/>
        <v/>
      </c>
      <c r="AH468" s="12" t="str">
        <f t="shared" si="98"/>
        <v/>
      </c>
      <c r="AI468" s="12" t="str">
        <f t="shared" si="99"/>
        <v>10/5</v>
      </c>
    </row>
    <row r="469" spans="1:35" s="8" customFormat="1" ht="21.95" customHeight="1">
      <c r="A469" s="9">
        <v>467</v>
      </c>
      <c r="B469" s="17">
        <v>467</v>
      </c>
      <c r="C469" s="6">
        <v>0</v>
      </c>
      <c r="D469" s="6">
        <v>60</v>
      </c>
      <c r="E469" s="5">
        <v>100</v>
      </c>
      <c r="F469" s="5">
        <v>0</v>
      </c>
      <c r="G469" s="5">
        <v>100</v>
      </c>
      <c r="H469" s="5">
        <v>100</v>
      </c>
      <c r="I469" s="5">
        <v>100</v>
      </c>
      <c r="J469" s="5">
        <v>100</v>
      </c>
      <c r="K469" s="15" t="s">
        <v>54</v>
      </c>
      <c r="L469" s="6">
        <v>3</v>
      </c>
      <c r="M469" s="6">
        <v>0</v>
      </c>
      <c r="N469" s="6">
        <v>0</v>
      </c>
      <c r="O469" s="5">
        <v>0</v>
      </c>
      <c r="P469" s="5">
        <v>0</v>
      </c>
      <c r="Q469" s="5">
        <v>0</v>
      </c>
      <c r="R469" s="5">
        <v>0</v>
      </c>
      <c r="S469" s="5">
        <v>0</v>
      </c>
      <c r="T469" s="5">
        <v>0</v>
      </c>
      <c r="U469" s="6">
        <v>0</v>
      </c>
      <c r="V469" s="5">
        <v>10</v>
      </c>
      <c r="W469" s="5">
        <v>5</v>
      </c>
      <c r="X469" s="16">
        <v>2000</v>
      </c>
      <c r="Y469" s="16">
        <v>7000</v>
      </c>
      <c r="Z469" s="16">
        <v>14000</v>
      </c>
      <c r="AA469" s="12" t="str">
        <f t="shared" si="91"/>
        <v>1/60</v>
      </c>
      <c r="AB469" s="12" t="str">
        <f t="shared" si="92"/>
        <v>100,0,100,100,100,100</v>
      </c>
      <c r="AC469" s="12">
        <f t="shared" si="93"/>
        <v>3</v>
      </c>
      <c r="AD469" s="12" t="str">
        <f t="shared" si="94"/>
        <v>2000/7000/14000</v>
      </c>
      <c r="AE469" s="12" t="str">
        <f t="shared" si="95"/>
        <v/>
      </c>
      <c r="AF469" s="12" t="str">
        <f t="shared" si="96"/>
        <v/>
      </c>
      <c r="AG469" s="12" t="str">
        <f t="shared" si="97"/>
        <v/>
      </c>
      <c r="AH469" s="12" t="str">
        <f t="shared" si="98"/>
        <v/>
      </c>
      <c r="AI469" s="12" t="str">
        <f t="shared" si="99"/>
        <v>10/5</v>
      </c>
    </row>
    <row r="470" spans="1:35" s="8" customFormat="1" ht="21.95" customHeight="1">
      <c r="A470" s="9">
        <v>468</v>
      </c>
      <c r="B470" s="17">
        <v>468</v>
      </c>
      <c r="C470" s="6">
        <v>0</v>
      </c>
      <c r="D470" s="6">
        <v>60</v>
      </c>
      <c r="E470" s="5">
        <v>100</v>
      </c>
      <c r="F470" s="5">
        <v>100</v>
      </c>
      <c r="G470" s="5">
        <v>0</v>
      </c>
      <c r="H470" s="5">
        <v>100</v>
      </c>
      <c r="I470" s="5">
        <v>100</v>
      </c>
      <c r="J470" s="5">
        <v>100</v>
      </c>
      <c r="K470" s="15" t="s">
        <v>54</v>
      </c>
      <c r="L470" s="6">
        <v>3</v>
      </c>
      <c r="M470" s="6">
        <v>0</v>
      </c>
      <c r="N470" s="6">
        <v>0</v>
      </c>
      <c r="O470" s="5">
        <v>0</v>
      </c>
      <c r="P470" s="5">
        <v>0</v>
      </c>
      <c r="Q470" s="5">
        <v>0</v>
      </c>
      <c r="R470" s="5">
        <v>0</v>
      </c>
      <c r="S470" s="5">
        <v>0</v>
      </c>
      <c r="T470" s="5">
        <v>0</v>
      </c>
      <c r="U470" s="6">
        <v>0</v>
      </c>
      <c r="V470" s="5">
        <v>10</v>
      </c>
      <c r="W470" s="5">
        <v>5</v>
      </c>
      <c r="X470" s="16">
        <v>2000</v>
      </c>
      <c r="Y470" s="16">
        <v>7000</v>
      </c>
      <c r="Z470" s="16">
        <v>14000</v>
      </c>
      <c r="AA470" s="12" t="str">
        <f t="shared" si="91"/>
        <v>1/60</v>
      </c>
      <c r="AB470" s="12" t="str">
        <f t="shared" si="92"/>
        <v>100,100,0,100,100,100</v>
      </c>
      <c r="AC470" s="12">
        <f t="shared" si="93"/>
        <v>3</v>
      </c>
      <c r="AD470" s="12" t="str">
        <f t="shared" si="94"/>
        <v>2000/7000/14000</v>
      </c>
      <c r="AE470" s="12" t="str">
        <f t="shared" si="95"/>
        <v/>
      </c>
      <c r="AF470" s="12" t="str">
        <f t="shared" si="96"/>
        <v/>
      </c>
      <c r="AG470" s="12" t="str">
        <f t="shared" si="97"/>
        <v/>
      </c>
      <c r="AH470" s="12" t="str">
        <f t="shared" si="98"/>
        <v/>
      </c>
      <c r="AI470" s="12" t="str">
        <f t="shared" si="99"/>
        <v>10/5</v>
      </c>
    </row>
    <row r="471" spans="1:35" s="8" customFormat="1" ht="21.95" customHeight="1">
      <c r="A471" s="9">
        <v>469</v>
      </c>
      <c r="B471" s="17">
        <v>469</v>
      </c>
      <c r="C471" s="6">
        <v>0</v>
      </c>
      <c r="D471" s="6">
        <v>60</v>
      </c>
      <c r="E471" s="5">
        <v>100</v>
      </c>
      <c r="F471" s="5">
        <v>100</v>
      </c>
      <c r="G471" s="5">
        <v>100</v>
      </c>
      <c r="H471" s="5">
        <v>100</v>
      </c>
      <c r="I471" s="5">
        <v>0</v>
      </c>
      <c r="J471" s="5">
        <v>100</v>
      </c>
      <c r="K471" s="15" t="s">
        <v>52</v>
      </c>
      <c r="L471" s="6">
        <v>3</v>
      </c>
      <c r="M471" s="6">
        <v>2</v>
      </c>
      <c r="N471" s="6">
        <v>4</v>
      </c>
      <c r="O471" s="5">
        <v>0</v>
      </c>
      <c r="P471" s="5">
        <v>0</v>
      </c>
      <c r="Q471" s="5">
        <v>0</v>
      </c>
      <c r="R471" s="5">
        <v>0</v>
      </c>
      <c r="S471" s="5">
        <v>0</v>
      </c>
      <c r="T471" s="5">
        <v>0</v>
      </c>
      <c r="U471" s="6">
        <v>0</v>
      </c>
      <c r="V471" s="5">
        <v>10</v>
      </c>
      <c r="W471" s="5">
        <v>5</v>
      </c>
      <c r="X471" s="16">
        <v>2000</v>
      </c>
      <c r="Y471" s="16">
        <v>7000</v>
      </c>
      <c r="Z471" s="16">
        <v>14000</v>
      </c>
      <c r="AA471" s="12" t="str">
        <f t="shared" si="91"/>
        <v>1/60</v>
      </c>
      <c r="AB471" s="12" t="str">
        <f t="shared" si="92"/>
        <v>100,100,100,100,0,100</v>
      </c>
      <c r="AC471" s="12">
        <f t="shared" si="93"/>
        <v>1</v>
      </c>
      <c r="AD471" s="12" t="str">
        <f t="shared" si="94"/>
        <v>2000/7000/14000</v>
      </c>
      <c r="AE471" s="12" t="str">
        <f t="shared" si="95"/>
        <v>0/1/</v>
      </c>
      <c r="AF471" s="12" t="str">
        <f t="shared" si="96"/>
        <v>2/4/</v>
      </c>
      <c r="AG471" s="12" t="str">
        <f t="shared" si="97"/>
        <v/>
      </c>
      <c r="AH471" s="12" t="str">
        <f t="shared" si="98"/>
        <v/>
      </c>
      <c r="AI471" s="12" t="str">
        <f t="shared" si="99"/>
        <v>10/5</v>
      </c>
    </row>
    <row r="472" spans="1:35" s="8" customFormat="1" ht="21.95" customHeight="1">
      <c r="A472" s="9">
        <v>470</v>
      </c>
      <c r="B472" s="17">
        <v>470</v>
      </c>
      <c r="C472" s="6">
        <v>30</v>
      </c>
      <c r="D472" s="6">
        <v>0</v>
      </c>
      <c r="E472" s="5">
        <v>100</v>
      </c>
      <c r="F472" s="5">
        <v>100</v>
      </c>
      <c r="G472" s="5">
        <v>100</v>
      </c>
      <c r="H472" s="5">
        <v>100</v>
      </c>
      <c r="I472" s="5">
        <v>100</v>
      </c>
      <c r="J472" s="5">
        <v>0</v>
      </c>
      <c r="K472" s="15" t="s">
        <v>54</v>
      </c>
      <c r="L472" s="6">
        <v>3</v>
      </c>
      <c r="M472" s="6">
        <v>0</v>
      </c>
      <c r="N472" s="6">
        <v>0</v>
      </c>
      <c r="O472" s="5">
        <v>0</v>
      </c>
      <c r="P472" s="5">
        <v>0</v>
      </c>
      <c r="Q472" s="5">
        <v>0</v>
      </c>
      <c r="R472" s="5">
        <v>0</v>
      </c>
      <c r="S472" s="5">
        <v>0</v>
      </c>
      <c r="T472" s="5">
        <v>0</v>
      </c>
      <c r="U472" s="6">
        <v>0</v>
      </c>
      <c r="V472" s="5">
        <v>10</v>
      </c>
      <c r="W472" s="5">
        <v>5</v>
      </c>
      <c r="X472" s="16">
        <v>2000</v>
      </c>
      <c r="Y472" s="16">
        <v>7000</v>
      </c>
      <c r="Z472" s="16">
        <v>14000</v>
      </c>
      <c r="AA472" s="12" t="str">
        <f t="shared" si="91"/>
        <v>0/30</v>
      </c>
      <c r="AB472" s="12" t="str">
        <f t="shared" si="92"/>
        <v>100,100,100,100,100,0</v>
      </c>
      <c r="AC472" s="12">
        <f t="shared" si="93"/>
        <v>3</v>
      </c>
      <c r="AD472" s="12" t="str">
        <f t="shared" si="94"/>
        <v>2000/7000/14000</v>
      </c>
      <c r="AE472" s="12" t="str">
        <f t="shared" si="95"/>
        <v/>
      </c>
      <c r="AF472" s="12" t="str">
        <f t="shared" si="96"/>
        <v/>
      </c>
      <c r="AG472" s="12" t="str">
        <f t="shared" si="97"/>
        <v/>
      </c>
      <c r="AH472" s="12" t="str">
        <f t="shared" si="98"/>
        <v/>
      </c>
      <c r="AI472" s="12" t="str">
        <f t="shared" si="99"/>
        <v>10/5</v>
      </c>
    </row>
    <row r="473" spans="1:35" s="8" customFormat="1" ht="21.95" customHeight="1">
      <c r="A473" s="9">
        <v>471</v>
      </c>
      <c r="B473" s="17">
        <v>471</v>
      </c>
      <c r="C473" s="6">
        <v>30</v>
      </c>
      <c r="D473" s="6">
        <v>0</v>
      </c>
      <c r="E473" s="5">
        <v>0</v>
      </c>
      <c r="F473" s="5">
        <v>100</v>
      </c>
      <c r="G473" s="5">
        <v>100</v>
      </c>
      <c r="H473" s="5">
        <v>100</v>
      </c>
      <c r="I473" s="5">
        <v>100</v>
      </c>
      <c r="J473" s="5">
        <v>100</v>
      </c>
      <c r="K473" s="15" t="s">
        <v>54</v>
      </c>
      <c r="L473" s="6">
        <v>3</v>
      </c>
      <c r="M473" s="6">
        <v>0</v>
      </c>
      <c r="N473" s="6">
        <v>0</v>
      </c>
      <c r="O473" s="5">
        <v>0</v>
      </c>
      <c r="P473" s="5">
        <v>0</v>
      </c>
      <c r="Q473" s="5">
        <v>0</v>
      </c>
      <c r="R473" s="5">
        <v>0</v>
      </c>
      <c r="S473" s="5">
        <v>0</v>
      </c>
      <c r="T473" s="5">
        <v>0</v>
      </c>
      <c r="U473" s="6">
        <v>0</v>
      </c>
      <c r="V473" s="5">
        <v>10</v>
      </c>
      <c r="W473" s="5">
        <v>5</v>
      </c>
      <c r="X473" s="16">
        <v>2000</v>
      </c>
      <c r="Y473" s="16">
        <v>7000</v>
      </c>
      <c r="Z473" s="16">
        <v>14000</v>
      </c>
      <c r="AA473" s="12" t="str">
        <f t="shared" si="91"/>
        <v>0/30</v>
      </c>
      <c r="AB473" s="12" t="str">
        <f t="shared" si="92"/>
        <v>0,100,100,100,100,100</v>
      </c>
      <c r="AC473" s="12">
        <f t="shared" si="93"/>
        <v>3</v>
      </c>
      <c r="AD473" s="12" t="str">
        <f t="shared" si="94"/>
        <v>2000/7000/14000</v>
      </c>
      <c r="AE473" s="12" t="str">
        <f t="shared" si="95"/>
        <v/>
      </c>
      <c r="AF473" s="12" t="str">
        <f t="shared" si="96"/>
        <v/>
      </c>
      <c r="AG473" s="12" t="str">
        <f t="shared" si="97"/>
        <v/>
      </c>
      <c r="AH473" s="12" t="str">
        <f t="shared" si="98"/>
        <v/>
      </c>
      <c r="AI473" s="12" t="str">
        <f t="shared" si="99"/>
        <v>10/5</v>
      </c>
    </row>
    <row r="474" spans="1:35" s="8" customFormat="1" ht="21.95" customHeight="1">
      <c r="A474" s="9">
        <v>472</v>
      </c>
      <c r="B474" s="17">
        <v>472</v>
      </c>
      <c r="C474" s="6">
        <v>30</v>
      </c>
      <c r="D474" s="6">
        <v>0</v>
      </c>
      <c r="E474" s="5">
        <v>100</v>
      </c>
      <c r="F474" s="5">
        <v>0</v>
      </c>
      <c r="G474" s="5">
        <v>100</v>
      </c>
      <c r="H474" s="5">
        <v>100</v>
      </c>
      <c r="I474" s="5">
        <v>100</v>
      </c>
      <c r="J474" s="5">
        <v>100</v>
      </c>
      <c r="K474" s="15" t="s">
        <v>55</v>
      </c>
      <c r="L474" s="6">
        <v>3</v>
      </c>
      <c r="M474" s="6">
        <v>0</v>
      </c>
      <c r="N474" s="6">
        <v>0</v>
      </c>
      <c r="O474" s="5">
        <v>0</v>
      </c>
      <c r="P474" s="5">
        <v>0</v>
      </c>
      <c r="Q474" s="5">
        <v>0</v>
      </c>
      <c r="R474" s="5">
        <v>0</v>
      </c>
      <c r="S474" s="5">
        <v>0</v>
      </c>
      <c r="T474" s="5">
        <v>0</v>
      </c>
      <c r="U474" s="6">
        <v>5</v>
      </c>
      <c r="V474" s="5">
        <v>10</v>
      </c>
      <c r="W474" s="5">
        <v>5</v>
      </c>
      <c r="X474" s="16">
        <v>2000</v>
      </c>
      <c r="Y474" s="16">
        <v>7000</v>
      </c>
      <c r="Z474" s="16">
        <v>14000</v>
      </c>
      <c r="AA474" s="12" t="str">
        <f t="shared" si="91"/>
        <v>0/30</v>
      </c>
      <c r="AB474" s="12" t="str">
        <f t="shared" si="92"/>
        <v>100,0,100,100,100,100</v>
      </c>
      <c r="AC474" s="12">
        <f t="shared" si="93"/>
        <v>4</v>
      </c>
      <c r="AD474" s="12" t="str">
        <f t="shared" si="94"/>
        <v>2000/7000/14000</v>
      </c>
      <c r="AE474" s="12" t="str">
        <f t="shared" si="95"/>
        <v/>
      </c>
      <c r="AF474" s="12" t="str">
        <f t="shared" si="96"/>
        <v/>
      </c>
      <c r="AG474" s="12" t="str">
        <f t="shared" si="97"/>
        <v/>
      </c>
      <c r="AH474" s="12" t="str">
        <f t="shared" si="98"/>
        <v/>
      </c>
      <c r="AI474" s="12" t="str">
        <f t="shared" si="99"/>
        <v>10/5</v>
      </c>
    </row>
    <row r="475" spans="1:35" s="8" customFormat="1" ht="21.95" customHeight="1">
      <c r="A475" s="9">
        <v>473</v>
      </c>
      <c r="B475" s="17">
        <v>473</v>
      </c>
      <c r="C475" s="6">
        <v>30</v>
      </c>
      <c r="D475" s="6">
        <v>0</v>
      </c>
      <c r="E475" s="5">
        <v>100</v>
      </c>
      <c r="F475" s="5">
        <v>100</v>
      </c>
      <c r="G475" s="5">
        <v>0</v>
      </c>
      <c r="H475" s="5">
        <v>100</v>
      </c>
      <c r="I475" s="5">
        <v>100</v>
      </c>
      <c r="J475" s="5">
        <v>100</v>
      </c>
      <c r="K475" s="15" t="s">
        <v>55</v>
      </c>
      <c r="L475" s="6">
        <v>3</v>
      </c>
      <c r="M475" s="6">
        <v>0</v>
      </c>
      <c r="N475" s="6">
        <v>0</v>
      </c>
      <c r="O475" s="5">
        <v>0</v>
      </c>
      <c r="P475" s="5">
        <v>0</v>
      </c>
      <c r="Q475" s="5">
        <v>0</v>
      </c>
      <c r="R475" s="5">
        <v>0</v>
      </c>
      <c r="S475" s="5">
        <v>0</v>
      </c>
      <c r="T475" s="5">
        <v>0</v>
      </c>
      <c r="U475" s="6">
        <v>5</v>
      </c>
      <c r="V475" s="5">
        <v>10</v>
      </c>
      <c r="W475" s="5">
        <v>5</v>
      </c>
      <c r="X475" s="16">
        <v>2000</v>
      </c>
      <c r="Y475" s="16">
        <v>7000</v>
      </c>
      <c r="Z475" s="16">
        <v>14000</v>
      </c>
      <c r="AA475" s="12" t="str">
        <f t="shared" si="91"/>
        <v>0/30</v>
      </c>
      <c r="AB475" s="12" t="str">
        <f t="shared" si="92"/>
        <v>100,100,0,100,100,100</v>
      </c>
      <c r="AC475" s="12">
        <f t="shared" si="93"/>
        <v>4</v>
      </c>
      <c r="AD475" s="12" t="str">
        <f t="shared" si="94"/>
        <v>2000/7000/14000</v>
      </c>
      <c r="AE475" s="12" t="str">
        <f t="shared" si="95"/>
        <v/>
      </c>
      <c r="AF475" s="12" t="str">
        <f t="shared" si="96"/>
        <v/>
      </c>
      <c r="AG475" s="12" t="str">
        <f t="shared" si="97"/>
        <v/>
      </c>
      <c r="AH475" s="12" t="str">
        <f t="shared" si="98"/>
        <v/>
      </c>
      <c r="AI475" s="12" t="str">
        <f t="shared" si="99"/>
        <v>10/5</v>
      </c>
    </row>
    <row r="476" spans="1:35" s="8" customFormat="1" ht="21.95" customHeight="1">
      <c r="A476" s="9">
        <v>474</v>
      </c>
      <c r="B476" s="17">
        <v>474</v>
      </c>
      <c r="C476" s="6">
        <v>32</v>
      </c>
      <c r="D476" s="6">
        <v>0</v>
      </c>
      <c r="E476" s="5">
        <v>100</v>
      </c>
      <c r="F476" s="5">
        <v>100</v>
      </c>
      <c r="G476" s="5">
        <v>100</v>
      </c>
      <c r="H476" s="5">
        <v>0</v>
      </c>
      <c r="I476" s="5">
        <v>100</v>
      </c>
      <c r="J476" s="5">
        <v>100</v>
      </c>
      <c r="K476" s="15" t="s">
        <v>51</v>
      </c>
      <c r="L476" s="6">
        <v>3</v>
      </c>
      <c r="M476" s="6">
        <v>0</v>
      </c>
      <c r="N476" s="6">
        <v>0</v>
      </c>
      <c r="O476" s="5">
        <v>0</v>
      </c>
      <c r="P476" s="5">
        <v>0</v>
      </c>
      <c r="Q476" s="5">
        <v>0</v>
      </c>
      <c r="R476" s="5">
        <v>0</v>
      </c>
      <c r="S476" s="5">
        <v>0</v>
      </c>
      <c r="T476" s="5">
        <v>0</v>
      </c>
      <c r="U476" s="6">
        <v>0</v>
      </c>
      <c r="V476" s="5">
        <v>10</v>
      </c>
      <c r="W476" s="5">
        <v>5</v>
      </c>
      <c r="X476" s="16">
        <v>2000</v>
      </c>
      <c r="Y476" s="16">
        <v>7000</v>
      </c>
      <c r="Z476" s="16">
        <v>14000</v>
      </c>
      <c r="AA476" s="12" t="str">
        <f t="shared" si="91"/>
        <v>0/32</v>
      </c>
      <c r="AB476" s="12" t="str">
        <f t="shared" si="92"/>
        <v>100,100,100,0,100,100</v>
      </c>
      <c r="AC476" s="12">
        <f t="shared" si="93"/>
        <v>0</v>
      </c>
      <c r="AD476" s="12" t="str">
        <f t="shared" si="94"/>
        <v>2000/7000/14000</v>
      </c>
      <c r="AE476" s="12" t="str">
        <f t="shared" si="95"/>
        <v/>
      </c>
      <c r="AF476" s="12" t="str">
        <f t="shared" si="96"/>
        <v/>
      </c>
      <c r="AG476" s="12" t="str">
        <f t="shared" si="97"/>
        <v/>
      </c>
      <c r="AH476" s="12" t="str">
        <f t="shared" si="98"/>
        <v/>
      </c>
      <c r="AI476" s="12" t="str">
        <f t="shared" si="99"/>
        <v>10/5</v>
      </c>
    </row>
    <row r="477" spans="1:35" s="8" customFormat="1" ht="21.95" customHeight="1">
      <c r="A477" s="9">
        <v>475</v>
      </c>
      <c r="B477" s="17">
        <v>475</v>
      </c>
      <c r="C477" s="6">
        <v>30</v>
      </c>
      <c r="D477" s="6">
        <v>0</v>
      </c>
      <c r="E477" s="5">
        <v>100</v>
      </c>
      <c r="F477" s="5">
        <v>100</v>
      </c>
      <c r="G477" s="5">
        <v>0</v>
      </c>
      <c r="H477" s="5">
        <v>100</v>
      </c>
      <c r="I477" s="5">
        <v>100</v>
      </c>
      <c r="J477" s="5">
        <v>100</v>
      </c>
      <c r="K477" s="15" t="s">
        <v>56</v>
      </c>
      <c r="L477" s="6">
        <v>3</v>
      </c>
      <c r="M477" s="6">
        <v>0</v>
      </c>
      <c r="N477" s="6">
        <v>0</v>
      </c>
      <c r="O477" s="5">
        <v>0</v>
      </c>
      <c r="P477" s="5">
        <v>0</v>
      </c>
      <c r="Q477" s="5">
        <v>0</v>
      </c>
      <c r="R477" s="5">
        <v>0</v>
      </c>
      <c r="S477" s="5">
        <v>0</v>
      </c>
      <c r="T477" s="5">
        <v>0</v>
      </c>
      <c r="U477" s="6">
        <v>0</v>
      </c>
      <c r="V477" s="5">
        <v>10</v>
      </c>
      <c r="W477" s="5">
        <v>5</v>
      </c>
      <c r="X477" s="16">
        <v>2000</v>
      </c>
      <c r="Y477" s="16">
        <v>7000</v>
      </c>
      <c r="Z477" s="16">
        <v>14000</v>
      </c>
      <c r="AA477" s="12" t="str">
        <f t="shared" si="91"/>
        <v>0/30</v>
      </c>
      <c r="AB477" s="12" t="str">
        <f t="shared" si="92"/>
        <v>100,100,0,100,100,100</v>
      </c>
      <c r="AC477" s="12">
        <f t="shared" si="93"/>
        <v>5</v>
      </c>
      <c r="AD477" s="12" t="str">
        <f t="shared" si="94"/>
        <v>2000/7000/14000</v>
      </c>
      <c r="AE477" s="12" t="str">
        <f t="shared" si="95"/>
        <v/>
      </c>
      <c r="AF477" s="12" t="str">
        <f t="shared" si="96"/>
        <v/>
      </c>
      <c r="AG477" s="12" t="str">
        <f t="shared" si="97"/>
        <v/>
      </c>
      <c r="AH477" s="12" t="str">
        <f t="shared" si="98"/>
        <v/>
      </c>
      <c r="AI477" s="12" t="str">
        <f t="shared" si="99"/>
        <v>10/5</v>
      </c>
    </row>
    <row r="478" spans="1:35" s="8" customFormat="1" ht="21.95" customHeight="1">
      <c r="A478" s="9">
        <v>476</v>
      </c>
      <c r="B478" s="17">
        <v>476</v>
      </c>
      <c r="C478" s="6">
        <v>30</v>
      </c>
      <c r="D478" s="6">
        <v>0</v>
      </c>
      <c r="E478" s="5">
        <v>100</v>
      </c>
      <c r="F478" s="5">
        <v>100</v>
      </c>
      <c r="G478" s="5">
        <v>100</v>
      </c>
      <c r="H478" s="5">
        <v>0</v>
      </c>
      <c r="I478" s="5">
        <v>100</v>
      </c>
      <c r="J478" s="5">
        <v>100</v>
      </c>
      <c r="K478" s="15" t="s">
        <v>53</v>
      </c>
      <c r="L478" s="6">
        <v>3</v>
      </c>
      <c r="M478" s="6">
        <v>0</v>
      </c>
      <c r="N478" s="6">
        <v>0</v>
      </c>
      <c r="O478" s="5">
        <v>0</v>
      </c>
      <c r="P478" s="5">
        <v>0</v>
      </c>
      <c r="Q478" s="5">
        <v>0</v>
      </c>
      <c r="R478" s="5">
        <v>0</v>
      </c>
      <c r="S478" s="5">
        <v>18</v>
      </c>
      <c r="T478" s="5">
        <v>16</v>
      </c>
      <c r="U478" s="6">
        <v>0</v>
      </c>
      <c r="V478" s="5">
        <v>10</v>
      </c>
      <c r="W478" s="5">
        <v>5</v>
      </c>
      <c r="X478" s="16">
        <v>2000</v>
      </c>
      <c r="Y478" s="16">
        <v>7000</v>
      </c>
      <c r="Z478" s="16">
        <v>14000</v>
      </c>
      <c r="AA478" s="12" t="str">
        <f t="shared" si="91"/>
        <v>0/30</v>
      </c>
      <c r="AB478" s="12" t="str">
        <f t="shared" si="92"/>
        <v>100,100,100,0,100,100</v>
      </c>
      <c r="AC478" s="12">
        <f t="shared" si="93"/>
        <v>2</v>
      </c>
      <c r="AD478" s="12" t="str">
        <f t="shared" si="94"/>
        <v>2000/7000/14000</v>
      </c>
      <c r="AE478" s="12" t="str">
        <f t="shared" si="95"/>
        <v/>
      </c>
      <c r="AF478" s="12" t="str">
        <f t="shared" si="96"/>
        <v/>
      </c>
      <c r="AG478" s="12" t="str">
        <f t="shared" si="97"/>
        <v>4/5/</v>
      </c>
      <c r="AH478" s="12" t="str">
        <f t="shared" si="98"/>
        <v>18/16/</v>
      </c>
      <c r="AI478" s="12" t="str">
        <f t="shared" si="99"/>
        <v>10/5</v>
      </c>
    </row>
    <row r="479" spans="1:35" s="8" customFormat="1" ht="21.95" customHeight="1">
      <c r="A479" s="9">
        <v>477</v>
      </c>
      <c r="B479" s="17">
        <v>477</v>
      </c>
      <c r="C479" s="6">
        <v>30</v>
      </c>
      <c r="D479" s="6">
        <v>0</v>
      </c>
      <c r="E479" s="5">
        <v>100</v>
      </c>
      <c r="F479" s="5">
        <v>100</v>
      </c>
      <c r="G479" s="5">
        <v>100</v>
      </c>
      <c r="H479" s="5">
        <v>100</v>
      </c>
      <c r="I479" s="5">
        <v>0</v>
      </c>
      <c r="J479" s="5">
        <v>100</v>
      </c>
      <c r="K479" s="15" t="s">
        <v>53</v>
      </c>
      <c r="L479" s="6">
        <v>3</v>
      </c>
      <c r="M479" s="6">
        <v>0</v>
      </c>
      <c r="N479" s="6">
        <v>0</v>
      </c>
      <c r="O479" s="5">
        <v>16</v>
      </c>
      <c r="P479" s="5">
        <v>0</v>
      </c>
      <c r="Q479" s="5">
        <v>0</v>
      </c>
      <c r="R479" s="5">
        <v>0</v>
      </c>
      <c r="S479" s="5">
        <v>0</v>
      </c>
      <c r="T479" s="5">
        <v>18</v>
      </c>
      <c r="U479" s="6">
        <v>0</v>
      </c>
      <c r="V479" s="5">
        <v>10</v>
      </c>
      <c r="W479" s="5">
        <v>5</v>
      </c>
      <c r="X479" s="16">
        <v>2000</v>
      </c>
      <c r="Y479" s="16">
        <v>7000</v>
      </c>
      <c r="Z479" s="16">
        <v>14000</v>
      </c>
      <c r="AA479" s="12" t="str">
        <f t="shared" si="91"/>
        <v>0/30</v>
      </c>
      <c r="AB479" s="12" t="str">
        <f t="shared" si="92"/>
        <v>100,100,100,100,0,100</v>
      </c>
      <c r="AC479" s="12">
        <f t="shared" si="93"/>
        <v>2</v>
      </c>
      <c r="AD479" s="12" t="str">
        <f t="shared" si="94"/>
        <v>2000/7000/14000</v>
      </c>
      <c r="AE479" s="12" t="str">
        <f t="shared" si="95"/>
        <v/>
      </c>
      <c r="AF479" s="12" t="str">
        <f t="shared" si="96"/>
        <v/>
      </c>
      <c r="AG479" s="12" t="str">
        <f t="shared" si="97"/>
        <v>0/5/</v>
      </c>
      <c r="AH479" s="12" t="str">
        <f t="shared" si="98"/>
        <v>16/18/</v>
      </c>
      <c r="AI479" s="12" t="str">
        <f t="shared" si="99"/>
        <v>10/5</v>
      </c>
    </row>
    <row r="480" spans="1:35" s="8" customFormat="1" ht="21.95" customHeight="1">
      <c r="A480" s="9">
        <v>478</v>
      </c>
      <c r="B480" s="17">
        <v>478</v>
      </c>
      <c r="C480" s="6">
        <v>30</v>
      </c>
      <c r="D480" s="6">
        <v>0</v>
      </c>
      <c r="E480" s="5">
        <v>100</v>
      </c>
      <c r="F480" s="5">
        <v>100</v>
      </c>
      <c r="G480" s="5">
        <v>100</v>
      </c>
      <c r="H480" s="5">
        <v>100</v>
      </c>
      <c r="I480" s="5">
        <v>100</v>
      </c>
      <c r="J480" s="5">
        <v>0</v>
      </c>
      <c r="K480" s="15" t="s">
        <v>52</v>
      </c>
      <c r="L480" s="6">
        <v>3</v>
      </c>
      <c r="M480" s="6">
        <v>6</v>
      </c>
      <c r="N480" s="6">
        <v>0</v>
      </c>
      <c r="O480" s="5">
        <v>0</v>
      </c>
      <c r="P480" s="5">
        <v>0</v>
      </c>
      <c r="Q480" s="5">
        <v>0</v>
      </c>
      <c r="R480" s="5">
        <v>0</v>
      </c>
      <c r="S480" s="5">
        <v>0</v>
      </c>
      <c r="T480" s="5">
        <v>0</v>
      </c>
      <c r="U480" s="6">
        <v>0</v>
      </c>
      <c r="V480" s="5">
        <v>10</v>
      </c>
      <c r="W480" s="5">
        <v>5</v>
      </c>
      <c r="X480" s="16">
        <v>2000</v>
      </c>
      <c r="Y480" s="16">
        <v>7000</v>
      </c>
      <c r="Z480" s="16">
        <v>14000</v>
      </c>
      <c r="AA480" s="12" t="str">
        <f t="shared" si="91"/>
        <v>0/30</v>
      </c>
      <c r="AB480" s="12" t="str">
        <f t="shared" si="92"/>
        <v>100,100,100,100,100,0</v>
      </c>
      <c r="AC480" s="12">
        <f t="shared" si="93"/>
        <v>1</v>
      </c>
      <c r="AD480" s="12" t="str">
        <f t="shared" si="94"/>
        <v>2000/7000/14000</v>
      </c>
      <c r="AE480" s="12" t="str">
        <f t="shared" si="95"/>
        <v>0/</v>
      </c>
      <c r="AF480" s="12" t="str">
        <f t="shared" si="96"/>
        <v>6/</v>
      </c>
      <c r="AG480" s="12" t="str">
        <f t="shared" si="97"/>
        <v/>
      </c>
      <c r="AH480" s="12" t="str">
        <f t="shared" si="98"/>
        <v/>
      </c>
      <c r="AI480" s="12" t="str">
        <f t="shared" si="99"/>
        <v>10/5</v>
      </c>
    </row>
    <row r="481" spans="1:35" s="8" customFormat="1" ht="21.95" customHeight="1">
      <c r="A481" s="9">
        <v>479</v>
      </c>
      <c r="B481" s="17">
        <v>479</v>
      </c>
      <c r="C481" s="6">
        <v>30</v>
      </c>
      <c r="D481" s="6">
        <v>0</v>
      </c>
      <c r="E481" s="5">
        <v>0</v>
      </c>
      <c r="F481" s="5">
        <v>100</v>
      </c>
      <c r="G481" s="5">
        <v>100</v>
      </c>
      <c r="H481" s="5">
        <v>100</v>
      </c>
      <c r="I481" s="5">
        <v>100</v>
      </c>
      <c r="J481" s="5">
        <v>100</v>
      </c>
      <c r="K481" s="15" t="s">
        <v>52</v>
      </c>
      <c r="L481" s="6">
        <v>3</v>
      </c>
      <c r="M481" s="6">
        <v>0</v>
      </c>
      <c r="N481" s="6">
        <v>6</v>
      </c>
      <c r="O481" s="5">
        <v>0</v>
      </c>
      <c r="P481" s="5">
        <v>0</v>
      </c>
      <c r="Q481" s="5">
        <v>0</v>
      </c>
      <c r="R481" s="5">
        <v>0</v>
      </c>
      <c r="S481" s="5">
        <v>0</v>
      </c>
      <c r="T481" s="5">
        <v>0</v>
      </c>
      <c r="U481" s="6">
        <v>0</v>
      </c>
      <c r="V481" s="5">
        <v>10</v>
      </c>
      <c r="W481" s="5">
        <v>5</v>
      </c>
      <c r="X481" s="16">
        <v>2000</v>
      </c>
      <c r="Y481" s="16">
        <v>7000</v>
      </c>
      <c r="Z481" s="16">
        <v>14000</v>
      </c>
      <c r="AA481" s="12" t="str">
        <f t="shared" si="91"/>
        <v>0/30</v>
      </c>
      <c r="AB481" s="12" t="str">
        <f t="shared" si="92"/>
        <v>0,100,100,100,100,100</v>
      </c>
      <c r="AC481" s="12">
        <f t="shared" si="93"/>
        <v>1</v>
      </c>
      <c r="AD481" s="12" t="str">
        <f t="shared" si="94"/>
        <v>2000/7000/14000</v>
      </c>
      <c r="AE481" s="12" t="str">
        <f t="shared" si="95"/>
        <v>1/</v>
      </c>
      <c r="AF481" s="12" t="str">
        <f t="shared" si="96"/>
        <v>6/</v>
      </c>
      <c r="AG481" s="12" t="str">
        <f t="shared" si="97"/>
        <v/>
      </c>
      <c r="AH481" s="12" t="str">
        <f t="shared" si="98"/>
        <v/>
      </c>
      <c r="AI481" s="12" t="str">
        <f t="shared" si="99"/>
        <v>10/5</v>
      </c>
    </row>
    <row r="482" spans="1:35" s="8" customFormat="1" ht="21.95" customHeight="1">
      <c r="A482" s="9">
        <v>480</v>
      </c>
      <c r="B482" s="17">
        <v>480</v>
      </c>
      <c r="C482" s="6">
        <v>0</v>
      </c>
      <c r="D482" s="6">
        <v>60</v>
      </c>
      <c r="E482" s="5">
        <v>100</v>
      </c>
      <c r="F482" s="5">
        <v>0</v>
      </c>
      <c r="G482" s="5">
        <v>100</v>
      </c>
      <c r="H482" s="5">
        <v>100</v>
      </c>
      <c r="I482" s="5">
        <v>100</v>
      </c>
      <c r="J482" s="5">
        <v>100</v>
      </c>
      <c r="K482" s="15" t="s">
        <v>54</v>
      </c>
      <c r="L482" s="6">
        <v>3</v>
      </c>
      <c r="M482" s="6">
        <v>0</v>
      </c>
      <c r="N482" s="6">
        <v>0</v>
      </c>
      <c r="O482" s="5">
        <v>0</v>
      </c>
      <c r="P482" s="5">
        <v>0</v>
      </c>
      <c r="Q482" s="5">
        <v>0</v>
      </c>
      <c r="R482" s="5">
        <v>0</v>
      </c>
      <c r="S482" s="5">
        <v>0</v>
      </c>
      <c r="T482" s="5">
        <v>0</v>
      </c>
      <c r="U482" s="6">
        <v>0</v>
      </c>
      <c r="V482" s="5">
        <v>10</v>
      </c>
      <c r="W482" s="5">
        <v>5</v>
      </c>
      <c r="X482" s="16">
        <v>2000</v>
      </c>
      <c r="Y482" s="16">
        <v>7000</v>
      </c>
      <c r="Z482" s="16">
        <v>14000</v>
      </c>
      <c r="AA482" s="12" t="str">
        <f t="shared" ref="AA482:AA545" si="100">IF(C482=0,CONCATENATE("1/",D482),CONCATENATE("0/",C482))</f>
        <v>1/60</v>
      </c>
      <c r="AB482" s="12" t="str">
        <f t="shared" ref="AB482:AB545" si="101">CONCATENATE(E482,",",F482,",",G482,",",H482,",",I482,",",J482)</f>
        <v>100,0,100,100,100,100</v>
      </c>
      <c r="AC482" s="12">
        <f t="shared" ref="AC482:AC545" si="102">VLOOKUP(K482,$I$1005:$J$1012,2,FALSE)</f>
        <v>3</v>
      </c>
      <c r="AD482" s="12" t="str">
        <f t="shared" ref="AD482:AD545" si="103">CONCATENATE(X482,"/",Y482,"/",Z482)</f>
        <v>2000/7000/14000</v>
      </c>
      <c r="AE482" s="12" t="str">
        <f t="shared" ref="AE482:AE545" si="104">CONCATENATE(IF(M482=0,"","0/"),IF(N482=0,"","1/"))</f>
        <v/>
      </c>
      <c r="AF482" s="12" t="str">
        <f t="shared" ref="AF482:AF545" si="105">CONCATENATE(IF(M482=0,"",CONCATENATE(M482,"/")),IF(N482=0,"",CONCATENATE(N482,"/")))</f>
        <v/>
      </c>
      <c r="AG482" s="12" t="str">
        <f t="shared" ref="AG482:AG545" si="106">CONCATENATE(IF(O482=0,"","0/"),IF(P482=0,"","1/"),IF(Q482=0,"","2/"),IF(R482=0,"","3/"),IF(S482=0,"","4/"),IF(T482=0,"","5/"))</f>
        <v/>
      </c>
      <c r="AH482" s="12" t="str">
        <f t="shared" ref="AH482:AH545" si="107">CONCATENATE(IF(O482=0,"",CONCATENATE(O482,"/")),IF(P482=0,"",CONCATENATE(P482,"/")),IF(Q482=0,"",CONCATENATE(Q482,"/")),IF(R482=0,"",CONCATENATE(R482,"/")),IF(S482=0,"",CONCATENATE(S482,"/")),IF(T482=0,"",CONCATENATE(T482,"/")))</f>
        <v/>
      </c>
      <c r="AI482" s="12" t="str">
        <f t="shared" ref="AI482:AI545" si="108">CONCATENATE(V482,"/",W482)</f>
        <v>10/5</v>
      </c>
    </row>
    <row r="483" spans="1:35" s="8" customFormat="1" ht="21.95" customHeight="1">
      <c r="A483" s="9">
        <v>481</v>
      </c>
      <c r="B483" s="17">
        <v>481</v>
      </c>
      <c r="C483" s="6">
        <v>0</v>
      </c>
      <c r="D483" s="6">
        <v>60</v>
      </c>
      <c r="E483" s="5">
        <v>100</v>
      </c>
      <c r="F483" s="5">
        <v>100</v>
      </c>
      <c r="G483" s="5">
        <v>0</v>
      </c>
      <c r="H483" s="5">
        <v>100</v>
      </c>
      <c r="I483" s="5">
        <v>100</v>
      </c>
      <c r="J483" s="5">
        <v>100</v>
      </c>
      <c r="K483" s="15" t="s">
        <v>56</v>
      </c>
      <c r="L483" s="6">
        <v>3</v>
      </c>
      <c r="M483" s="6">
        <v>0</v>
      </c>
      <c r="N483" s="6">
        <v>0</v>
      </c>
      <c r="O483" s="5">
        <v>0</v>
      </c>
      <c r="P483" s="5">
        <v>0</v>
      </c>
      <c r="Q483" s="5">
        <v>0</v>
      </c>
      <c r="R483" s="5">
        <v>0</v>
      </c>
      <c r="S483" s="5">
        <v>0</v>
      </c>
      <c r="T483" s="5">
        <v>0</v>
      </c>
      <c r="U483" s="6">
        <v>0</v>
      </c>
      <c r="V483" s="5">
        <v>10</v>
      </c>
      <c r="W483" s="5">
        <v>5</v>
      </c>
      <c r="X483" s="16">
        <v>2000</v>
      </c>
      <c r="Y483" s="16">
        <v>7000</v>
      </c>
      <c r="Z483" s="16">
        <v>14000</v>
      </c>
      <c r="AA483" s="12" t="str">
        <f t="shared" si="100"/>
        <v>1/60</v>
      </c>
      <c r="AB483" s="12" t="str">
        <f t="shared" si="101"/>
        <v>100,100,0,100,100,100</v>
      </c>
      <c r="AC483" s="12">
        <f t="shared" si="102"/>
        <v>5</v>
      </c>
      <c r="AD483" s="12" t="str">
        <f t="shared" si="103"/>
        <v>2000/7000/14000</v>
      </c>
      <c r="AE483" s="12" t="str">
        <f t="shared" si="104"/>
        <v/>
      </c>
      <c r="AF483" s="12" t="str">
        <f t="shared" si="105"/>
        <v/>
      </c>
      <c r="AG483" s="12" t="str">
        <f t="shared" si="106"/>
        <v/>
      </c>
      <c r="AH483" s="12" t="str">
        <f t="shared" si="107"/>
        <v/>
      </c>
      <c r="AI483" s="12" t="str">
        <f t="shared" si="108"/>
        <v>10/5</v>
      </c>
    </row>
    <row r="484" spans="1:35" s="8" customFormat="1" ht="21.95" customHeight="1">
      <c r="A484" s="9">
        <v>482</v>
      </c>
      <c r="B484" s="17">
        <v>482</v>
      </c>
      <c r="C484" s="6">
        <v>0</v>
      </c>
      <c r="D484" s="6">
        <v>60</v>
      </c>
      <c r="E484" s="5">
        <v>100</v>
      </c>
      <c r="F484" s="5">
        <v>100</v>
      </c>
      <c r="G484" s="5">
        <v>100</v>
      </c>
      <c r="H484" s="5">
        <v>0</v>
      </c>
      <c r="I484" s="5">
        <v>100</v>
      </c>
      <c r="J484" s="5">
        <v>100</v>
      </c>
      <c r="K484" s="15" t="s">
        <v>53</v>
      </c>
      <c r="L484" s="6">
        <v>3</v>
      </c>
      <c r="M484" s="6">
        <v>0</v>
      </c>
      <c r="N484" s="6">
        <v>0</v>
      </c>
      <c r="O484" s="5">
        <v>0</v>
      </c>
      <c r="P484" s="5">
        <v>0</v>
      </c>
      <c r="Q484" s="5">
        <v>0</v>
      </c>
      <c r="R484" s="5">
        <v>0</v>
      </c>
      <c r="S484" s="5">
        <v>18</v>
      </c>
      <c r="T484" s="5">
        <v>16</v>
      </c>
      <c r="U484" s="6">
        <v>0</v>
      </c>
      <c r="V484" s="5">
        <v>10</v>
      </c>
      <c r="W484" s="5">
        <v>5</v>
      </c>
      <c r="X484" s="16">
        <v>2000</v>
      </c>
      <c r="Y484" s="16">
        <v>7000</v>
      </c>
      <c r="Z484" s="16">
        <v>14000</v>
      </c>
      <c r="AA484" s="12" t="str">
        <f t="shared" si="100"/>
        <v>1/60</v>
      </c>
      <c r="AB484" s="12" t="str">
        <f t="shared" si="101"/>
        <v>100,100,100,0,100,100</v>
      </c>
      <c r="AC484" s="12">
        <f t="shared" si="102"/>
        <v>2</v>
      </c>
      <c r="AD484" s="12" t="str">
        <f t="shared" si="103"/>
        <v>2000/7000/14000</v>
      </c>
      <c r="AE484" s="12" t="str">
        <f t="shared" si="104"/>
        <v/>
      </c>
      <c r="AF484" s="12" t="str">
        <f t="shared" si="105"/>
        <v/>
      </c>
      <c r="AG484" s="12" t="str">
        <f t="shared" si="106"/>
        <v>4/5/</v>
      </c>
      <c r="AH484" s="12" t="str">
        <f t="shared" si="107"/>
        <v>18/16/</v>
      </c>
      <c r="AI484" s="12" t="str">
        <f t="shared" si="108"/>
        <v>10/5</v>
      </c>
    </row>
    <row r="485" spans="1:35" s="8" customFormat="1" ht="21.95" customHeight="1">
      <c r="A485" s="9">
        <v>483</v>
      </c>
      <c r="B485" s="17">
        <v>483</v>
      </c>
      <c r="C485" s="6">
        <v>30</v>
      </c>
      <c r="D485" s="6">
        <v>0</v>
      </c>
      <c r="E485" s="5">
        <v>100</v>
      </c>
      <c r="F485" s="5">
        <v>100</v>
      </c>
      <c r="G485" s="5">
        <v>100</v>
      </c>
      <c r="H485" s="5">
        <v>100</v>
      </c>
      <c r="I485" s="5">
        <v>0</v>
      </c>
      <c r="J485" s="5">
        <v>100</v>
      </c>
      <c r="K485" s="15" t="s">
        <v>53</v>
      </c>
      <c r="L485" s="6">
        <v>3</v>
      </c>
      <c r="M485" s="6">
        <v>0</v>
      </c>
      <c r="N485" s="6">
        <v>0</v>
      </c>
      <c r="O485" s="5">
        <v>16</v>
      </c>
      <c r="P485" s="5">
        <v>0</v>
      </c>
      <c r="Q485" s="5">
        <v>0</v>
      </c>
      <c r="R485" s="5">
        <v>0</v>
      </c>
      <c r="S485" s="5">
        <v>0</v>
      </c>
      <c r="T485" s="5">
        <v>18</v>
      </c>
      <c r="U485" s="6">
        <v>0</v>
      </c>
      <c r="V485" s="5">
        <v>10</v>
      </c>
      <c r="W485" s="5">
        <v>5</v>
      </c>
      <c r="X485" s="16">
        <v>2000</v>
      </c>
      <c r="Y485" s="16">
        <v>7000</v>
      </c>
      <c r="Z485" s="16">
        <v>14000</v>
      </c>
      <c r="AA485" s="12" t="str">
        <f t="shared" si="100"/>
        <v>0/30</v>
      </c>
      <c r="AB485" s="12" t="str">
        <f t="shared" si="101"/>
        <v>100,100,100,100,0,100</v>
      </c>
      <c r="AC485" s="12">
        <f t="shared" si="102"/>
        <v>2</v>
      </c>
      <c r="AD485" s="12" t="str">
        <f t="shared" si="103"/>
        <v>2000/7000/14000</v>
      </c>
      <c r="AE485" s="12" t="str">
        <f t="shared" si="104"/>
        <v/>
      </c>
      <c r="AF485" s="12" t="str">
        <f t="shared" si="105"/>
        <v/>
      </c>
      <c r="AG485" s="12" t="str">
        <f t="shared" si="106"/>
        <v>0/5/</v>
      </c>
      <c r="AH485" s="12" t="str">
        <f t="shared" si="107"/>
        <v>16/18/</v>
      </c>
      <c r="AI485" s="12" t="str">
        <f t="shared" si="108"/>
        <v>10/5</v>
      </c>
    </row>
    <row r="486" spans="1:35" s="8" customFormat="1" ht="21.95" customHeight="1">
      <c r="A486" s="9">
        <v>484</v>
      </c>
      <c r="B486" s="17">
        <v>484</v>
      </c>
      <c r="C486" s="6">
        <v>30</v>
      </c>
      <c r="D486" s="6">
        <v>0</v>
      </c>
      <c r="E486" s="5">
        <v>100</v>
      </c>
      <c r="F486" s="5">
        <v>100</v>
      </c>
      <c r="G486" s="5">
        <v>100</v>
      </c>
      <c r="H486" s="5">
        <v>100</v>
      </c>
      <c r="I486" s="5">
        <v>100</v>
      </c>
      <c r="J486" s="5">
        <v>0</v>
      </c>
      <c r="K486" s="15" t="s">
        <v>52</v>
      </c>
      <c r="L486" s="6">
        <v>3</v>
      </c>
      <c r="M486" s="6">
        <v>6</v>
      </c>
      <c r="N486" s="6">
        <v>0</v>
      </c>
      <c r="O486" s="5">
        <v>0</v>
      </c>
      <c r="P486" s="5">
        <v>0</v>
      </c>
      <c r="Q486" s="5">
        <v>0</v>
      </c>
      <c r="R486" s="5">
        <v>0</v>
      </c>
      <c r="S486" s="5">
        <v>0</v>
      </c>
      <c r="T486" s="5">
        <v>0</v>
      </c>
      <c r="U486" s="6">
        <v>0</v>
      </c>
      <c r="V486" s="5">
        <v>10</v>
      </c>
      <c r="W486" s="5">
        <v>5</v>
      </c>
      <c r="X486" s="16">
        <v>2000</v>
      </c>
      <c r="Y486" s="16">
        <v>7000</v>
      </c>
      <c r="Z486" s="16">
        <v>14000</v>
      </c>
      <c r="AA486" s="12" t="str">
        <f t="shared" si="100"/>
        <v>0/30</v>
      </c>
      <c r="AB486" s="12" t="str">
        <f t="shared" si="101"/>
        <v>100,100,100,100,100,0</v>
      </c>
      <c r="AC486" s="12">
        <f t="shared" si="102"/>
        <v>1</v>
      </c>
      <c r="AD486" s="12" t="str">
        <f t="shared" si="103"/>
        <v>2000/7000/14000</v>
      </c>
      <c r="AE486" s="12" t="str">
        <f t="shared" si="104"/>
        <v>0/</v>
      </c>
      <c r="AF486" s="12" t="str">
        <f t="shared" si="105"/>
        <v>6/</v>
      </c>
      <c r="AG486" s="12" t="str">
        <f t="shared" si="106"/>
        <v/>
      </c>
      <c r="AH486" s="12" t="str">
        <f t="shared" si="107"/>
        <v/>
      </c>
      <c r="AI486" s="12" t="str">
        <f t="shared" si="108"/>
        <v>10/5</v>
      </c>
    </row>
    <row r="487" spans="1:35" s="8" customFormat="1" ht="21.95" customHeight="1">
      <c r="A487" s="9">
        <v>485</v>
      </c>
      <c r="B487" s="17">
        <v>485</v>
      </c>
      <c r="C487" s="6">
        <v>30</v>
      </c>
      <c r="D487" s="6">
        <v>0</v>
      </c>
      <c r="E487" s="5">
        <v>0</v>
      </c>
      <c r="F487" s="5">
        <v>100</v>
      </c>
      <c r="G487" s="5">
        <v>100</v>
      </c>
      <c r="H487" s="5">
        <v>100</v>
      </c>
      <c r="I487" s="5">
        <v>100</v>
      </c>
      <c r="J487" s="5">
        <v>100</v>
      </c>
      <c r="K487" s="15" t="s">
        <v>52</v>
      </c>
      <c r="L487" s="6">
        <v>3</v>
      </c>
      <c r="M487" s="6">
        <v>0</v>
      </c>
      <c r="N487" s="6">
        <v>6</v>
      </c>
      <c r="O487" s="5">
        <v>0</v>
      </c>
      <c r="P487" s="5">
        <v>0</v>
      </c>
      <c r="Q487" s="5">
        <v>0</v>
      </c>
      <c r="R487" s="5">
        <v>0</v>
      </c>
      <c r="S487" s="5">
        <v>0</v>
      </c>
      <c r="T487" s="5">
        <v>0</v>
      </c>
      <c r="U487" s="6">
        <v>0</v>
      </c>
      <c r="V487" s="5">
        <v>10</v>
      </c>
      <c r="W487" s="5">
        <v>5</v>
      </c>
      <c r="X487" s="16">
        <v>2000</v>
      </c>
      <c r="Y487" s="16">
        <v>7000</v>
      </c>
      <c r="Z487" s="16">
        <v>14000</v>
      </c>
      <c r="AA487" s="12" t="str">
        <f t="shared" si="100"/>
        <v>0/30</v>
      </c>
      <c r="AB487" s="12" t="str">
        <f t="shared" si="101"/>
        <v>0,100,100,100,100,100</v>
      </c>
      <c r="AC487" s="12">
        <f t="shared" si="102"/>
        <v>1</v>
      </c>
      <c r="AD487" s="12" t="str">
        <f t="shared" si="103"/>
        <v>2000/7000/14000</v>
      </c>
      <c r="AE487" s="12" t="str">
        <f t="shared" si="104"/>
        <v>1/</v>
      </c>
      <c r="AF487" s="12" t="str">
        <f t="shared" si="105"/>
        <v>6/</v>
      </c>
      <c r="AG487" s="12" t="str">
        <f t="shared" si="106"/>
        <v/>
      </c>
      <c r="AH487" s="12" t="str">
        <f t="shared" si="107"/>
        <v/>
      </c>
      <c r="AI487" s="12" t="str">
        <f t="shared" si="108"/>
        <v>10/5</v>
      </c>
    </row>
    <row r="488" spans="1:35" s="8" customFormat="1" ht="21.95" customHeight="1">
      <c r="A488" s="9">
        <v>486</v>
      </c>
      <c r="B488" s="17">
        <v>486</v>
      </c>
      <c r="C488" s="6">
        <v>0</v>
      </c>
      <c r="D488" s="6">
        <v>60</v>
      </c>
      <c r="E488" s="5">
        <v>100</v>
      </c>
      <c r="F488" s="5">
        <v>0</v>
      </c>
      <c r="G488" s="5">
        <v>100</v>
      </c>
      <c r="H488" s="5">
        <v>100</v>
      </c>
      <c r="I488" s="5">
        <v>100</v>
      </c>
      <c r="J488" s="5">
        <v>100</v>
      </c>
      <c r="K488" s="15" t="s">
        <v>54</v>
      </c>
      <c r="L488" s="6">
        <v>3</v>
      </c>
      <c r="M488" s="6">
        <v>0</v>
      </c>
      <c r="N488" s="6">
        <v>0</v>
      </c>
      <c r="O488" s="5">
        <v>0</v>
      </c>
      <c r="P488" s="5">
        <v>0</v>
      </c>
      <c r="Q488" s="5">
        <v>0</v>
      </c>
      <c r="R488" s="5">
        <v>0</v>
      </c>
      <c r="S488" s="5">
        <v>0</v>
      </c>
      <c r="T488" s="5">
        <v>0</v>
      </c>
      <c r="U488" s="6">
        <v>0</v>
      </c>
      <c r="V488" s="5">
        <v>10</v>
      </c>
      <c r="W488" s="5">
        <v>5</v>
      </c>
      <c r="X488" s="16">
        <v>2000</v>
      </c>
      <c r="Y488" s="16">
        <v>7000</v>
      </c>
      <c r="Z488" s="16">
        <v>14000</v>
      </c>
      <c r="AA488" s="12" t="str">
        <f t="shared" si="100"/>
        <v>1/60</v>
      </c>
      <c r="AB488" s="12" t="str">
        <f t="shared" si="101"/>
        <v>100,0,100,100,100,100</v>
      </c>
      <c r="AC488" s="12">
        <f t="shared" si="102"/>
        <v>3</v>
      </c>
      <c r="AD488" s="12" t="str">
        <f t="shared" si="103"/>
        <v>2000/7000/14000</v>
      </c>
      <c r="AE488" s="12" t="str">
        <f t="shared" si="104"/>
        <v/>
      </c>
      <c r="AF488" s="12" t="str">
        <f t="shared" si="105"/>
        <v/>
      </c>
      <c r="AG488" s="12" t="str">
        <f t="shared" si="106"/>
        <v/>
      </c>
      <c r="AH488" s="12" t="str">
        <f t="shared" si="107"/>
        <v/>
      </c>
      <c r="AI488" s="12" t="str">
        <f t="shared" si="108"/>
        <v>10/5</v>
      </c>
    </row>
    <row r="489" spans="1:35" s="8" customFormat="1" ht="21.95" customHeight="1">
      <c r="A489" s="9">
        <v>487</v>
      </c>
      <c r="B489" s="17">
        <v>487</v>
      </c>
      <c r="C489" s="6">
        <v>0</v>
      </c>
      <c r="D489" s="6">
        <v>60</v>
      </c>
      <c r="E489" s="5">
        <v>100</v>
      </c>
      <c r="F489" s="5">
        <v>100</v>
      </c>
      <c r="G489" s="5">
        <v>0</v>
      </c>
      <c r="H489" s="5">
        <v>100</v>
      </c>
      <c r="I489" s="5">
        <v>100</v>
      </c>
      <c r="J489" s="5">
        <v>100</v>
      </c>
      <c r="K489" s="15" t="s">
        <v>54</v>
      </c>
      <c r="L489" s="6">
        <v>3</v>
      </c>
      <c r="M489" s="6">
        <v>0</v>
      </c>
      <c r="N489" s="6">
        <v>0</v>
      </c>
      <c r="O489" s="5">
        <v>0</v>
      </c>
      <c r="P489" s="5">
        <v>0</v>
      </c>
      <c r="Q489" s="5">
        <v>0</v>
      </c>
      <c r="R489" s="5">
        <v>0</v>
      </c>
      <c r="S489" s="5">
        <v>0</v>
      </c>
      <c r="T489" s="5">
        <v>0</v>
      </c>
      <c r="U489" s="6">
        <v>0</v>
      </c>
      <c r="V489" s="5">
        <v>10</v>
      </c>
      <c r="W489" s="5">
        <v>5</v>
      </c>
      <c r="X489" s="16">
        <v>2000</v>
      </c>
      <c r="Y489" s="16">
        <v>7000</v>
      </c>
      <c r="Z489" s="16">
        <v>14000</v>
      </c>
      <c r="AA489" s="12" t="str">
        <f t="shared" si="100"/>
        <v>1/60</v>
      </c>
      <c r="AB489" s="12" t="str">
        <f t="shared" si="101"/>
        <v>100,100,0,100,100,100</v>
      </c>
      <c r="AC489" s="12">
        <f t="shared" si="102"/>
        <v>3</v>
      </c>
      <c r="AD489" s="12" t="str">
        <f t="shared" si="103"/>
        <v>2000/7000/14000</v>
      </c>
      <c r="AE489" s="12" t="str">
        <f t="shared" si="104"/>
        <v/>
      </c>
      <c r="AF489" s="12" t="str">
        <f t="shared" si="105"/>
        <v/>
      </c>
      <c r="AG489" s="12" t="str">
        <f t="shared" si="106"/>
        <v/>
      </c>
      <c r="AH489" s="12" t="str">
        <f t="shared" si="107"/>
        <v/>
      </c>
      <c r="AI489" s="12" t="str">
        <f t="shared" si="108"/>
        <v>10/5</v>
      </c>
    </row>
    <row r="490" spans="1:35" s="8" customFormat="1" ht="21.95" customHeight="1">
      <c r="A490" s="9">
        <v>488</v>
      </c>
      <c r="B490" s="17">
        <v>488</v>
      </c>
      <c r="C490" s="6">
        <v>30</v>
      </c>
      <c r="D490" s="6">
        <v>0</v>
      </c>
      <c r="E490" s="5">
        <v>100</v>
      </c>
      <c r="F490" s="5">
        <v>100</v>
      </c>
      <c r="G490" s="5">
        <v>100</v>
      </c>
      <c r="H490" s="5">
        <v>0</v>
      </c>
      <c r="I490" s="5">
        <v>100</v>
      </c>
      <c r="J490" s="5">
        <v>100</v>
      </c>
      <c r="K490" s="15" t="s">
        <v>55</v>
      </c>
      <c r="L490" s="6">
        <v>3</v>
      </c>
      <c r="M490" s="6">
        <v>0</v>
      </c>
      <c r="N490" s="6">
        <v>0</v>
      </c>
      <c r="O490" s="5">
        <v>0</v>
      </c>
      <c r="P490" s="5">
        <v>0</v>
      </c>
      <c r="Q490" s="5">
        <v>0</v>
      </c>
      <c r="R490" s="5">
        <v>0</v>
      </c>
      <c r="S490" s="5">
        <v>0</v>
      </c>
      <c r="T490" s="5">
        <v>0</v>
      </c>
      <c r="U490" s="6">
        <v>5</v>
      </c>
      <c r="V490" s="5">
        <v>10</v>
      </c>
      <c r="W490" s="5">
        <v>5</v>
      </c>
      <c r="X490" s="16">
        <v>2000</v>
      </c>
      <c r="Y490" s="16">
        <v>7000</v>
      </c>
      <c r="Z490" s="16">
        <v>14000</v>
      </c>
      <c r="AA490" s="12" t="str">
        <f t="shared" si="100"/>
        <v>0/30</v>
      </c>
      <c r="AB490" s="12" t="str">
        <f t="shared" si="101"/>
        <v>100,100,100,0,100,100</v>
      </c>
      <c r="AC490" s="12">
        <f t="shared" si="102"/>
        <v>4</v>
      </c>
      <c r="AD490" s="12" t="str">
        <f t="shared" si="103"/>
        <v>2000/7000/14000</v>
      </c>
      <c r="AE490" s="12" t="str">
        <f t="shared" si="104"/>
        <v/>
      </c>
      <c r="AF490" s="12" t="str">
        <f t="shared" si="105"/>
        <v/>
      </c>
      <c r="AG490" s="12" t="str">
        <f t="shared" si="106"/>
        <v/>
      </c>
      <c r="AH490" s="12" t="str">
        <f t="shared" si="107"/>
        <v/>
      </c>
      <c r="AI490" s="12" t="str">
        <f t="shared" si="108"/>
        <v>10/5</v>
      </c>
    </row>
    <row r="491" spans="1:35" s="8" customFormat="1" ht="21.95" customHeight="1">
      <c r="A491" s="9">
        <v>489</v>
      </c>
      <c r="B491" s="17">
        <v>489</v>
      </c>
      <c r="C491" s="6">
        <v>30</v>
      </c>
      <c r="D491" s="6">
        <v>0</v>
      </c>
      <c r="E491" s="5">
        <v>100</v>
      </c>
      <c r="F491" s="5">
        <v>100</v>
      </c>
      <c r="G491" s="5">
        <v>100</v>
      </c>
      <c r="H491" s="5">
        <v>100</v>
      </c>
      <c r="I491" s="5">
        <v>0</v>
      </c>
      <c r="J491" s="5">
        <v>100</v>
      </c>
      <c r="K491" s="15" t="s">
        <v>55</v>
      </c>
      <c r="L491" s="6">
        <v>3</v>
      </c>
      <c r="M491" s="6">
        <v>0</v>
      </c>
      <c r="N491" s="6">
        <v>0</v>
      </c>
      <c r="O491" s="5">
        <v>0</v>
      </c>
      <c r="P491" s="5">
        <v>0</v>
      </c>
      <c r="Q491" s="5">
        <v>0</v>
      </c>
      <c r="R491" s="5">
        <v>0</v>
      </c>
      <c r="S491" s="5">
        <v>0</v>
      </c>
      <c r="T491" s="5">
        <v>0</v>
      </c>
      <c r="U491" s="6">
        <v>5</v>
      </c>
      <c r="V491" s="5">
        <v>10</v>
      </c>
      <c r="W491" s="5">
        <v>5</v>
      </c>
      <c r="X491" s="16">
        <v>2000</v>
      </c>
      <c r="Y491" s="16">
        <v>7000</v>
      </c>
      <c r="Z491" s="16">
        <v>14000</v>
      </c>
      <c r="AA491" s="12" t="str">
        <f t="shared" si="100"/>
        <v>0/30</v>
      </c>
      <c r="AB491" s="12" t="str">
        <f t="shared" si="101"/>
        <v>100,100,100,100,0,100</v>
      </c>
      <c r="AC491" s="12">
        <f t="shared" si="102"/>
        <v>4</v>
      </c>
      <c r="AD491" s="12" t="str">
        <f t="shared" si="103"/>
        <v>2000/7000/14000</v>
      </c>
      <c r="AE491" s="12" t="str">
        <f t="shared" si="104"/>
        <v/>
      </c>
      <c r="AF491" s="12" t="str">
        <f t="shared" si="105"/>
        <v/>
      </c>
      <c r="AG491" s="12" t="str">
        <f t="shared" si="106"/>
        <v/>
      </c>
      <c r="AH491" s="12" t="str">
        <f t="shared" si="107"/>
        <v/>
      </c>
      <c r="AI491" s="12" t="str">
        <f t="shared" si="108"/>
        <v>10/5</v>
      </c>
    </row>
    <row r="492" spans="1:35" s="8" customFormat="1" ht="21.95" customHeight="1">
      <c r="A492" s="9">
        <v>490</v>
      </c>
      <c r="B492" s="17">
        <v>490</v>
      </c>
      <c r="C492" s="6">
        <v>30</v>
      </c>
      <c r="D492" s="6">
        <v>0</v>
      </c>
      <c r="E492" s="5">
        <v>100</v>
      </c>
      <c r="F492" s="5">
        <v>100</v>
      </c>
      <c r="G492" s="5">
        <v>100</v>
      </c>
      <c r="H492" s="5">
        <v>100</v>
      </c>
      <c r="I492" s="5">
        <v>100</v>
      </c>
      <c r="J492" s="5">
        <v>0</v>
      </c>
      <c r="K492" s="15" t="s">
        <v>56</v>
      </c>
      <c r="L492" s="6">
        <v>3</v>
      </c>
      <c r="M492" s="6">
        <v>0</v>
      </c>
      <c r="N492" s="6">
        <v>0</v>
      </c>
      <c r="O492" s="5">
        <v>0</v>
      </c>
      <c r="P492" s="5">
        <v>0</v>
      </c>
      <c r="Q492" s="5">
        <v>0</v>
      </c>
      <c r="R492" s="5">
        <v>0</v>
      </c>
      <c r="S492" s="5">
        <v>0</v>
      </c>
      <c r="T492" s="5">
        <v>0</v>
      </c>
      <c r="U492" s="6">
        <v>0</v>
      </c>
      <c r="V492" s="5">
        <v>10</v>
      </c>
      <c r="W492" s="5">
        <v>5</v>
      </c>
      <c r="X492" s="16">
        <v>2000</v>
      </c>
      <c r="Y492" s="16">
        <v>7000</v>
      </c>
      <c r="Z492" s="16">
        <v>14000</v>
      </c>
      <c r="AA492" s="12" t="str">
        <f t="shared" si="100"/>
        <v>0/30</v>
      </c>
      <c r="AB492" s="12" t="str">
        <f t="shared" si="101"/>
        <v>100,100,100,100,100,0</v>
      </c>
      <c r="AC492" s="12">
        <f t="shared" si="102"/>
        <v>5</v>
      </c>
      <c r="AD492" s="12" t="str">
        <f t="shared" si="103"/>
        <v>2000/7000/14000</v>
      </c>
      <c r="AE492" s="12" t="str">
        <f t="shared" si="104"/>
        <v/>
      </c>
      <c r="AF492" s="12" t="str">
        <f t="shared" si="105"/>
        <v/>
      </c>
      <c r="AG492" s="12" t="str">
        <f t="shared" si="106"/>
        <v/>
      </c>
      <c r="AH492" s="12" t="str">
        <f t="shared" si="107"/>
        <v/>
      </c>
      <c r="AI492" s="12" t="str">
        <f t="shared" si="108"/>
        <v>10/5</v>
      </c>
    </row>
    <row r="493" spans="1:35" s="8" customFormat="1" ht="21.95" customHeight="1">
      <c r="A493" s="9">
        <v>491</v>
      </c>
      <c r="B493" s="17">
        <v>491</v>
      </c>
      <c r="C493" s="6">
        <v>30</v>
      </c>
      <c r="D493" s="6">
        <v>0</v>
      </c>
      <c r="E493" s="5">
        <v>0</v>
      </c>
      <c r="F493" s="5">
        <v>100</v>
      </c>
      <c r="G493" s="5">
        <v>100</v>
      </c>
      <c r="H493" s="5">
        <v>100</v>
      </c>
      <c r="I493" s="5">
        <v>100</v>
      </c>
      <c r="J493" s="5">
        <v>100</v>
      </c>
      <c r="K493" s="15" t="s">
        <v>56</v>
      </c>
      <c r="L493" s="6">
        <v>3</v>
      </c>
      <c r="M493" s="6">
        <v>0</v>
      </c>
      <c r="N493" s="6">
        <v>0</v>
      </c>
      <c r="O493" s="5">
        <v>0</v>
      </c>
      <c r="P493" s="5">
        <v>0</v>
      </c>
      <c r="Q493" s="5">
        <v>0</v>
      </c>
      <c r="R493" s="5">
        <v>0</v>
      </c>
      <c r="S493" s="5">
        <v>0</v>
      </c>
      <c r="T493" s="5">
        <v>0</v>
      </c>
      <c r="U493" s="6">
        <v>0</v>
      </c>
      <c r="V493" s="5">
        <v>10</v>
      </c>
      <c r="W493" s="5">
        <v>5</v>
      </c>
      <c r="X493" s="16">
        <v>2000</v>
      </c>
      <c r="Y493" s="16">
        <v>7000</v>
      </c>
      <c r="Z493" s="16">
        <v>14000</v>
      </c>
      <c r="AA493" s="12" t="str">
        <f t="shared" si="100"/>
        <v>0/30</v>
      </c>
      <c r="AB493" s="12" t="str">
        <f t="shared" si="101"/>
        <v>0,100,100,100,100,100</v>
      </c>
      <c r="AC493" s="12">
        <f t="shared" si="102"/>
        <v>5</v>
      </c>
      <c r="AD493" s="12" t="str">
        <f t="shared" si="103"/>
        <v>2000/7000/14000</v>
      </c>
      <c r="AE493" s="12" t="str">
        <f t="shared" si="104"/>
        <v/>
      </c>
      <c r="AF493" s="12" t="str">
        <f t="shared" si="105"/>
        <v/>
      </c>
      <c r="AG493" s="12" t="str">
        <f t="shared" si="106"/>
        <v/>
      </c>
      <c r="AH493" s="12" t="str">
        <f t="shared" si="107"/>
        <v/>
      </c>
      <c r="AI493" s="12" t="str">
        <f t="shared" si="108"/>
        <v>10/5</v>
      </c>
    </row>
    <row r="494" spans="1:35" s="8" customFormat="1" ht="21.95" customHeight="1">
      <c r="A494" s="9">
        <v>492</v>
      </c>
      <c r="B494" s="17">
        <v>492</v>
      </c>
      <c r="C494" s="6">
        <v>30</v>
      </c>
      <c r="D494" s="6">
        <v>0</v>
      </c>
      <c r="E494" s="5">
        <v>100</v>
      </c>
      <c r="F494" s="5">
        <v>0</v>
      </c>
      <c r="G494" s="5">
        <v>100</v>
      </c>
      <c r="H494" s="5">
        <v>100</v>
      </c>
      <c r="I494" s="5">
        <v>100</v>
      </c>
      <c r="J494" s="5">
        <v>100</v>
      </c>
      <c r="K494" s="15" t="s">
        <v>53</v>
      </c>
      <c r="L494" s="6">
        <v>3</v>
      </c>
      <c r="M494" s="6">
        <v>0</v>
      </c>
      <c r="N494" s="6">
        <v>0</v>
      </c>
      <c r="O494" s="5">
        <v>0</v>
      </c>
      <c r="P494" s="5">
        <v>0</v>
      </c>
      <c r="Q494" s="5">
        <v>20</v>
      </c>
      <c r="R494" s="5">
        <v>24</v>
      </c>
      <c r="S494" s="5">
        <v>0</v>
      </c>
      <c r="T494" s="5">
        <v>0</v>
      </c>
      <c r="U494" s="6">
        <v>0</v>
      </c>
      <c r="V494" s="5">
        <v>10</v>
      </c>
      <c r="W494" s="5">
        <v>5</v>
      </c>
      <c r="X494" s="16">
        <v>2000</v>
      </c>
      <c r="Y494" s="16">
        <v>7000</v>
      </c>
      <c r="Z494" s="16">
        <v>14000</v>
      </c>
      <c r="AA494" s="12" t="str">
        <f t="shared" si="100"/>
        <v>0/30</v>
      </c>
      <c r="AB494" s="12" t="str">
        <f t="shared" si="101"/>
        <v>100,0,100,100,100,100</v>
      </c>
      <c r="AC494" s="12">
        <f t="shared" si="102"/>
        <v>2</v>
      </c>
      <c r="AD494" s="12" t="str">
        <f t="shared" si="103"/>
        <v>2000/7000/14000</v>
      </c>
      <c r="AE494" s="12" t="str">
        <f t="shared" si="104"/>
        <v/>
      </c>
      <c r="AF494" s="12" t="str">
        <f t="shared" si="105"/>
        <v/>
      </c>
      <c r="AG494" s="12" t="str">
        <f t="shared" si="106"/>
        <v>2/3/</v>
      </c>
      <c r="AH494" s="12" t="str">
        <f t="shared" si="107"/>
        <v>20/24/</v>
      </c>
      <c r="AI494" s="12" t="str">
        <f t="shared" si="108"/>
        <v>10/5</v>
      </c>
    </row>
    <row r="495" spans="1:35" s="8" customFormat="1" ht="21.95" customHeight="1">
      <c r="A495" s="9">
        <v>493</v>
      </c>
      <c r="B495" s="17">
        <v>493</v>
      </c>
      <c r="C495" s="6">
        <v>30</v>
      </c>
      <c r="D495" s="6">
        <v>0</v>
      </c>
      <c r="E495" s="5">
        <v>100</v>
      </c>
      <c r="F495" s="5">
        <v>100</v>
      </c>
      <c r="G495" s="5">
        <v>0</v>
      </c>
      <c r="H495" s="5">
        <v>100</v>
      </c>
      <c r="I495" s="5">
        <v>100</v>
      </c>
      <c r="J495" s="5">
        <v>100</v>
      </c>
      <c r="K495" s="15" t="s">
        <v>53</v>
      </c>
      <c r="L495" s="6">
        <v>3</v>
      </c>
      <c r="M495" s="6">
        <v>0</v>
      </c>
      <c r="N495" s="6">
        <v>0</v>
      </c>
      <c r="O495" s="5">
        <v>0</v>
      </c>
      <c r="P495" s="5">
        <v>0</v>
      </c>
      <c r="Q495" s="5">
        <v>0</v>
      </c>
      <c r="R495" s="5">
        <v>18</v>
      </c>
      <c r="S495" s="5">
        <v>32</v>
      </c>
      <c r="T495" s="5">
        <v>0</v>
      </c>
      <c r="U495" s="6">
        <v>0</v>
      </c>
      <c r="V495" s="5">
        <v>10</v>
      </c>
      <c r="W495" s="5">
        <v>5</v>
      </c>
      <c r="X495" s="16">
        <v>2000</v>
      </c>
      <c r="Y495" s="16">
        <v>7000</v>
      </c>
      <c r="Z495" s="16">
        <v>14000</v>
      </c>
      <c r="AA495" s="12" t="str">
        <f t="shared" si="100"/>
        <v>0/30</v>
      </c>
      <c r="AB495" s="12" t="str">
        <f t="shared" si="101"/>
        <v>100,100,0,100,100,100</v>
      </c>
      <c r="AC495" s="12">
        <f t="shared" si="102"/>
        <v>2</v>
      </c>
      <c r="AD495" s="12" t="str">
        <f t="shared" si="103"/>
        <v>2000/7000/14000</v>
      </c>
      <c r="AE495" s="12" t="str">
        <f t="shared" si="104"/>
        <v/>
      </c>
      <c r="AF495" s="12" t="str">
        <f t="shared" si="105"/>
        <v/>
      </c>
      <c r="AG495" s="12" t="str">
        <f t="shared" si="106"/>
        <v>3/4/</v>
      </c>
      <c r="AH495" s="12" t="str">
        <f t="shared" si="107"/>
        <v>18/32/</v>
      </c>
      <c r="AI495" s="12" t="str">
        <f t="shared" si="108"/>
        <v>10/5</v>
      </c>
    </row>
    <row r="496" spans="1:35" s="8" customFormat="1" ht="21.95" customHeight="1">
      <c r="A496" s="9">
        <v>494</v>
      </c>
      <c r="B496" s="17">
        <v>494</v>
      </c>
      <c r="C496" s="6">
        <v>0</v>
      </c>
      <c r="D496" s="6">
        <v>60</v>
      </c>
      <c r="E496" s="5">
        <v>100</v>
      </c>
      <c r="F496" s="5">
        <v>100</v>
      </c>
      <c r="G496" s="5">
        <v>100</v>
      </c>
      <c r="H496" s="5">
        <v>0</v>
      </c>
      <c r="I496" s="5">
        <v>100</v>
      </c>
      <c r="J496" s="5">
        <v>100</v>
      </c>
      <c r="K496" s="15" t="s">
        <v>52</v>
      </c>
      <c r="L496" s="6">
        <v>3</v>
      </c>
      <c r="M496" s="6">
        <v>6</v>
      </c>
      <c r="N496" s="6">
        <v>0</v>
      </c>
      <c r="O496" s="5">
        <v>0</v>
      </c>
      <c r="P496" s="5">
        <v>0</v>
      </c>
      <c r="Q496" s="5">
        <v>0</v>
      </c>
      <c r="R496" s="5">
        <v>0</v>
      </c>
      <c r="S496" s="5">
        <v>0</v>
      </c>
      <c r="T496" s="5">
        <v>0</v>
      </c>
      <c r="U496" s="6">
        <v>0</v>
      </c>
      <c r="V496" s="5">
        <v>10</v>
      </c>
      <c r="W496" s="5">
        <v>5</v>
      </c>
      <c r="X496" s="16">
        <v>2000</v>
      </c>
      <c r="Y496" s="16">
        <v>7000</v>
      </c>
      <c r="Z496" s="16">
        <v>14000</v>
      </c>
      <c r="AA496" s="12" t="str">
        <f t="shared" si="100"/>
        <v>1/60</v>
      </c>
      <c r="AB496" s="12" t="str">
        <f t="shared" si="101"/>
        <v>100,100,100,0,100,100</v>
      </c>
      <c r="AC496" s="12">
        <f t="shared" si="102"/>
        <v>1</v>
      </c>
      <c r="AD496" s="12" t="str">
        <f t="shared" si="103"/>
        <v>2000/7000/14000</v>
      </c>
      <c r="AE496" s="12" t="str">
        <f t="shared" si="104"/>
        <v>0/</v>
      </c>
      <c r="AF496" s="12" t="str">
        <f t="shared" si="105"/>
        <v>6/</v>
      </c>
      <c r="AG496" s="12" t="str">
        <f t="shared" si="106"/>
        <v/>
      </c>
      <c r="AH496" s="12" t="str">
        <f t="shared" si="107"/>
        <v/>
      </c>
      <c r="AI496" s="12" t="str">
        <f t="shared" si="108"/>
        <v>10/5</v>
      </c>
    </row>
    <row r="497" spans="1:35" s="8" customFormat="1" ht="21.95" customHeight="1">
      <c r="A497" s="9">
        <v>495</v>
      </c>
      <c r="B497" s="17">
        <v>495</v>
      </c>
      <c r="C497" s="6">
        <v>0</v>
      </c>
      <c r="D497" s="6">
        <v>60</v>
      </c>
      <c r="E497" s="5">
        <v>100</v>
      </c>
      <c r="F497" s="5">
        <v>100</v>
      </c>
      <c r="G497" s="5">
        <v>100</v>
      </c>
      <c r="H497" s="5">
        <v>100</v>
      </c>
      <c r="I497" s="5">
        <v>0</v>
      </c>
      <c r="J497" s="5">
        <v>100</v>
      </c>
      <c r="K497" s="15" t="s">
        <v>52</v>
      </c>
      <c r="L497" s="6">
        <v>3</v>
      </c>
      <c r="M497" s="6">
        <v>2</v>
      </c>
      <c r="N497" s="6">
        <v>4</v>
      </c>
      <c r="O497" s="5">
        <v>0</v>
      </c>
      <c r="P497" s="5">
        <v>0</v>
      </c>
      <c r="Q497" s="5">
        <v>0</v>
      </c>
      <c r="R497" s="5">
        <v>0</v>
      </c>
      <c r="S497" s="5">
        <v>0</v>
      </c>
      <c r="T497" s="5">
        <v>0</v>
      </c>
      <c r="U497" s="6">
        <v>0</v>
      </c>
      <c r="V497" s="5">
        <v>10</v>
      </c>
      <c r="W497" s="5">
        <v>5</v>
      </c>
      <c r="X497" s="16">
        <v>2000</v>
      </c>
      <c r="Y497" s="16">
        <v>7000</v>
      </c>
      <c r="Z497" s="16">
        <v>14000</v>
      </c>
      <c r="AA497" s="12" t="str">
        <f t="shared" si="100"/>
        <v>1/60</v>
      </c>
      <c r="AB497" s="12" t="str">
        <f t="shared" si="101"/>
        <v>100,100,100,100,0,100</v>
      </c>
      <c r="AC497" s="12">
        <f t="shared" si="102"/>
        <v>1</v>
      </c>
      <c r="AD497" s="12" t="str">
        <f t="shared" si="103"/>
        <v>2000/7000/14000</v>
      </c>
      <c r="AE497" s="12" t="str">
        <f t="shared" si="104"/>
        <v>0/1/</v>
      </c>
      <c r="AF497" s="12" t="str">
        <f t="shared" si="105"/>
        <v>2/4/</v>
      </c>
      <c r="AG497" s="12" t="str">
        <f t="shared" si="106"/>
        <v/>
      </c>
      <c r="AH497" s="12" t="str">
        <f t="shared" si="107"/>
        <v/>
      </c>
      <c r="AI497" s="12" t="str">
        <f t="shared" si="108"/>
        <v>10/5</v>
      </c>
    </row>
    <row r="498" spans="1:35" s="8" customFormat="1" ht="21.95" customHeight="1">
      <c r="A498" s="9">
        <v>496</v>
      </c>
      <c r="B498" s="17">
        <v>496</v>
      </c>
      <c r="C498" s="6">
        <v>30</v>
      </c>
      <c r="D498" s="6">
        <v>0</v>
      </c>
      <c r="E498" s="5">
        <v>100</v>
      </c>
      <c r="F498" s="5">
        <v>100</v>
      </c>
      <c r="G498" s="5">
        <v>100</v>
      </c>
      <c r="H498" s="5">
        <v>100</v>
      </c>
      <c r="I498" s="5">
        <v>100</v>
      </c>
      <c r="J498" s="5">
        <v>0</v>
      </c>
      <c r="K498" s="15" t="s">
        <v>54</v>
      </c>
      <c r="L498" s="6">
        <v>3</v>
      </c>
      <c r="M498" s="6">
        <v>0</v>
      </c>
      <c r="N498" s="6">
        <v>0</v>
      </c>
      <c r="O498" s="5">
        <v>0</v>
      </c>
      <c r="P498" s="5">
        <v>0</v>
      </c>
      <c r="Q498" s="5">
        <v>0</v>
      </c>
      <c r="R498" s="5">
        <v>0</v>
      </c>
      <c r="S498" s="5">
        <v>0</v>
      </c>
      <c r="T498" s="5">
        <v>0</v>
      </c>
      <c r="U498" s="6">
        <v>0</v>
      </c>
      <c r="V498" s="5">
        <v>10</v>
      </c>
      <c r="W498" s="5">
        <v>5</v>
      </c>
      <c r="X498" s="16">
        <v>2000</v>
      </c>
      <c r="Y498" s="16">
        <v>7000</v>
      </c>
      <c r="Z498" s="16">
        <v>14000</v>
      </c>
      <c r="AA498" s="12" t="str">
        <f t="shared" si="100"/>
        <v>0/30</v>
      </c>
      <c r="AB498" s="12" t="str">
        <f t="shared" si="101"/>
        <v>100,100,100,100,100,0</v>
      </c>
      <c r="AC498" s="12">
        <f t="shared" si="102"/>
        <v>3</v>
      </c>
      <c r="AD498" s="12" t="str">
        <f t="shared" si="103"/>
        <v>2000/7000/14000</v>
      </c>
      <c r="AE498" s="12" t="str">
        <f t="shared" si="104"/>
        <v/>
      </c>
      <c r="AF498" s="12" t="str">
        <f t="shared" si="105"/>
        <v/>
      </c>
      <c r="AG498" s="12" t="str">
        <f t="shared" si="106"/>
        <v/>
      </c>
      <c r="AH498" s="12" t="str">
        <f t="shared" si="107"/>
        <v/>
      </c>
      <c r="AI498" s="12" t="str">
        <f t="shared" si="108"/>
        <v>10/5</v>
      </c>
    </row>
    <row r="499" spans="1:35" s="8" customFormat="1" ht="21.95" customHeight="1">
      <c r="A499" s="9">
        <v>497</v>
      </c>
      <c r="B499" s="17">
        <v>497</v>
      </c>
      <c r="C499" s="6">
        <v>30</v>
      </c>
      <c r="D499" s="6">
        <v>0</v>
      </c>
      <c r="E499" s="5">
        <v>0</v>
      </c>
      <c r="F499" s="5">
        <v>100</v>
      </c>
      <c r="G499" s="5">
        <v>100</v>
      </c>
      <c r="H499" s="5">
        <v>100</v>
      </c>
      <c r="I499" s="5">
        <v>100</v>
      </c>
      <c r="J499" s="5">
        <v>100</v>
      </c>
      <c r="K499" s="15" t="s">
        <v>54</v>
      </c>
      <c r="L499" s="6">
        <v>3</v>
      </c>
      <c r="M499" s="6">
        <v>0</v>
      </c>
      <c r="N499" s="6">
        <v>0</v>
      </c>
      <c r="O499" s="5">
        <v>0</v>
      </c>
      <c r="P499" s="5">
        <v>0</v>
      </c>
      <c r="Q499" s="5">
        <v>0</v>
      </c>
      <c r="R499" s="5">
        <v>0</v>
      </c>
      <c r="S499" s="5">
        <v>0</v>
      </c>
      <c r="T499" s="5">
        <v>0</v>
      </c>
      <c r="U499" s="6">
        <v>0</v>
      </c>
      <c r="V499" s="5">
        <v>10</v>
      </c>
      <c r="W499" s="5">
        <v>5</v>
      </c>
      <c r="X499" s="16">
        <v>2000</v>
      </c>
      <c r="Y499" s="16">
        <v>7000</v>
      </c>
      <c r="Z499" s="16">
        <v>14000</v>
      </c>
      <c r="AA499" s="12" t="str">
        <f t="shared" si="100"/>
        <v>0/30</v>
      </c>
      <c r="AB499" s="12" t="str">
        <f t="shared" si="101"/>
        <v>0,100,100,100,100,100</v>
      </c>
      <c r="AC499" s="12">
        <f t="shared" si="102"/>
        <v>3</v>
      </c>
      <c r="AD499" s="12" t="str">
        <f t="shared" si="103"/>
        <v>2000/7000/14000</v>
      </c>
      <c r="AE499" s="12" t="str">
        <f t="shared" si="104"/>
        <v/>
      </c>
      <c r="AF499" s="12" t="str">
        <f t="shared" si="105"/>
        <v/>
      </c>
      <c r="AG499" s="12" t="str">
        <f t="shared" si="106"/>
        <v/>
      </c>
      <c r="AH499" s="12" t="str">
        <f t="shared" si="107"/>
        <v/>
      </c>
      <c r="AI499" s="12" t="str">
        <f t="shared" si="108"/>
        <v>10/5</v>
      </c>
    </row>
    <row r="500" spans="1:35" s="8" customFormat="1" ht="21.95" customHeight="1">
      <c r="A500" s="9">
        <v>498</v>
      </c>
      <c r="B500" s="17">
        <v>498</v>
      </c>
      <c r="C500" s="6">
        <v>30</v>
      </c>
      <c r="D500" s="6">
        <v>0</v>
      </c>
      <c r="E500" s="5">
        <v>100</v>
      </c>
      <c r="F500" s="5">
        <v>0</v>
      </c>
      <c r="G500" s="5">
        <v>100</v>
      </c>
      <c r="H500" s="5">
        <v>100</v>
      </c>
      <c r="I500" s="5">
        <v>100</v>
      </c>
      <c r="J500" s="5">
        <v>100</v>
      </c>
      <c r="K500" s="15" t="s">
        <v>55</v>
      </c>
      <c r="L500" s="6">
        <v>3</v>
      </c>
      <c r="M500" s="6">
        <v>0</v>
      </c>
      <c r="N500" s="6">
        <v>0</v>
      </c>
      <c r="O500" s="5">
        <v>0</v>
      </c>
      <c r="P500" s="5">
        <v>0</v>
      </c>
      <c r="Q500" s="5">
        <v>0</v>
      </c>
      <c r="R500" s="5">
        <v>0</v>
      </c>
      <c r="S500" s="5">
        <v>0</v>
      </c>
      <c r="T500" s="5">
        <v>0</v>
      </c>
      <c r="U500" s="6">
        <v>5</v>
      </c>
      <c r="V500" s="5">
        <v>10</v>
      </c>
      <c r="W500" s="5">
        <v>5</v>
      </c>
      <c r="X500" s="16">
        <v>2000</v>
      </c>
      <c r="Y500" s="16">
        <v>7000</v>
      </c>
      <c r="Z500" s="16">
        <v>14000</v>
      </c>
      <c r="AA500" s="12" t="str">
        <f t="shared" si="100"/>
        <v>0/30</v>
      </c>
      <c r="AB500" s="12" t="str">
        <f t="shared" si="101"/>
        <v>100,0,100,100,100,100</v>
      </c>
      <c r="AC500" s="12">
        <f t="shared" si="102"/>
        <v>4</v>
      </c>
      <c r="AD500" s="12" t="str">
        <f t="shared" si="103"/>
        <v>2000/7000/14000</v>
      </c>
      <c r="AE500" s="12" t="str">
        <f t="shared" si="104"/>
        <v/>
      </c>
      <c r="AF500" s="12" t="str">
        <f t="shared" si="105"/>
        <v/>
      </c>
      <c r="AG500" s="12" t="str">
        <f t="shared" si="106"/>
        <v/>
      </c>
      <c r="AH500" s="12" t="str">
        <f t="shared" si="107"/>
        <v/>
      </c>
      <c r="AI500" s="12" t="str">
        <f t="shared" si="108"/>
        <v>10/5</v>
      </c>
    </row>
    <row r="501" spans="1:35" s="8" customFormat="1" ht="21.95" customHeight="1">
      <c r="A501" s="9">
        <v>499</v>
      </c>
      <c r="B501" s="17">
        <v>499</v>
      </c>
      <c r="C501" s="6">
        <v>30</v>
      </c>
      <c r="D501" s="6">
        <v>0</v>
      </c>
      <c r="E501" s="5">
        <v>100</v>
      </c>
      <c r="F501" s="5">
        <v>100</v>
      </c>
      <c r="G501" s="5">
        <v>0</v>
      </c>
      <c r="H501" s="5">
        <v>100</v>
      </c>
      <c r="I501" s="5">
        <v>100</v>
      </c>
      <c r="J501" s="5">
        <v>100</v>
      </c>
      <c r="K501" s="15" t="s">
        <v>55</v>
      </c>
      <c r="L501" s="6">
        <v>3</v>
      </c>
      <c r="M501" s="6">
        <v>0</v>
      </c>
      <c r="N501" s="6">
        <v>0</v>
      </c>
      <c r="O501" s="5">
        <v>0</v>
      </c>
      <c r="P501" s="5">
        <v>0</v>
      </c>
      <c r="Q501" s="5">
        <v>0</v>
      </c>
      <c r="R501" s="5">
        <v>0</v>
      </c>
      <c r="S501" s="5">
        <v>0</v>
      </c>
      <c r="T501" s="5">
        <v>0</v>
      </c>
      <c r="U501" s="6">
        <v>5</v>
      </c>
      <c r="V501" s="5">
        <v>10</v>
      </c>
      <c r="W501" s="5">
        <v>5</v>
      </c>
      <c r="X501" s="16">
        <v>2000</v>
      </c>
      <c r="Y501" s="16">
        <v>7000</v>
      </c>
      <c r="Z501" s="16">
        <v>14000</v>
      </c>
      <c r="AA501" s="12" t="str">
        <f t="shared" si="100"/>
        <v>0/30</v>
      </c>
      <c r="AB501" s="12" t="str">
        <f t="shared" si="101"/>
        <v>100,100,0,100,100,100</v>
      </c>
      <c r="AC501" s="12">
        <f t="shared" si="102"/>
        <v>4</v>
      </c>
      <c r="AD501" s="12" t="str">
        <f t="shared" si="103"/>
        <v>2000/7000/14000</v>
      </c>
      <c r="AE501" s="12" t="str">
        <f t="shared" si="104"/>
        <v/>
      </c>
      <c r="AF501" s="12" t="str">
        <f t="shared" si="105"/>
        <v/>
      </c>
      <c r="AG501" s="12" t="str">
        <f t="shared" si="106"/>
        <v/>
      </c>
      <c r="AH501" s="12" t="str">
        <f t="shared" si="107"/>
        <v/>
      </c>
      <c r="AI501" s="12" t="str">
        <f t="shared" si="108"/>
        <v>10/5</v>
      </c>
    </row>
    <row r="502" spans="1:35" s="8" customFormat="1" ht="21.95" customHeight="1">
      <c r="A502" s="9">
        <v>500</v>
      </c>
      <c r="B502" s="17">
        <v>500</v>
      </c>
      <c r="C502" s="6">
        <v>32</v>
      </c>
      <c r="D502" s="6">
        <v>0</v>
      </c>
      <c r="E502" s="5">
        <v>100</v>
      </c>
      <c r="F502" s="5">
        <v>100</v>
      </c>
      <c r="G502" s="5">
        <v>100</v>
      </c>
      <c r="H502" s="5">
        <v>0</v>
      </c>
      <c r="I502" s="5">
        <v>100</v>
      </c>
      <c r="J502" s="5">
        <v>100</v>
      </c>
      <c r="K502" s="15" t="s">
        <v>51</v>
      </c>
      <c r="L502" s="6">
        <v>3</v>
      </c>
      <c r="M502" s="6">
        <v>0</v>
      </c>
      <c r="N502" s="6">
        <v>0</v>
      </c>
      <c r="O502" s="5">
        <v>0</v>
      </c>
      <c r="P502" s="5">
        <v>0</v>
      </c>
      <c r="Q502" s="5">
        <v>0</v>
      </c>
      <c r="R502" s="5">
        <v>0</v>
      </c>
      <c r="S502" s="5">
        <v>0</v>
      </c>
      <c r="T502" s="5">
        <v>0</v>
      </c>
      <c r="U502" s="6">
        <v>0</v>
      </c>
      <c r="V502" s="5">
        <v>10</v>
      </c>
      <c r="W502" s="5">
        <v>5</v>
      </c>
      <c r="X502" s="16">
        <v>2000</v>
      </c>
      <c r="Y502" s="16">
        <v>7000</v>
      </c>
      <c r="Z502" s="16">
        <v>14000</v>
      </c>
      <c r="AA502" s="12" t="str">
        <f t="shared" si="100"/>
        <v>0/32</v>
      </c>
      <c r="AB502" s="12" t="str">
        <f t="shared" si="101"/>
        <v>100,100,100,0,100,100</v>
      </c>
      <c r="AC502" s="12">
        <f t="shared" si="102"/>
        <v>0</v>
      </c>
      <c r="AD502" s="12" t="str">
        <f t="shared" si="103"/>
        <v>2000/7000/14000</v>
      </c>
      <c r="AE502" s="12" t="str">
        <f t="shared" si="104"/>
        <v/>
      </c>
      <c r="AF502" s="12" t="str">
        <f t="shared" si="105"/>
        <v/>
      </c>
      <c r="AG502" s="12" t="str">
        <f t="shared" si="106"/>
        <v/>
      </c>
      <c r="AH502" s="12" t="str">
        <f t="shared" si="107"/>
        <v/>
      </c>
      <c r="AI502" s="12" t="str">
        <f t="shared" si="108"/>
        <v>10/5</v>
      </c>
    </row>
    <row r="503" spans="1:35" s="8" customFormat="1" ht="21.95" customHeight="1">
      <c r="A503" s="9">
        <v>501</v>
      </c>
      <c r="B503" s="17">
        <v>501</v>
      </c>
      <c r="C503" s="6">
        <v>30</v>
      </c>
      <c r="D503" s="6">
        <v>0</v>
      </c>
      <c r="E503" s="5">
        <v>100</v>
      </c>
      <c r="F503" s="5">
        <v>100</v>
      </c>
      <c r="G503" s="5">
        <v>0</v>
      </c>
      <c r="H503" s="5">
        <v>100</v>
      </c>
      <c r="I503" s="5">
        <v>100</v>
      </c>
      <c r="J503" s="5">
        <v>100</v>
      </c>
      <c r="K503" s="15" t="s">
        <v>56</v>
      </c>
      <c r="L503" s="6">
        <v>3</v>
      </c>
      <c r="M503" s="6">
        <v>0</v>
      </c>
      <c r="N503" s="6">
        <v>0</v>
      </c>
      <c r="O503" s="5">
        <v>0</v>
      </c>
      <c r="P503" s="5">
        <v>0</v>
      </c>
      <c r="Q503" s="5">
        <v>0</v>
      </c>
      <c r="R503" s="5">
        <v>0</v>
      </c>
      <c r="S503" s="5">
        <v>0</v>
      </c>
      <c r="T503" s="5">
        <v>0</v>
      </c>
      <c r="U503" s="6">
        <v>0</v>
      </c>
      <c r="V503" s="5">
        <v>10</v>
      </c>
      <c r="W503" s="5">
        <v>5</v>
      </c>
      <c r="X503" s="16">
        <v>2000</v>
      </c>
      <c r="Y503" s="16">
        <v>7000</v>
      </c>
      <c r="Z503" s="16">
        <v>14000</v>
      </c>
      <c r="AA503" s="12" t="str">
        <f t="shared" si="100"/>
        <v>0/30</v>
      </c>
      <c r="AB503" s="12" t="str">
        <f t="shared" si="101"/>
        <v>100,100,0,100,100,100</v>
      </c>
      <c r="AC503" s="12">
        <f t="shared" si="102"/>
        <v>5</v>
      </c>
      <c r="AD503" s="12" t="str">
        <f t="shared" si="103"/>
        <v>2000/7000/14000</v>
      </c>
      <c r="AE503" s="12" t="str">
        <f t="shared" si="104"/>
        <v/>
      </c>
      <c r="AF503" s="12" t="str">
        <f t="shared" si="105"/>
        <v/>
      </c>
      <c r="AG503" s="12" t="str">
        <f t="shared" si="106"/>
        <v/>
      </c>
      <c r="AH503" s="12" t="str">
        <f t="shared" si="107"/>
        <v/>
      </c>
      <c r="AI503" s="12" t="str">
        <f t="shared" si="108"/>
        <v>10/5</v>
      </c>
    </row>
    <row r="504" spans="1:35" s="8" customFormat="1" ht="21.95" customHeight="1">
      <c r="A504" s="9">
        <v>502</v>
      </c>
      <c r="B504" s="17">
        <v>502</v>
      </c>
      <c r="C504" s="6">
        <v>30</v>
      </c>
      <c r="D504" s="6">
        <v>0</v>
      </c>
      <c r="E504" s="5">
        <v>100</v>
      </c>
      <c r="F504" s="5">
        <v>100</v>
      </c>
      <c r="G504" s="5">
        <v>100</v>
      </c>
      <c r="H504" s="5">
        <v>0</v>
      </c>
      <c r="I504" s="5">
        <v>100</v>
      </c>
      <c r="J504" s="5">
        <v>100</v>
      </c>
      <c r="K504" s="15" t="s">
        <v>53</v>
      </c>
      <c r="L504" s="6">
        <v>3</v>
      </c>
      <c r="M504" s="6">
        <v>0</v>
      </c>
      <c r="N504" s="6">
        <v>0</v>
      </c>
      <c r="O504" s="5">
        <v>0</v>
      </c>
      <c r="P504" s="5">
        <v>0</v>
      </c>
      <c r="Q504" s="5">
        <v>0</v>
      </c>
      <c r="R504" s="5">
        <v>0</v>
      </c>
      <c r="S504" s="5">
        <v>18</v>
      </c>
      <c r="T504" s="5">
        <v>16</v>
      </c>
      <c r="U504" s="6">
        <v>0</v>
      </c>
      <c r="V504" s="5">
        <v>10</v>
      </c>
      <c r="W504" s="5">
        <v>5</v>
      </c>
      <c r="X504" s="16">
        <v>2000</v>
      </c>
      <c r="Y504" s="16">
        <v>7000</v>
      </c>
      <c r="Z504" s="16">
        <v>14000</v>
      </c>
      <c r="AA504" s="12" t="str">
        <f t="shared" si="100"/>
        <v>0/30</v>
      </c>
      <c r="AB504" s="12" t="str">
        <f t="shared" si="101"/>
        <v>100,100,100,0,100,100</v>
      </c>
      <c r="AC504" s="12">
        <f t="shared" si="102"/>
        <v>2</v>
      </c>
      <c r="AD504" s="12" t="str">
        <f t="shared" si="103"/>
        <v>2000/7000/14000</v>
      </c>
      <c r="AE504" s="12" t="str">
        <f t="shared" si="104"/>
        <v/>
      </c>
      <c r="AF504" s="12" t="str">
        <f t="shared" si="105"/>
        <v/>
      </c>
      <c r="AG504" s="12" t="str">
        <f t="shared" si="106"/>
        <v>4/5/</v>
      </c>
      <c r="AH504" s="12" t="str">
        <f t="shared" si="107"/>
        <v>18/16/</v>
      </c>
      <c r="AI504" s="12" t="str">
        <f t="shared" si="108"/>
        <v>10/5</v>
      </c>
    </row>
    <row r="505" spans="1:35" s="8" customFormat="1" ht="21.95" customHeight="1">
      <c r="A505" s="9">
        <v>503</v>
      </c>
      <c r="B505" s="17">
        <v>503</v>
      </c>
      <c r="C505" s="6">
        <v>30</v>
      </c>
      <c r="D505" s="6">
        <v>0</v>
      </c>
      <c r="E505" s="5">
        <v>100</v>
      </c>
      <c r="F505" s="5">
        <v>100</v>
      </c>
      <c r="G505" s="5">
        <v>100</v>
      </c>
      <c r="H505" s="5">
        <v>100</v>
      </c>
      <c r="I505" s="5">
        <v>0</v>
      </c>
      <c r="J505" s="5">
        <v>100</v>
      </c>
      <c r="K505" s="15" t="s">
        <v>53</v>
      </c>
      <c r="L505" s="6">
        <v>3</v>
      </c>
      <c r="M505" s="6">
        <v>0</v>
      </c>
      <c r="N505" s="6">
        <v>0</v>
      </c>
      <c r="O505" s="5">
        <v>16</v>
      </c>
      <c r="P505" s="5">
        <v>0</v>
      </c>
      <c r="Q505" s="5">
        <v>0</v>
      </c>
      <c r="R505" s="5">
        <v>0</v>
      </c>
      <c r="S505" s="5">
        <v>0</v>
      </c>
      <c r="T505" s="5">
        <v>18</v>
      </c>
      <c r="U505" s="6">
        <v>0</v>
      </c>
      <c r="V505" s="5">
        <v>10</v>
      </c>
      <c r="W505" s="5">
        <v>5</v>
      </c>
      <c r="X505" s="16">
        <v>2000</v>
      </c>
      <c r="Y505" s="16">
        <v>7000</v>
      </c>
      <c r="Z505" s="16">
        <v>14000</v>
      </c>
      <c r="AA505" s="12" t="str">
        <f t="shared" si="100"/>
        <v>0/30</v>
      </c>
      <c r="AB505" s="12" t="str">
        <f t="shared" si="101"/>
        <v>100,100,100,100,0,100</v>
      </c>
      <c r="AC505" s="12">
        <f t="shared" si="102"/>
        <v>2</v>
      </c>
      <c r="AD505" s="12" t="str">
        <f t="shared" si="103"/>
        <v>2000/7000/14000</v>
      </c>
      <c r="AE505" s="12" t="str">
        <f t="shared" si="104"/>
        <v/>
      </c>
      <c r="AF505" s="12" t="str">
        <f t="shared" si="105"/>
        <v/>
      </c>
      <c r="AG505" s="12" t="str">
        <f t="shared" si="106"/>
        <v>0/5/</v>
      </c>
      <c r="AH505" s="12" t="str">
        <f t="shared" si="107"/>
        <v>16/18/</v>
      </c>
      <c r="AI505" s="12" t="str">
        <f t="shared" si="108"/>
        <v>10/5</v>
      </c>
    </row>
    <row r="506" spans="1:35" s="8" customFormat="1" ht="21.95" customHeight="1">
      <c r="A506" s="9">
        <v>504</v>
      </c>
      <c r="B506" s="17">
        <v>504</v>
      </c>
      <c r="C506" s="6">
        <v>30</v>
      </c>
      <c r="D506" s="6">
        <v>0</v>
      </c>
      <c r="E506" s="5">
        <v>100</v>
      </c>
      <c r="F506" s="5">
        <v>100</v>
      </c>
      <c r="G506" s="5">
        <v>100</v>
      </c>
      <c r="H506" s="5">
        <v>100</v>
      </c>
      <c r="I506" s="5">
        <v>100</v>
      </c>
      <c r="J506" s="5">
        <v>0</v>
      </c>
      <c r="K506" s="15" t="s">
        <v>52</v>
      </c>
      <c r="L506" s="6">
        <v>3</v>
      </c>
      <c r="M506" s="6">
        <v>6</v>
      </c>
      <c r="N506" s="6">
        <v>0</v>
      </c>
      <c r="O506" s="5">
        <v>0</v>
      </c>
      <c r="P506" s="5">
        <v>0</v>
      </c>
      <c r="Q506" s="5">
        <v>0</v>
      </c>
      <c r="R506" s="5">
        <v>0</v>
      </c>
      <c r="S506" s="5">
        <v>0</v>
      </c>
      <c r="T506" s="5">
        <v>0</v>
      </c>
      <c r="U506" s="6">
        <v>0</v>
      </c>
      <c r="V506" s="5">
        <v>10</v>
      </c>
      <c r="W506" s="5">
        <v>5</v>
      </c>
      <c r="X506" s="16">
        <v>2000</v>
      </c>
      <c r="Y506" s="16">
        <v>7000</v>
      </c>
      <c r="Z506" s="16">
        <v>14000</v>
      </c>
      <c r="AA506" s="12" t="str">
        <f t="shared" si="100"/>
        <v>0/30</v>
      </c>
      <c r="AB506" s="12" t="str">
        <f t="shared" si="101"/>
        <v>100,100,100,100,100,0</v>
      </c>
      <c r="AC506" s="12">
        <f t="shared" si="102"/>
        <v>1</v>
      </c>
      <c r="AD506" s="12" t="str">
        <f t="shared" si="103"/>
        <v>2000/7000/14000</v>
      </c>
      <c r="AE506" s="12" t="str">
        <f t="shared" si="104"/>
        <v>0/</v>
      </c>
      <c r="AF506" s="12" t="str">
        <f t="shared" si="105"/>
        <v>6/</v>
      </c>
      <c r="AG506" s="12" t="str">
        <f t="shared" si="106"/>
        <v/>
      </c>
      <c r="AH506" s="12" t="str">
        <f t="shared" si="107"/>
        <v/>
      </c>
      <c r="AI506" s="12" t="str">
        <f t="shared" si="108"/>
        <v>10/5</v>
      </c>
    </row>
    <row r="507" spans="1:35" s="8" customFormat="1" ht="21.95" customHeight="1">
      <c r="A507" s="9">
        <v>505</v>
      </c>
      <c r="B507" s="17">
        <v>505</v>
      </c>
      <c r="C507" s="6">
        <v>30</v>
      </c>
      <c r="D507" s="6">
        <v>0</v>
      </c>
      <c r="E507" s="5">
        <v>0</v>
      </c>
      <c r="F507" s="5">
        <v>100</v>
      </c>
      <c r="G507" s="5">
        <v>100</v>
      </c>
      <c r="H507" s="5">
        <v>100</v>
      </c>
      <c r="I507" s="5">
        <v>100</v>
      </c>
      <c r="J507" s="5">
        <v>100</v>
      </c>
      <c r="K507" s="15" t="s">
        <v>52</v>
      </c>
      <c r="L507" s="6">
        <v>3</v>
      </c>
      <c r="M507" s="6">
        <v>0</v>
      </c>
      <c r="N507" s="6">
        <v>6</v>
      </c>
      <c r="O507" s="5">
        <v>0</v>
      </c>
      <c r="P507" s="5">
        <v>0</v>
      </c>
      <c r="Q507" s="5">
        <v>0</v>
      </c>
      <c r="R507" s="5">
        <v>0</v>
      </c>
      <c r="S507" s="5">
        <v>0</v>
      </c>
      <c r="T507" s="5">
        <v>0</v>
      </c>
      <c r="U507" s="6">
        <v>0</v>
      </c>
      <c r="V507" s="5">
        <v>10</v>
      </c>
      <c r="W507" s="5">
        <v>5</v>
      </c>
      <c r="X507" s="16">
        <v>2000</v>
      </c>
      <c r="Y507" s="16">
        <v>7000</v>
      </c>
      <c r="Z507" s="16">
        <v>14000</v>
      </c>
      <c r="AA507" s="12" t="str">
        <f t="shared" si="100"/>
        <v>0/30</v>
      </c>
      <c r="AB507" s="12" t="str">
        <f t="shared" si="101"/>
        <v>0,100,100,100,100,100</v>
      </c>
      <c r="AC507" s="12">
        <f t="shared" si="102"/>
        <v>1</v>
      </c>
      <c r="AD507" s="12" t="str">
        <f t="shared" si="103"/>
        <v>2000/7000/14000</v>
      </c>
      <c r="AE507" s="12" t="str">
        <f t="shared" si="104"/>
        <v>1/</v>
      </c>
      <c r="AF507" s="12" t="str">
        <f t="shared" si="105"/>
        <v>6/</v>
      </c>
      <c r="AG507" s="12" t="str">
        <f t="shared" si="106"/>
        <v/>
      </c>
      <c r="AH507" s="12" t="str">
        <f t="shared" si="107"/>
        <v/>
      </c>
      <c r="AI507" s="12" t="str">
        <f t="shared" si="108"/>
        <v>10/5</v>
      </c>
    </row>
    <row r="508" spans="1:35" s="8" customFormat="1" ht="21.95" customHeight="1">
      <c r="A508" s="9">
        <v>506</v>
      </c>
      <c r="B508" s="17">
        <v>506</v>
      </c>
      <c r="C508" s="6">
        <v>0</v>
      </c>
      <c r="D508" s="6">
        <v>60</v>
      </c>
      <c r="E508" s="5">
        <v>100</v>
      </c>
      <c r="F508" s="5">
        <v>0</v>
      </c>
      <c r="G508" s="5">
        <v>100</v>
      </c>
      <c r="H508" s="5">
        <v>100</v>
      </c>
      <c r="I508" s="5">
        <v>100</v>
      </c>
      <c r="J508" s="5">
        <v>100</v>
      </c>
      <c r="K508" s="15" t="s">
        <v>54</v>
      </c>
      <c r="L508" s="6">
        <v>3</v>
      </c>
      <c r="M508" s="6">
        <v>0</v>
      </c>
      <c r="N508" s="6">
        <v>0</v>
      </c>
      <c r="O508" s="5">
        <v>0</v>
      </c>
      <c r="P508" s="5">
        <v>0</v>
      </c>
      <c r="Q508" s="5">
        <v>0</v>
      </c>
      <c r="R508" s="5">
        <v>0</v>
      </c>
      <c r="S508" s="5">
        <v>0</v>
      </c>
      <c r="T508" s="5">
        <v>0</v>
      </c>
      <c r="U508" s="6">
        <v>0</v>
      </c>
      <c r="V508" s="5">
        <v>10</v>
      </c>
      <c r="W508" s="5">
        <v>5</v>
      </c>
      <c r="X508" s="16">
        <v>2000</v>
      </c>
      <c r="Y508" s="16">
        <v>7000</v>
      </c>
      <c r="Z508" s="16">
        <v>14000</v>
      </c>
      <c r="AA508" s="12" t="str">
        <f t="shared" si="100"/>
        <v>1/60</v>
      </c>
      <c r="AB508" s="12" t="str">
        <f t="shared" si="101"/>
        <v>100,0,100,100,100,100</v>
      </c>
      <c r="AC508" s="12">
        <f t="shared" si="102"/>
        <v>3</v>
      </c>
      <c r="AD508" s="12" t="str">
        <f t="shared" si="103"/>
        <v>2000/7000/14000</v>
      </c>
      <c r="AE508" s="12" t="str">
        <f t="shared" si="104"/>
        <v/>
      </c>
      <c r="AF508" s="12" t="str">
        <f t="shared" si="105"/>
        <v/>
      </c>
      <c r="AG508" s="12" t="str">
        <f t="shared" si="106"/>
        <v/>
      </c>
      <c r="AH508" s="12" t="str">
        <f t="shared" si="107"/>
        <v/>
      </c>
      <c r="AI508" s="12" t="str">
        <f t="shared" si="108"/>
        <v>10/5</v>
      </c>
    </row>
    <row r="509" spans="1:35" s="8" customFormat="1" ht="21.95" customHeight="1">
      <c r="A509" s="9">
        <v>507</v>
      </c>
      <c r="B509" s="17">
        <v>507</v>
      </c>
      <c r="C509" s="6">
        <v>0</v>
      </c>
      <c r="D509" s="6">
        <v>60</v>
      </c>
      <c r="E509" s="5">
        <v>100</v>
      </c>
      <c r="F509" s="5">
        <v>100</v>
      </c>
      <c r="G509" s="5">
        <v>0</v>
      </c>
      <c r="H509" s="5">
        <v>100</v>
      </c>
      <c r="I509" s="5">
        <v>100</v>
      </c>
      <c r="J509" s="5">
        <v>100</v>
      </c>
      <c r="K509" s="15" t="s">
        <v>54</v>
      </c>
      <c r="L509" s="6">
        <v>3</v>
      </c>
      <c r="M509" s="6">
        <v>0</v>
      </c>
      <c r="N509" s="6">
        <v>0</v>
      </c>
      <c r="O509" s="5">
        <v>0</v>
      </c>
      <c r="P509" s="5">
        <v>0</v>
      </c>
      <c r="Q509" s="5">
        <v>0</v>
      </c>
      <c r="R509" s="5">
        <v>0</v>
      </c>
      <c r="S509" s="5">
        <v>0</v>
      </c>
      <c r="T509" s="5">
        <v>0</v>
      </c>
      <c r="U509" s="6">
        <v>0</v>
      </c>
      <c r="V509" s="5">
        <v>10</v>
      </c>
      <c r="W509" s="5">
        <v>5</v>
      </c>
      <c r="X509" s="16">
        <v>2000</v>
      </c>
      <c r="Y509" s="16">
        <v>7000</v>
      </c>
      <c r="Z509" s="16">
        <v>14000</v>
      </c>
      <c r="AA509" s="12" t="str">
        <f t="shared" si="100"/>
        <v>1/60</v>
      </c>
      <c r="AB509" s="12" t="str">
        <f t="shared" si="101"/>
        <v>100,100,0,100,100,100</v>
      </c>
      <c r="AC509" s="12">
        <f t="shared" si="102"/>
        <v>3</v>
      </c>
      <c r="AD509" s="12" t="str">
        <f t="shared" si="103"/>
        <v>2000/7000/14000</v>
      </c>
      <c r="AE509" s="12" t="str">
        <f t="shared" si="104"/>
        <v/>
      </c>
      <c r="AF509" s="12" t="str">
        <f t="shared" si="105"/>
        <v/>
      </c>
      <c r="AG509" s="12" t="str">
        <f t="shared" si="106"/>
        <v/>
      </c>
      <c r="AH509" s="12" t="str">
        <f t="shared" si="107"/>
        <v/>
      </c>
      <c r="AI509" s="12" t="str">
        <f t="shared" si="108"/>
        <v>10/5</v>
      </c>
    </row>
    <row r="510" spans="1:35" s="8" customFormat="1" ht="21.95" customHeight="1">
      <c r="A510" s="9">
        <v>508</v>
      </c>
      <c r="B510" s="17">
        <v>508</v>
      </c>
      <c r="C510" s="6">
        <v>30</v>
      </c>
      <c r="D510" s="6">
        <v>0</v>
      </c>
      <c r="E510" s="5">
        <v>100</v>
      </c>
      <c r="F510" s="5">
        <v>100</v>
      </c>
      <c r="G510" s="5">
        <v>100</v>
      </c>
      <c r="H510" s="5">
        <v>0</v>
      </c>
      <c r="I510" s="5">
        <v>100</v>
      </c>
      <c r="J510" s="5">
        <v>100</v>
      </c>
      <c r="K510" s="15" t="s">
        <v>55</v>
      </c>
      <c r="L510" s="6">
        <v>3</v>
      </c>
      <c r="M510" s="6">
        <v>0</v>
      </c>
      <c r="N510" s="6">
        <v>0</v>
      </c>
      <c r="O510" s="5">
        <v>0</v>
      </c>
      <c r="P510" s="5">
        <v>0</v>
      </c>
      <c r="Q510" s="5">
        <v>0</v>
      </c>
      <c r="R510" s="5">
        <v>0</v>
      </c>
      <c r="S510" s="5">
        <v>0</v>
      </c>
      <c r="T510" s="5">
        <v>0</v>
      </c>
      <c r="U510" s="6">
        <v>5</v>
      </c>
      <c r="V510" s="5">
        <v>10</v>
      </c>
      <c r="W510" s="5">
        <v>5</v>
      </c>
      <c r="X510" s="16">
        <v>2000</v>
      </c>
      <c r="Y510" s="16">
        <v>7000</v>
      </c>
      <c r="Z510" s="16">
        <v>14000</v>
      </c>
      <c r="AA510" s="12" t="str">
        <f t="shared" si="100"/>
        <v>0/30</v>
      </c>
      <c r="AB510" s="12" t="str">
        <f t="shared" si="101"/>
        <v>100,100,100,0,100,100</v>
      </c>
      <c r="AC510" s="12">
        <f t="shared" si="102"/>
        <v>4</v>
      </c>
      <c r="AD510" s="12" t="str">
        <f t="shared" si="103"/>
        <v>2000/7000/14000</v>
      </c>
      <c r="AE510" s="12" t="str">
        <f t="shared" si="104"/>
        <v/>
      </c>
      <c r="AF510" s="12" t="str">
        <f t="shared" si="105"/>
        <v/>
      </c>
      <c r="AG510" s="12" t="str">
        <f t="shared" si="106"/>
        <v/>
      </c>
      <c r="AH510" s="12" t="str">
        <f t="shared" si="107"/>
        <v/>
      </c>
      <c r="AI510" s="12" t="str">
        <f t="shared" si="108"/>
        <v>10/5</v>
      </c>
    </row>
    <row r="511" spans="1:35" s="8" customFormat="1" ht="21.95" customHeight="1">
      <c r="A511" s="9">
        <v>509</v>
      </c>
      <c r="B511" s="17">
        <v>509</v>
      </c>
      <c r="C511" s="6">
        <v>30</v>
      </c>
      <c r="D511" s="6">
        <v>0</v>
      </c>
      <c r="E511" s="5">
        <v>100</v>
      </c>
      <c r="F511" s="5">
        <v>100</v>
      </c>
      <c r="G511" s="5">
        <v>100</v>
      </c>
      <c r="H511" s="5">
        <v>100</v>
      </c>
      <c r="I511" s="5">
        <v>0</v>
      </c>
      <c r="J511" s="5">
        <v>100</v>
      </c>
      <c r="K511" s="15" t="s">
        <v>55</v>
      </c>
      <c r="L511" s="6">
        <v>3</v>
      </c>
      <c r="M511" s="6">
        <v>0</v>
      </c>
      <c r="N511" s="6">
        <v>0</v>
      </c>
      <c r="O511" s="5">
        <v>0</v>
      </c>
      <c r="P511" s="5">
        <v>0</v>
      </c>
      <c r="Q511" s="5">
        <v>0</v>
      </c>
      <c r="R511" s="5">
        <v>0</v>
      </c>
      <c r="S511" s="5">
        <v>0</v>
      </c>
      <c r="T511" s="5">
        <v>0</v>
      </c>
      <c r="U511" s="6">
        <v>5</v>
      </c>
      <c r="V511" s="5">
        <v>10</v>
      </c>
      <c r="W511" s="5">
        <v>5</v>
      </c>
      <c r="X511" s="16">
        <v>2000</v>
      </c>
      <c r="Y511" s="16">
        <v>7000</v>
      </c>
      <c r="Z511" s="16">
        <v>14000</v>
      </c>
      <c r="AA511" s="12" t="str">
        <f t="shared" si="100"/>
        <v>0/30</v>
      </c>
      <c r="AB511" s="12" t="str">
        <f t="shared" si="101"/>
        <v>100,100,100,100,0,100</v>
      </c>
      <c r="AC511" s="12">
        <f t="shared" si="102"/>
        <v>4</v>
      </c>
      <c r="AD511" s="12" t="str">
        <f t="shared" si="103"/>
        <v>2000/7000/14000</v>
      </c>
      <c r="AE511" s="12" t="str">
        <f t="shared" si="104"/>
        <v/>
      </c>
      <c r="AF511" s="12" t="str">
        <f t="shared" si="105"/>
        <v/>
      </c>
      <c r="AG511" s="12" t="str">
        <f t="shared" si="106"/>
        <v/>
      </c>
      <c r="AH511" s="12" t="str">
        <f t="shared" si="107"/>
        <v/>
      </c>
      <c r="AI511" s="12" t="str">
        <f t="shared" si="108"/>
        <v>10/5</v>
      </c>
    </row>
    <row r="512" spans="1:35" s="8" customFormat="1" ht="21.95" customHeight="1">
      <c r="A512" s="9">
        <v>510</v>
      </c>
      <c r="B512" s="17">
        <v>510</v>
      </c>
      <c r="C512" s="6">
        <v>30</v>
      </c>
      <c r="D512" s="6">
        <v>0</v>
      </c>
      <c r="E512" s="5">
        <v>100</v>
      </c>
      <c r="F512" s="5">
        <v>100</v>
      </c>
      <c r="G512" s="5">
        <v>100</v>
      </c>
      <c r="H512" s="5">
        <v>100</v>
      </c>
      <c r="I512" s="5">
        <v>100</v>
      </c>
      <c r="J512" s="5">
        <v>0</v>
      </c>
      <c r="K512" s="15" t="s">
        <v>56</v>
      </c>
      <c r="L512" s="6">
        <v>3</v>
      </c>
      <c r="M512" s="6">
        <v>0</v>
      </c>
      <c r="N512" s="6">
        <v>0</v>
      </c>
      <c r="O512" s="5">
        <v>0</v>
      </c>
      <c r="P512" s="5">
        <v>0</v>
      </c>
      <c r="Q512" s="5">
        <v>0</v>
      </c>
      <c r="R512" s="5">
        <v>0</v>
      </c>
      <c r="S512" s="5">
        <v>0</v>
      </c>
      <c r="T512" s="5">
        <v>0</v>
      </c>
      <c r="U512" s="6">
        <v>0</v>
      </c>
      <c r="V512" s="5">
        <v>10</v>
      </c>
      <c r="W512" s="5">
        <v>5</v>
      </c>
      <c r="X512" s="16">
        <v>2000</v>
      </c>
      <c r="Y512" s="16">
        <v>7000</v>
      </c>
      <c r="Z512" s="16">
        <v>14000</v>
      </c>
      <c r="AA512" s="12" t="str">
        <f t="shared" si="100"/>
        <v>0/30</v>
      </c>
      <c r="AB512" s="12" t="str">
        <f t="shared" si="101"/>
        <v>100,100,100,100,100,0</v>
      </c>
      <c r="AC512" s="12">
        <f t="shared" si="102"/>
        <v>5</v>
      </c>
      <c r="AD512" s="12" t="str">
        <f t="shared" si="103"/>
        <v>2000/7000/14000</v>
      </c>
      <c r="AE512" s="12" t="str">
        <f t="shared" si="104"/>
        <v/>
      </c>
      <c r="AF512" s="12" t="str">
        <f t="shared" si="105"/>
        <v/>
      </c>
      <c r="AG512" s="12" t="str">
        <f t="shared" si="106"/>
        <v/>
      </c>
      <c r="AH512" s="12" t="str">
        <f t="shared" si="107"/>
        <v/>
      </c>
      <c r="AI512" s="12" t="str">
        <f t="shared" si="108"/>
        <v>10/5</v>
      </c>
    </row>
    <row r="513" spans="1:35" s="8" customFormat="1" ht="21.95" customHeight="1">
      <c r="A513" s="9">
        <v>511</v>
      </c>
      <c r="B513" s="17">
        <v>511</v>
      </c>
      <c r="C513" s="6">
        <v>0</v>
      </c>
      <c r="D513" s="6">
        <v>60</v>
      </c>
      <c r="E513" s="5">
        <v>0</v>
      </c>
      <c r="F513" s="5">
        <v>100</v>
      </c>
      <c r="G513" s="5">
        <v>100</v>
      </c>
      <c r="H513" s="5">
        <v>100</v>
      </c>
      <c r="I513" s="5">
        <v>100</v>
      </c>
      <c r="J513" s="5">
        <v>100</v>
      </c>
      <c r="K513" s="15" t="s">
        <v>56</v>
      </c>
      <c r="L513" s="6">
        <v>3</v>
      </c>
      <c r="M513" s="6">
        <v>0</v>
      </c>
      <c r="N513" s="6">
        <v>0</v>
      </c>
      <c r="O513" s="5">
        <v>0</v>
      </c>
      <c r="P513" s="5">
        <v>0</v>
      </c>
      <c r="Q513" s="5">
        <v>0</v>
      </c>
      <c r="R513" s="5">
        <v>0</v>
      </c>
      <c r="S513" s="5">
        <v>0</v>
      </c>
      <c r="T513" s="5">
        <v>0</v>
      </c>
      <c r="U513" s="6">
        <v>0</v>
      </c>
      <c r="V513" s="5">
        <v>10</v>
      </c>
      <c r="W513" s="5">
        <v>5</v>
      </c>
      <c r="X513" s="16">
        <v>2000</v>
      </c>
      <c r="Y513" s="16">
        <v>7000</v>
      </c>
      <c r="Z513" s="16">
        <v>14000</v>
      </c>
      <c r="AA513" s="12" t="str">
        <f t="shared" si="100"/>
        <v>1/60</v>
      </c>
      <c r="AB513" s="12" t="str">
        <f t="shared" si="101"/>
        <v>0,100,100,100,100,100</v>
      </c>
      <c r="AC513" s="12">
        <f t="shared" si="102"/>
        <v>5</v>
      </c>
      <c r="AD513" s="12" t="str">
        <f t="shared" si="103"/>
        <v>2000/7000/14000</v>
      </c>
      <c r="AE513" s="12" t="str">
        <f t="shared" si="104"/>
        <v/>
      </c>
      <c r="AF513" s="12" t="str">
        <f t="shared" si="105"/>
        <v/>
      </c>
      <c r="AG513" s="12" t="str">
        <f t="shared" si="106"/>
        <v/>
      </c>
      <c r="AH513" s="12" t="str">
        <f t="shared" si="107"/>
        <v/>
      </c>
      <c r="AI513" s="12" t="str">
        <f t="shared" si="108"/>
        <v>10/5</v>
      </c>
    </row>
    <row r="514" spans="1:35" s="8" customFormat="1" ht="21.95" customHeight="1">
      <c r="A514" s="9">
        <v>512</v>
      </c>
      <c r="B514" s="17">
        <v>512</v>
      </c>
      <c r="C514" s="6">
        <v>30</v>
      </c>
      <c r="D514" s="6">
        <v>0</v>
      </c>
      <c r="E514" s="5">
        <v>100</v>
      </c>
      <c r="F514" s="5">
        <v>0</v>
      </c>
      <c r="G514" s="5">
        <v>100</v>
      </c>
      <c r="H514" s="5">
        <v>100</v>
      </c>
      <c r="I514" s="5">
        <v>100</v>
      </c>
      <c r="J514" s="5">
        <v>100</v>
      </c>
      <c r="K514" s="15" t="s">
        <v>53</v>
      </c>
      <c r="L514" s="6">
        <v>3</v>
      </c>
      <c r="M514" s="6">
        <v>0</v>
      </c>
      <c r="N514" s="6">
        <v>0</v>
      </c>
      <c r="O514" s="5">
        <v>0</v>
      </c>
      <c r="P514" s="5">
        <v>0</v>
      </c>
      <c r="Q514" s="5">
        <v>20</v>
      </c>
      <c r="R514" s="5">
        <v>24</v>
      </c>
      <c r="S514" s="5">
        <v>0</v>
      </c>
      <c r="T514" s="5">
        <v>0</v>
      </c>
      <c r="U514" s="6">
        <v>0</v>
      </c>
      <c r="V514" s="5">
        <v>10</v>
      </c>
      <c r="W514" s="5">
        <v>5</v>
      </c>
      <c r="X514" s="16">
        <v>2000</v>
      </c>
      <c r="Y514" s="16">
        <v>7000</v>
      </c>
      <c r="Z514" s="16">
        <v>14000</v>
      </c>
      <c r="AA514" s="12" t="str">
        <f t="shared" si="100"/>
        <v>0/30</v>
      </c>
      <c r="AB514" s="12" t="str">
        <f t="shared" si="101"/>
        <v>100,0,100,100,100,100</v>
      </c>
      <c r="AC514" s="12">
        <f t="shared" si="102"/>
        <v>2</v>
      </c>
      <c r="AD514" s="12" t="str">
        <f t="shared" si="103"/>
        <v>2000/7000/14000</v>
      </c>
      <c r="AE514" s="12" t="str">
        <f t="shared" si="104"/>
        <v/>
      </c>
      <c r="AF514" s="12" t="str">
        <f t="shared" si="105"/>
        <v/>
      </c>
      <c r="AG514" s="12" t="str">
        <f t="shared" si="106"/>
        <v>2/3/</v>
      </c>
      <c r="AH514" s="12" t="str">
        <f t="shared" si="107"/>
        <v>20/24/</v>
      </c>
      <c r="AI514" s="12" t="str">
        <f t="shared" si="108"/>
        <v>10/5</v>
      </c>
    </row>
    <row r="515" spans="1:35" s="8" customFormat="1" ht="21.95" customHeight="1">
      <c r="A515" s="9">
        <v>513</v>
      </c>
      <c r="B515" s="17">
        <v>513</v>
      </c>
      <c r="C515" s="6">
        <v>30</v>
      </c>
      <c r="D515" s="6">
        <v>0</v>
      </c>
      <c r="E515" s="5">
        <v>100</v>
      </c>
      <c r="F515" s="5">
        <v>100</v>
      </c>
      <c r="G515" s="5">
        <v>0</v>
      </c>
      <c r="H515" s="5">
        <v>100</v>
      </c>
      <c r="I515" s="5">
        <v>100</v>
      </c>
      <c r="J515" s="5">
        <v>100</v>
      </c>
      <c r="K515" s="15" t="s">
        <v>53</v>
      </c>
      <c r="L515" s="6">
        <v>3</v>
      </c>
      <c r="M515" s="6">
        <v>0</v>
      </c>
      <c r="N515" s="6">
        <v>0</v>
      </c>
      <c r="O515" s="5">
        <v>0</v>
      </c>
      <c r="P515" s="5">
        <v>0</v>
      </c>
      <c r="Q515" s="5">
        <v>0</v>
      </c>
      <c r="R515" s="5">
        <v>18</v>
      </c>
      <c r="S515" s="5">
        <v>32</v>
      </c>
      <c r="T515" s="5">
        <v>0</v>
      </c>
      <c r="U515" s="6">
        <v>0</v>
      </c>
      <c r="V515" s="5">
        <v>10</v>
      </c>
      <c r="W515" s="5">
        <v>5</v>
      </c>
      <c r="X515" s="16">
        <v>2000</v>
      </c>
      <c r="Y515" s="16">
        <v>7000</v>
      </c>
      <c r="Z515" s="16">
        <v>14000</v>
      </c>
      <c r="AA515" s="12" t="str">
        <f t="shared" si="100"/>
        <v>0/30</v>
      </c>
      <c r="AB515" s="12" t="str">
        <f t="shared" si="101"/>
        <v>100,100,0,100,100,100</v>
      </c>
      <c r="AC515" s="12">
        <f t="shared" si="102"/>
        <v>2</v>
      </c>
      <c r="AD515" s="12" t="str">
        <f t="shared" si="103"/>
        <v>2000/7000/14000</v>
      </c>
      <c r="AE515" s="12" t="str">
        <f t="shared" si="104"/>
        <v/>
      </c>
      <c r="AF515" s="12" t="str">
        <f t="shared" si="105"/>
        <v/>
      </c>
      <c r="AG515" s="12" t="str">
        <f t="shared" si="106"/>
        <v>3/4/</v>
      </c>
      <c r="AH515" s="12" t="str">
        <f t="shared" si="107"/>
        <v>18/32/</v>
      </c>
      <c r="AI515" s="12" t="str">
        <f t="shared" si="108"/>
        <v>10/5</v>
      </c>
    </row>
    <row r="516" spans="1:35" s="8" customFormat="1" ht="21.95" customHeight="1">
      <c r="A516" s="9">
        <v>514</v>
      </c>
      <c r="B516" s="17">
        <v>514</v>
      </c>
      <c r="C516" s="6">
        <v>30</v>
      </c>
      <c r="D516" s="6">
        <v>0</v>
      </c>
      <c r="E516" s="5">
        <v>100</v>
      </c>
      <c r="F516" s="5">
        <v>100</v>
      </c>
      <c r="G516" s="5">
        <v>100</v>
      </c>
      <c r="H516" s="5">
        <v>0</v>
      </c>
      <c r="I516" s="5">
        <v>100</v>
      </c>
      <c r="J516" s="5">
        <v>100</v>
      </c>
      <c r="K516" s="15" t="s">
        <v>52</v>
      </c>
      <c r="L516" s="6">
        <v>3</v>
      </c>
      <c r="M516" s="6">
        <v>6</v>
      </c>
      <c r="N516" s="6">
        <v>0</v>
      </c>
      <c r="O516" s="5">
        <v>0</v>
      </c>
      <c r="P516" s="5">
        <v>0</v>
      </c>
      <c r="Q516" s="5">
        <v>0</v>
      </c>
      <c r="R516" s="5">
        <v>0</v>
      </c>
      <c r="S516" s="5">
        <v>0</v>
      </c>
      <c r="T516" s="5">
        <v>0</v>
      </c>
      <c r="U516" s="6">
        <v>0</v>
      </c>
      <c r="V516" s="5">
        <v>10</v>
      </c>
      <c r="W516" s="5">
        <v>5</v>
      </c>
      <c r="X516" s="16">
        <v>2000</v>
      </c>
      <c r="Y516" s="16">
        <v>7000</v>
      </c>
      <c r="Z516" s="16">
        <v>14000</v>
      </c>
      <c r="AA516" s="12" t="str">
        <f t="shared" si="100"/>
        <v>0/30</v>
      </c>
      <c r="AB516" s="12" t="str">
        <f t="shared" si="101"/>
        <v>100,100,100,0,100,100</v>
      </c>
      <c r="AC516" s="12">
        <f t="shared" si="102"/>
        <v>1</v>
      </c>
      <c r="AD516" s="12" t="str">
        <f t="shared" si="103"/>
        <v>2000/7000/14000</v>
      </c>
      <c r="AE516" s="12" t="str">
        <f t="shared" si="104"/>
        <v>0/</v>
      </c>
      <c r="AF516" s="12" t="str">
        <f t="shared" si="105"/>
        <v>6/</v>
      </c>
      <c r="AG516" s="12" t="str">
        <f t="shared" si="106"/>
        <v/>
      </c>
      <c r="AH516" s="12" t="str">
        <f t="shared" si="107"/>
        <v/>
      </c>
      <c r="AI516" s="12" t="str">
        <f t="shared" si="108"/>
        <v>10/5</v>
      </c>
    </row>
    <row r="517" spans="1:35" s="8" customFormat="1" ht="21.95" customHeight="1">
      <c r="A517" s="9">
        <v>515</v>
      </c>
      <c r="B517" s="17">
        <v>515</v>
      </c>
      <c r="C517" s="6">
        <v>30</v>
      </c>
      <c r="D517" s="6">
        <v>0</v>
      </c>
      <c r="E517" s="5">
        <v>100</v>
      </c>
      <c r="F517" s="5">
        <v>100</v>
      </c>
      <c r="G517" s="5">
        <v>100</v>
      </c>
      <c r="H517" s="5">
        <v>100</v>
      </c>
      <c r="I517" s="5">
        <v>0</v>
      </c>
      <c r="J517" s="5">
        <v>100</v>
      </c>
      <c r="K517" s="15" t="s">
        <v>52</v>
      </c>
      <c r="L517" s="6">
        <v>3</v>
      </c>
      <c r="M517" s="6">
        <v>2</v>
      </c>
      <c r="N517" s="6">
        <v>4</v>
      </c>
      <c r="O517" s="5">
        <v>0</v>
      </c>
      <c r="P517" s="5">
        <v>0</v>
      </c>
      <c r="Q517" s="5">
        <v>0</v>
      </c>
      <c r="R517" s="5">
        <v>0</v>
      </c>
      <c r="S517" s="5">
        <v>0</v>
      </c>
      <c r="T517" s="5">
        <v>0</v>
      </c>
      <c r="U517" s="6">
        <v>0</v>
      </c>
      <c r="V517" s="5">
        <v>10</v>
      </c>
      <c r="W517" s="5">
        <v>5</v>
      </c>
      <c r="X517" s="16">
        <v>2000</v>
      </c>
      <c r="Y517" s="16">
        <v>7000</v>
      </c>
      <c r="Z517" s="16">
        <v>14000</v>
      </c>
      <c r="AA517" s="12" t="str">
        <f t="shared" si="100"/>
        <v>0/30</v>
      </c>
      <c r="AB517" s="12" t="str">
        <f t="shared" si="101"/>
        <v>100,100,100,100,0,100</v>
      </c>
      <c r="AC517" s="12">
        <f t="shared" si="102"/>
        <v>1</v>
      </c>
      <c r="AD517" s="12" t="str">
        <f t="shared" si="103"/>
        <v>2000/7000/14000</v>
      </c>
      <c r="AE517" s="12" t="str">
        <f t="shared" si="104"/>
        <v>0/1/</v>
      </c>
      <c r="AF517" s="12" t="str">
        <f t="shared" si="105"/>
        <v>2/4/</v>
      </c>
      <c r="AG517" s="12" t="str">
        <f t="shared" si="106"/>
        <v/>
      </c>
      <c r="AH517" s="12" t="str">
        <f t="shared" si="107"/>
        <v/>
      </c>
      <c r="AI517" s="12" t="str">
        <f t="shared" si="108"/>
        <v>10/5</v>
      </c>
    </row>
    <row r="518" spans="1:35" s="8" customFormat="1" ht="21.95" customHeight="1">
      <c r="A518" s="9">
        <v>516</v>
      </c>
      <c r="B518" s="17">
        <v>516</v>
      </c>
      <c r="C518" s="6">
        <v>0</v>
      </c>
      <c r="D518" s="6">
        <v>60</v>
      </c>
      <c r="E518" s="5">
        <v>100</v>
      </c>
      <c r="F518" s="5">
        <v>100</v>
      </c>
      <c r="G518" s="5">
        <v>100</v>
      </c>
      <c r="H518" s="5">
        <v>100</v>
      </c>
      <c r="I518" s="5">
        <v>100</v>
      </c>
      <c r="J518" s="5">
        <v>0</v>
      </c>
      <c r="K518" s="15" t="s">
        <v>54</v>
      </c>
      <c r="L518" s="6">
        <v>3</v>
      </c>
      <c r="M518" s="6">
        <v>0</v>
      </c>
      <c r="N518" s="6">
        <v>0</v>
      </c>
      <c r="O518" s="5">
        <v>0</v>
      </c>
      <c r="P518" s="5">
        <v>0</v>
      </c>
      <c r="Q518" s="5">
        <v>0</v>
      </c>
      <c r="R518" s="5">
        <v>0</v>
      </c>
      <c r="S518" s="5">
        <v>0</v>
      </c>
      <c r="T518" s="5">
        <v>0</v>
      </c>
      <c r="U518" s="6">
        <v>0</v>
      </c>
      <c r="V518" s="5">
        <v>10</v>
      </c>
      <c r="W518" s="5">
        <v>5</v>
      </c>
      <c r="X518" s="16">
        <v>2000</v>
      </c>
      <c r="Y518" s="16">
        <v>7000</v>
      </c>
      <c r="Z518" s="16">
        <v>14000</v>
      </c>
      <c r="AA518" s="12" t="str">
        <f t="shared" si="100"/>
        <v>1/60</v>
      </c>
      <c r="AB518" s="12" t="str">
        <f t="shared" si="101"/>
        <v>100,100,100,100,100,0</v>
      </c>
      <c r="AC518" s="12">
        <f t="shared" si="102"/>
        <v>3</v>
      </c>
      <c r="AD518" s="12" t="str">
        <f t="shared" si="103"/>
        <v>2000/7000/14000</v>
      </c>
      <c r="AE518" s="12" t="str">
        <f t="shared" si="104"/>
        <v/>
      </c>
      <c r="AF518" s="12" t="str">
        <f t="shared" si="105"/>
        <v/>
      </c>
      <c r="AG518" s="12" t="str">
        <f t="shared" si="106"/>
        <v/>
      </c>
      <c r="AH518" s="12" t="str">
        <f t="shared" si="107"/>
        <v/>
      </c>
      <c r="AI518" s="12" t="str">
        <f t="shared" si="108"/>
        <v>10/5</v>
      </c>
    </row>
    <row r="519" spans="1:35" s="8" customFormat="1" ht="21.95" customHeight="1">
      <c r="A519" s="9">
        <v>517</v>
      </c>
      <c r="B519" s="17">
        <v>517</v>
      </c>
      <c r="C519" s="6">
        <v>0</v>
      </c>
      <c r="D519" s="6">
        <v>60</v>
      </c>
      <c r="E519" s="5">
        <v>0</v>
      </c>
      <c r="F519" s="5">
        <v>100</v>
      </c>
      <c r="G519" s="5">
        <v>100</v>
      </c>
      <c r="H519" s="5">
        <v>100</v>
      </c>
      <c r="I519" s="5">
        <v>100</v>
      </c>
      <c r="J519" s="5">
        <v>100</v>
      </c>
      <c r="K519" s="15" t="s">
        <v>54</v>
      </c>
      <c r="L519" s="6">
        <v>3</v>
      </c>
      <c r="M519" s="6">
        <v>0</v>
      </c>
      <c r="N519" s="6">
        <v>0</v>
      </c>
      <c r="O519" s="5">
        <v>0</v>
      </c>
      <c r="P519" s="5">
        <v>0</v>
      </c>
      <c r="Q519" s="5">
        <v>0</v>
      </c>
      <c r="R519" s="5">
        <v>0</v>
      </c>
      <c r="S519" s="5">
        <v>0</v>
      </c>
      <c r="T519" s="5">
        <v>0</v>
      </c>
      <c r="U519" s="6">
        <v>0</v>
      </c>
      <c r="V519" s="5">
        <v>10</v>
      </c>
      <c r="W519" s="5">
        <v>5</v>
      </c>
      <c r="X519" s="16">
        <v>2000</v>
      </c>
      <c r="Y519" s="16">
        <v>7000</v>
      </c>
      <c r="Z519" s="16">
        <v>14000</v>
      </c>
      <c r="AA519" s="12" t="str">
        <f t="shared" si="100"/>
        <v>1/60</v>
      </c>
      <c r="AB519" s="12" t="str">
        <f t="shared" si="101"/>
        <v>0,100,100,100,100,100</v>
      </c>
      <c r="AC519" s="12">
        <f t="shared" si="102"/>
        <v>3</v>
      </c>
      <c r="AD519" s="12" t="str">
        <f t="shared" si="103"/>
        <v>2000/7000/14000</v>
      </c>
      <c r="AE519" s="12" t="str">
        <f t="shared" si="104"/>
        <v/>
      </c>
      <c r="AF519" s="12" t="str">
        <f t="shared" si="105"/>
        <v/>
      </c>
      <c r="AG519" s="12" t="str">
        <f t="shared" si="106"/>
        <v/>
      </c>
      <c r="AH519" s="12" t="str">
        <f t="shared" si="107"/>
        <v/>
      </c>
      <c r="AI519" s="12" t="str">
        <f t="shared" si="108"/>
        <v>10/5</v>
      </c>
    </row>
    <row r="520" spans="1:35" s="8" customFormat="1" ht="21.95" customHeight="1">
      <c r="A520" s="9">
        <v>518</v>
      </c>
      <c r="B520" s="17">
        <v>518</v>
      </c>
      <c r="C520" s="6">
        <v>30</v>
      </c>
      <c r="D520" s="6">
        <v>0</v>
      </c>
      <c r="E520" s="5">
        <v>100</v>
      </c>
      <c r="F520" s="5">
        <v>0</v>
      </c>
      <c r="G520" s="5">
        <v>100</v>
      </c>
      <c r="H520" s="5">
        <v>100</v>
      </c>
      <c r="I520" s="5">
        <v>100</v>
      </c>
      <c r="J520" s="5">
        <v>100</v>
      </c>
      <c r="K520" s="15" t="s">
        <v>55</v>
      </c>
      <c r="L520" s="6">
        <v>3</v>
      </c>
      <c r="M520" s="6">
        <v>0</v>
      </c>
      <c r="N520" s="6">
        <v>0</v>
      </c>
      <c r="O520" s="5">
        <v>0</v>
      </c>
      <c r="P520" s="5">
        <v>0</v>
      </c>
      <c r="Q520" s="5">
        <v>0</v>
      </c>
      <c r="R520" s="5">
        <v>0</v>
      </c>
      <c r="S520" s="5">
        <v>0</v>
      </c>
      <c r="T520" s="5">
        <v>0</v>
      </c>
      <c r="U520" s="6">
        <v>5</v>
      </c>
      <c r="V520" s="5">
        <v>10</v>
      </c>
      <c r="W520" s="5">
        <v>5</v>
      </c>
      <c r="X520" s="16">
        <v>2000</v>
      </c>
      <c r="Y520" s="16">
        <v>7000</v>
      </c>
      <c r="Z520" s="16">
        <v>14000</v>
      </c>
      <c r="AA520" s="12" t="str">
        <f t="shared" si="100"/>
        <v>0/30</v>
      </c>
      <c r="AB520" s="12" t="str">
        <f t="shared" si="101"/>
        <v>100,0,100,100,100,100</v>
      </c>
      <c r="AC520" s="12">
        <f t="shared" si="102"/>
        <v>4</v>
      </c>
      <c r="AD520" s="12" t="str">
        <f t="shared" si="103"/>
        <v>2000/7000/14000</v>
      </c>
      <c r="AE520" s="12" t="str">
        <f t="shared" si="104"/>
        <v/>
      </c>
      <c r="AF520" s="12" t="str">
        <f t="shared" si="105"/>
        <v/>
      </c>
      <c r="AG520" s="12" t="str">
        <f t="shared" si="106"/>
        <v/>
      </c>
      <c r="AH520" s="12" t="str">
        <f t="shared" si="107"/>
        <v/>
      </c>
      <c r="AI520" s="12" t="str">
        <f t="shared" si="108"/>
        <v>10/5</v>
      </c>
    </row>
    <row r="521" spans="1:35" s="8" customFormat="1" ht="21.95" customHeight="1">
      <c r="A521" s="9">
        <v>519</v>
      </c>
      <c r="B521" s="17">
        <v>519</v>
      </c>
      <c r="C521" s="6">
        <v>30</v>
      </c>
      <c r="D521" s="6">
        <v>0</v>
      </c>
      <c r="E521" s="5">
        <v>100</v>
      </c>
      <c r="F521" s="5">
        <v>100</v>
      </c>
      <c r="G521" s="5">
        <v>0</v>
      </c>
      <c r="H521" s="5">
        <v>100</v>
      </c>
      <c r="I521" s="5">
        <v>100</v>
      </c>
      <c r="J521" s="5">
        <v>100</v>
      </c>
      <c r="K521" s="15" t="s">
        <v>55</v>
      </c>
      <c r="L521" s="6">
        <v>3</v>
      </c>
      <c r="M521" s="6">
        <v>0</v>
      </c>
      <c r="N521" s="6">
        <v>0</v>
      </c>
      <c r="O521" s="5">
        <v>0</v>
      </c>
      <c r="P521" s="5">
        <v>0</v>
      </c>
      <c r="Q521" s="5">
        <v>0</v>
      </c>
      <c r="R521" s="5">
        <v>0</v>
      </c>
      <c r="S521" s="5">
        <v>0</v>
      </c>
      <c r="T521" s="5">
        <v>0</v>
      </c>
      <c r="U521" s="6">
        <v>5</v>
      </c>
      <c r="V521" s="5">
        <v>10</v>
      </c>
      <c r="W521" s="5">
        <v>5</v>
      </c>
      <c r="X521" s="16">
        <v>2000</v>
      </c>
      <c r="Y521" s="16">
        <v>7000</v>
      </c>
      <c r="Z521" s="16">
        <v>14000</v>
      </c>
      <c r="AA521" s="12" t="str">
        <f t="shared" si="100"/>
        <v>0/30</v>
      </c>
      <c r="AB521" s="12" t="str">
        <f t="shared" si="101"/>
        <v>100,100,0,100,100,100</v>
      </c>
      <c r="AC521" s="12">
        <f t="shared" si="102"/>
        <v>4</v>
      </c>
      <c r="AD521" s="12" t="str">
        <f t="shared" si="103"/>
        <v>2000/7000/14000</v>
      </c>
      <c r="AE521" s="12" t="str">
        <f t="shared" si="104"/>
        <v/>
      </c>
      <c r="AF521" s="12" t="str">
        <f t="shared" si="105"/>
        <v/>
      </c>
      <c r="AG521" s="12" t="str">
        <f t="shared" si="106"/>
        <v/>
      </c>
      <c r="AH521" s="12" t="str">
        <f t="shared" si="107"/>
        <v/>
      </c>
      <c r="AI521" s="12" t="str">
        <f t="shared" si="108"/>
        <v>10/5</v>
      </c>
    </row>
    <row r="522" spans="1:35" s="8" customFormat="1" ht="21.95" customHeight="1">
      <c r="A522" s="9">
        <v>520</v>
      </c>
      <c r="B522" s="17">
        <v>520</v>
      </c>
      <c r="C522" s="6">
        <v>32</v>
      </c>
      <c r="D522" s="6">
        <v>0</v>
      </c>
      <c r="E522" s="5">
        <v>100</v>
      </c>
      <c r="F522" s="5">
        <v>100</v>
      </c>
      <c r="G522" s="5">
        <v>100</v>
      </c>
      <c r="H522" s="5">
        <v>0</v>
      </c>
      <c r="I522" s="5">
        <v>100</v>
      </c>
      <c r="J522" s="5">
        <v>100</v>
      </c>
      <c r="K522" s="15" t="s">
        <v>51</v>
      </c>
      <c r="L522" s="6">
        <v>3</v>
      </c>
      <c r="M522" s="6">
        <v>0</v>
      </c>
      <c r="N522" s="6">
        <v>0</v>
      </c>
      <c r="O522" s="5">
        <v>0</v>
      </c>
      <c r="P522" s="5">
        <v>0</v>
      </c>
      <c r="Q522" s="5">
        <v>0</v>
      </c>
      <c r="R522" s="5">
        <v>0</v>
      </c>
      <c r="S522" s="5">
        <v>0</v>
      </c>
      <c r="T522" s="5">
        <v>0</v>
      </c>
      <c r="U522" s="6">
        <v>0</v>
      </c>
      <c r="V522" s="5">
        <v>10</v>
      </c>
      <c r="W522" s="5">
        <v>5</v>
      </c>
      <c r="X522" s="16">
        <v>2000</v>
      </c>
      <c r="Y522" s="16">
        <v>7000</v>
      </c>
      <c r="Z522" s="16">
        <v>14000</v>
      </c>
      <c r="AA522" s="12" t="str">
        <f t="shared" si="100"/>
        <v>0/32</v>
      </c>
      <c r="AB522" s="12" t="str">
        <f t="shared" si="101"/>
        <v>100,100,100,0,100,100</v>
      </c>
      <c r="AC522" s="12">
        <f t="shared" si="102"/>
        <v>0</v>
      </c>
      <c r="AD522" s="12" t="str">
        <f t="shared" si="103"/>
        <v>2000/7000/14000</v>
      </c>
      <c r="AE522" s="12" t="str">
        <f t="shared" si="104"/>
        <v/>
      </c>
      <c r="AF522" s="12" t="str">
        <f t="shared" si="105"/>
        <v/>
      </c>
      <c r="AG522" s="12" t="str">
        <f t="shared" si="106"/>
        <v/>
      </c>
      <c r="AH522" s="12" t="str">
        <f t="shared" si="107"/>
        <v/>
      </c>
      <c r="AI522" s="12" t="str">
        <f t="shared" si="108"/>
        <v>10/5</v>
      </c>
    </row>
    <row r="523" spans="1:35" s="8" customFormat="1" ht="21.95" customHeight="1">
      <c r="A523" s="9">
        <v>521</v>
      </c>
      <c r="B523" s="17">
        <v>521</v>
      </c>
      <c r="C523" s="6">
        <v>30</v>
      </c>
      <c r="D523" s="6">
        <v>0</v>
      </c>
      <c r="E523" s="5">
        <v>100</v>
      </c>
      <c r="F523" s="5">
        <v>100</v>
      </c>
      <c r="G523" s="5">
        <v>100</v>
      </c>
      <c r="H523" s="5">
        <v>100</v>
      </c>
      <c r="I523" s="5">
        <v>0</v>
      </c>
      <c r="J523" s="5">
        <v>100</v>
      </c>
      <c r="K523" s="15" t="s">
        <v>53</v>
      </c>
      <c r="L523" s="6">
        <v>3</v>
      </c>
      <c r="M523" s="6">
        <v>0</v>
      </c>
      <c r="N523" s="6">
        <v>0</v>
      </c>
      <c r="O523" s="5">
        <v>16</v>
      </c>
      <c r="P523" s="5">
        <v>0</v>
      </c>
      <c r="Q523" s="5">
        <v>0</v>
      </c>
      <c r="R523" s="5">
        <v>0</v>
      </c>
      <c r="S523" s="5">
        <v>0</v>
      </c>
      <c r="T523" s="5">
        <v>18</v>
      </c>
      <c r="U523" s="6">
        <v>0</v>
      </c>
      <c r="V523" s="5">
        <v>10</v>
      </c>
      <c r="W523" s="5">
        <v>5</v>
      </c>
      <c r="X523" s="16">
        <v>2000</v>
      </c>
      <c r="Y523" s="16">
        <v>7000</v>
      </c>
      <c r="Z523" s="16">
        <v>14000</v>
      </c>
      <c r="AA523" s="12" t="str">
        <f t="shared" si="100"/>
        <v>0/30</v>
      </c>
      <c r="AB523" s="12" t="str">
        <f t="shared" si="101"/>
        <v>100,100,100,100,0,100</v>
      </c>
      <c r="AC523" s="12">
        <f t="shared" si="102"/>
        <v>2</v>
      </c>
      <c r="AD523" s="12" t="str">
        <f t="shared" si="103"/>
        <v>2000/7000/14000</v>
      </c>
      <c r="AE523" s="12" t="str">
        <f t="shared" si="104"/>
        <v/>
      </c>
      <c r="AF523" s="12" t="str">
        <f t="shared" si="105"/>
        <v/>
      </c>
      <c r="AG523" s="12" t="str">
        <f t="shared" si="106"/>
        <v>0/5/</v>
      </c>
      <c r="AH523" s="12" t="str">
        <f t="shared" si="107"/>
        <v>16/18/</v>
      </c>
      <c r="AI523" s="12" t="str">
        <f t="shared" si="108"/>
        <v>10/5</v>
      </c>
    </row>
    <row r="524" spans="1:35" s="8" customFormat="1" ht="21.95" customHeight="1">
      <c r="A524" s="9">
        <v>522</v>
      </c>
      <c r="B524" s="17">
        <v>522</v>
      </c>
      <c r="C524" s="6">
        <v>30</v>
      </c>
      <c r="D524" s="6">
        <v>0</v>
      </c>
      <c r="E524" s="5">
        <v>100</v>
      </c>
      <c r="F524" s="5">
        <v>100</v>
      </c>
      <c r="G524" s="5">
        <v>100</v>
      </c>
      <c r="H524" s="5">
        <v>100</v>
      </c>
      <c r="I524" s="5">
        <v>100</v>
      </c>
      <c r="J524" s="5">
        <v>0</v>
      </c>
      <c r="K524" s="15" t="s">
        <v>52</v>
      </c>
      <c r="L524" s="6">
        <v>3</v>
      </c>
      <c r="M524" s="6">
        <v>6</v>
      </c>
      <c r="N524" s="6">
        <v>0</v>
      </c>
      <c r="O524" s="5">
        <v>0</v>
      </c>
      <c r="P524" s="5">
        <v>0</v>
      </c>
      <c r="Q524" s="5">
        <v>0</v>
      </c>
      <c r="R524" s="5">
        <v>0</v>
      </c>
      <c r="S524" s="5">
        <v>0</v>
      </c>
      <c r="T524" s="5">
        <v>0</v>
      </c>
      <c r="U524" s="6">
        <v>0</v>
      </c>
      <c r="V524" s="5">
        <v>10</v>
      </c>
      <c r="W524" s="5">
        <v>5</v>
      </c>
      <c r="X524" s="16">
        <v>2000</v>
      </c>
      <c r="Y524" s="16">
        <v>7000</v>
      </c>
      <c r="Z524" s="16">
        <v>14000</v>
      </c>
      <c r="AA524" s="12" t="str">
        <f t="shared" si="100"/>
        <v>0/30</v>
      </c>
      <c r="AB524" s="12" t="str">
        <f t="shared" si="101"/>
        <v>100,100,100,100,100,0</v>
      </c>
      <c r="AC524" s="12">
        <f t="shared" si="102"/>
        <v>1</v>
      </c>
      <c r="AD524" s="12" t="str">
        <f t="shared" si="103"/>
        <v>2000/7000/14000</v>
      </c>
      <c r="AE524" s="12" t="str">
        <f t="shared" si="104"/>
        <v>0/</v>
      </c>
      <c r="AF524" s="12" t="str">
        <f t="shared" si="105"/>
        <v>6/</v>
      </c>
      <c r="AG524" s="12" t="str">
        <f t="shared" si="106"/>
        <v/>
      </c>
      <c r="AH524" s="12" t="str">
        <f t="shared" si="107"/>
        <v/>
      </c>
      <c r="AI524" s="12" t="str">
        <f t="shared" si="108"/>
        <v>10/5</v>
      </c>
    </row>
    <row r="525" spans="1:35" s="8" customFormat="1" ht="21.95" customHeight="1">
      <c r="A525" s="9">
        <v>523</v>
      </c>
      <c r="B525" s="17">
        <v>523</v>
      </c>
      <c r="C525" s="6">
        <v>30</v>
      </c>
      <c r="D525" s="6">
        <v>0</v>
      </c>
      <c r="E525" s="5">
        <v>0</v>
      </c>
      <c r="F525" s="5">
        <v>100</v>
      </c>
      <c r="G525" s="5">
        <v>100</v>
      </c>
      <c r="H525" s="5">
        <v>100</v>
      </c>
      <c r="I525" s="5">
        <v>100</v>
      </c>
      <c r="J525" s="5">
        <v>100</v>
      </c>
      <c r="K525" s="15" t="s">
        <v>52</v>
      </c>
      <c r="L525" s="6">
        <v>3</v>
      </c>
      <c r="M525" s="6">
        <v>0</v>
      </c>
      <c r="N525" s="6">
        <v>6</v>
      </c>
      <c r="O525" s="5">
        <v>0</v>
      </c>
      <c r="P525" s="5">
        <v>0</v>
      </c>
      <c r="Q525" s="5">
        <v>0</v>
      </c>
      <c r="R525" s="5">
        <v>0</v>
      </c>
      <c r="S525" s="5">
        <v>0</v>
      </c>
      <c r="T525" s="5">
        <v>0</v>
      </c>
      <c r="U525" s="6">
        <v>0</v>
      </c>
      <c r="V525" s="5">
        <v>10</v>
      </c>
      <c r="W525" s="5">
        <v>5</v>
      </c>
      <c r="X525" s="16">
        <v>2000</v>
      </c>
      <c r="Y525" s="16">
        <v>7000</v>
      </c>
      <c r="Z525" s="16">
        <v>14000</v>
      </c>
      <c r="AA525" s="12" t="str">
        <f t="shared" si="100"/>
        <v>0/30</v>
      </c>
      <c r="AB525" s="12" t="str">
        <f t="shared" si="101"/>
        <v>0,100,100,100,100,100</v>
      </c>
      <c r="AC525" s="12">
        <f t="shared" si="102"/>
        <v>1</v>
      </c>
      <c r="AD525" s="12" t="str">
        <f t="shared" si="103"/>
        <v>2000/7000/14000</v>
      </c>
      <c r="AE525" s="12" t="str">
        <f t="shared" si="104"/>
        <v>1/</v>
      </c>
      <c r="AF525" s="12" t="str">
        <f t="shared" si="105"/>
        <v>6/</v>
      </c>
      <c r="AG525" s="12" t="str">
        <f t="shared" si="106"/>
        <v/>
      </c>
      <c r="AH525" s="12" t="str">
        <f t="shared" si="107"/>
        <v/>
      </c>
      <c r="AI525" s="12" t="str">
        <f t="shared" si="108"/>
        <v>10/5</v>
      </c>
    </row>
    <row r="526" spans="1:35" s="8" customFormat="1" ht="21.95" customHeight="1">
      <c r="A526" s="9">
        <v>524</v>
      </c>
      <c r="B526" s="17">
        <v>524</v>
      </c>
      <c r="C526" s="6">
        <v>0</v>
      </c>
      <c r="D526" s="6">
        <v>60</v>
      </c>
      <c r="E526" s="5">
        <v>100</v>
      </c>
      <c r="F526" s="5">
        <v>0</v>
      </c>
      <c r="G526" s="5">
        <v>100</v>
      </c>
      <c r="H526" s="5">
        <v>100</v>
      </c>
      <c r="I526" s="5">
        <v>100</v>
      </c>
      <c r="J526" s="5">
        <v>100</v>
      </c>
      <c r="K526" s="15" t="s">
        <v>54</v>
      </c>
      <c r="L526" s="6">
        <v>3</v>
      </c>
      <c r="M526" s="6">
        <v>0</v>
      </c>
      <c r="N526" s="6">
        <v>0</v>
      </c>
      <c r="O526" s="5">
        <v>0</v>
      </c>
      <c r="P526" s="5">
        <v>0</v>
      </c>
      <c r="Q526" s="5">
        <v>0</v>
      </c>
      <c r="R526" s="5">
        <v>0</v>
      </c>
      <c r="S526" s="5">
        <v>0</v>
      </c>
      <c r="T526" s="5">
        <v>0</v>
      </c>
      <c r="U526" s="6">
        <v>0</v>
      </c>
      <c r="V526" s="5">
        <v>10</v>
      </c>
      <c r="W526" s="5">
        <v>5</v>
      </c>
      <c r="X526" s="16">
        <v>2000</v>
      </c>
      <c r="Y526" s="16">
        <v>7000</v>
      </c>
      <c r="Z526" s="16">
        <v>14000</v>
      </c>
      <c r="AA526" s="12" t="str">
        <f t="shared" si="100"/>
        <v>1/60</v>
      </c>
      <c r="AB526" s="12" t="str">
        <f t="shared" si="101"/>
        <v>100,0,100,100,100,100</v>
      </c>
      <c r="AC526" s="12">
        <f t="shared" si="102"/>
        <v>3</v>
      </c>
      <c r="AD526" s="12" t="str">
        <f t="shared" si="103"/>
        <v>2000/7000/14000</v>
      </c>
      <c r="AE526" s="12" t="str">
        <f t="shared" si="104"/>
        <v/>
      </c>
      <c r="AF526" s="12" t="str">
        <f t="shared" si="105"/>
        <v/>
      </c>
      <c r="AG526" s="12" t="str">
        <f t="shared" si="106"/>
        <v/>
      </c>
      <c r="AH526" s="12" t="str">
        <f t="shared" si="107"/>
        <v/>
      </c>
      <c r="AI526" s="12" t="str">
        <f t="shared" si="108"/>
        <v>10/5</v>
      </c>
    </row>
    <row r="527" spans="1:35" s="8" customFormat="1" ht="21.95" customHeight="1">
      <c r="A527" s="9">
        <v>525</v>
      </c>
      <c r="B527" s="17">
        <v>525</v>
      </c>
      <c r="C527" s="6">
        <v>0</v>
      </c>
      <c r="D527" s="6">
        <v>60</v>
      </c>
      <c r="E527" s="5">
        <v>100</v>
      </c>
      <c r="F527" s="5">
        <v>100</v>
      </c>
      <c r="G527" s="5">
        <v>0</v>
      </c>
      <c r="H527" s="5">
        <v>100</v>
      </c>
      <c r="I527" s="5">
        <v>100</v>
      </c>
      <c r="J527" s="5">
        <v>100</v>
      </c>
      <c r="K527" s="15" t="s">
        <v>54</v>
      </c>
      <c r="L527" s="6">
        <v>3</v>
      </c>
      <c r="M527" s="6">
        <v>0</v>
      </c>
      <c r="N527" s="6">
        <v>0</v>
      </c>
      <c r="O527" s="5">
        <v>0</v>
      </c>
      <c r="P527" s="5">
        <v>0</v>
      </c>
      <c r="Q527" s="5">
        <v>0</v>
      </c>
      <c r="R527" s="5">
        <v>0</v>
      </c>
      <c r="S527" s="5">
        <v>0</v>
      </c>
      <c r="T527" s="5">
        <v>0</v>
      </c>
      <c r="U527" s="6">
        <v>0</v>
      </c>
      <c r="V527" s="5">
        <v>10</v>
      </c>
      <c r="W527" s="5">
        <v>5</v>
      </c>
      <c r="X527" s="16">
        <v>2000</v>
      </c>
      <c r="Y527" s="16">
        <v>7000</v>
      </c>
      <c r="Z527" s="16">
        <v>14000</v>
      </c>
      <c r="AA527" s="12" t="str">
        <f t="shared" si="100"/>
        <v>1/60</v>
      </c>
      <c r="AB527" s="12" t="str">
        <f t="shared" si="101"/>
        <v>100,100,0,100,100,100</v>
      </c>
      <c r="AC527" s="12">
        <f t="shared" si="102"/>
        <v>3</v>
      </c>
      <c r="AD527" s="12" t="str">
        <f t="shared" si="103"/>
        <v>2000/7000/14000</v>
      </c>
      <c r="AE527" s="12" t="str">
        <f t="shared" si="104"/>
        <v/>
      </c>
      <c r="AF527" s="12" t="str">
        <f t="shared" si="105"/>
        <v/>
      </c>
      <c r="AG527" s="12" t="str">
        <f t="shared" si="106"/>
        <v/>
      </c>
      <c r="AH527" s="12" t="str">
        <f t="shared" si="107"/>
        <v/>
      </c>
      <c r="AI527" s="12" t="str">
        <f t="shared" si="108"/>
        <v>10/5</v>
      </c>
    </row>
    <row r="528" spans="1:35" s="8" customFormat="1" ht="21.95" customHeight="1">
      <c r="A528" s="9">
        <v>526</v>
      </c>
      <c r="B528" s="17">
        <v>526</v>
      </c>
      <c r="C528" s="6">
        <v>30</v>
      </c>
      <c r="D528" s="6">
        <v>0</v>
      </c>
      <c r="E528" s="5">
        <v>100</v>
      </c>
      <c r="F528" s="5">
        <v>100</v>
      </c>
      <c r="G528" s="5">
        <v>100</v>
      </c>
      <c r="H528" s="5">
        <v>0</v>
      </c>
      <c r="I528" s="5">
        <v>100</v>
      </c>
      <c r="J528" s="5">
        <v>100</v>
      </c>
      <c r="K528" s="15" t="s">
        <v>55</v>
      </c>
      <c r="L528" s="6">
        <v>3</v>
      </c>
      <c r="M528" s="6">
        <v>0</v>
      </c>
      <c r="N528" s="6">
        <v>0</v>
      </c>
      <c r="O528" s="5">
        <v>0</v>
      </c>
      <c r="P528" s="5">
        <v>0</v>
      </c>
      <c r="Q528" s="5">
        <v>0</v>
      </c>
      <c r="R528" s="5">
        <v>0</v>
      </c>
      <c r="S528" s="5">
        <v>0</v>
      </c>
      <c r="T528" s="5">
        <v>0</v>
      </c>
      <c r="U528" s="6">
        <v>5</v>
      </c>
      <c r="V528" s="5">
        <v>10</v>
      </c>
      <c r="W528" s="5">
        <v>5</v>
      </c>
      <c r="X528" s="16">
        <v>2000</v>
      </c>
      <c r="Y528" s="16">
        <v>7000</v>
      </c>
      <c r="Z528" s="16">
        <v>14000</v>
      </c>
      <c r="AA528" s="12" t="str">
        <f t="shared" si="100"/>
        <v>0/30</v>
      </c>
      <c r="AB528" s="12" t="str">
        <f t="shared" si="101"/>
        <v>100,100,100,0,100,100</v>
      </c>
      <c r="AC528" s="12">
        <f t="shared" si="102"/>
        <v>4</v>
      </c>
      <c r="AD528" s="12" t="str">
        <f t="shared" si="103"/>
        <v>2000/7000/14000</v>
      </c>
      <c r="AE528" s="12" t="str">
        <f t="shared" si="104"/>
        <v/>
      </c>
      <c r="AF528" s="12" t="str">
        <f t="shared" si="105"/>
        <v/>
      </c>
      <c r="AG528" s="12" t="str">
        <f t="shared" si="106"/>
        <v/>
      </c>
      <c r="AH528" s="12" t="str">
        <f t="shared" si="107"/>
        <v/>
      </c>
      <c r="AI528" s="12" t="str">
        <f t="shared" si="108"/>
        <v>10/5</v>
      </c>
    </row>
    <row r="529" spans="1:35" s="8" customFormat="1" ht="21.95" customHeight="1">
      <c r="A529" s="9">
        <v>527</v>
      </c>
      <c r="B529" s="17">
        <v>527</v>
      </c>
      <c r="C529" s="6">
        <v>30</v>
      </c>
      <c r="D529" s="6">
        <v>0</v>
      </c>
      <c r="E529" s="5">
        <v>100</v>
      </c>
      <c r="F529" s="5">
        <v>100</v>
      </c>
      <c r="G529" s="5">
        <v>100</v>
      </c>
      <c r="H529" s="5">
        <v>100</v>
      </c>
      <c r="I529" s="5">
        <v>0</v>
      </c>
      <c r="J529" s="5">
        <v>100</v>
      </c>
      <c r="K529" s="15" t="s">
        <v>55</v>
      </c>
      <c r="L529" s="6">
        <v>3</v>
      </c>
      <c r="M529" s="6">
        <v>0</v>
      </c>
      <c r="N529" s="6">
        <v>0</v>
      </c>
      <c r="O529" s="5">
        <v>0</v>
      </c>
      <c r="P529" s="5">
        <v>0</v>
      </c>
      <c r="Q529" s="5">
        <v>0</v>
      </c>
      <c r="R529" s="5">
        <v>0</v>
      </c>
      <c r="S529" s="5">
        <v>0</v>
      </c>
      <c r="T529" s="5">
        <v>0</v>
      </c>
      <c r="U529" s="6">
        <v>5</v>
      </c>
      <c r="V529" s="5">
        <v>10</v>
      </c>
      <c r="W529" s="5">
        <v>5</v>
      </c>
      <c r="X529" s="16">
        <v>2000</v>
      </c>
      <c r="Y529" s="16">
        <v>7000</v>
      </c>
      <c r="Z529" s="16">
        <v>14000</v>
      </c>
      <c r="AA529" s="12" t="str">
        <f t="shared" si="100"/>
        <v>0/30</v>
      </c>
      <c r="AB529" s="12" t="str">
        <f t="shared" si="101"/>
        <v>100,100,100,100,0,100</v>
      </c>
      <c r="AC529" s="12">
        <f t="shared" si="102"/>
        <v>4</v>
      </c>
      <c r="AD529" s="12" t="str">
        <f t="shared" si="103"/>
        <v>2000/7000/14000</v>
      </c>
      <c r="AE529" s="12" t="str">
        <f t="shared" si="104"/>
        <v/>
      </c>
      <c r="AF529" s="12" t="str">
        <f t="shared" si="105"/>
        <v/>
      </c>
      <c r="AG529" s="12" t="str">
        <f t="shared" si="106"/>
        <v/>
      </c>
      <c r="AH529" s="12" t="str">
        <f t="shared" si="107"/>
        <v/>
      </c>
      <c r="AI529" s="12" t="str">
        <f t="shared" si="108"/>
        <v>10/5</v>
      </c>
    </row>
    <row r="530" spans="1:35" s="8" customFormat="1" ht="21.95" customHeight="1">
      <c r="A530" s="9">
        <v>528</v>
      </c>
      <c r="B530" s="17">
        <v>528</v>
      </c>
      <c r="C530" s="6">
        <v>30</v>
      </c>
      <c r="D530" s="6">
        <v>0</v>
      </c>
      <c r="E530" s="5">
        <v>100</v>
      </c>
      <c r="F530" s="5">
        <v>100</v>
      </c>
      <c r="G530" s="5">
        <v>100</v>
      </c>
      <c r="H530" s="5">
        <v>100</v>
      </c>
      <c r="I530" s="5">
        <v>100</v>
      </c>
      <c r="J530" s="5">
        <v>0</v>
      </c>
      <c r="K530" s="15" t="s">
        <v>56</v>
      </c>
      <c r="L530" s="6">
        <v>3</v>
      </c>
      <c r="M530" s="6">
        <v>0</v>
      </c>
      <c r="N530" s="6">
        <v>0</v>
      </c>
      <c r="O530" s="5">
        <v>0</v>
      </c>
      <c r="P530" s="5">
        <v>0</v>
      </c>
      <c r="Q530" s="5">
        <v>0</v>
      </c>
      <c r="R530" s="5">
        <v>0</v>
      </c>
      <c r="S530" s="5">
        <v>0</v>
      </c>
      <c r="T530" s="5">
        <v>0</v>
      </c>
      <c r="U530" s="6">
        <v>0</v>
      </c>
      <c r="V530" s="5">
        <v>10</v>
      </c>
      <c r="W530" s="5">
        <v>5</v>
      </c>
      <c r="X530" s="16">
        <v>2000</v>
      </c>
      <c r="Y530" s="16">
        <v>7000</v>
      </c>
      <c r="Z530" s="16">
        <v>14000</v>
      </c>
      <c r="AA530" s="12" t="str">
        <f t="shared" si="100"/>
        <v>0/30</v>
      </c>
      <c r="AB530" s="12" t="str">
        <f t="shared" si="101"/>
        <v>100,100,100,100,100,0</v>
      </c>
      <c r="AC530" s="12">
        <f t="shared" si="102"/>
        <v>5</v>
      </c>
      <c r="AD530" s="12" t="str">
        <f t="shared" si="103"/>
        <v>2000/7000/14000</v>
      </c>
      <c r="AE530" s="12" t="str">
        <f t="shared" si="104"/>
        <v/>
      </c>
      <c r="AF530" s="12" t="str">
        <f t="shared" si="105"/>
        <v/>
      </c>
      <c r="AG530" s="12" t="str">
        <f t="shared" si="106"/>
        <v/>
      </c>
      <c r="AH530" s="12" t="str">
        <f t="shared" si="107"/>
        <v/>
      </c>
      <c r="AI530" s="12" t="str">
        <f t="shared" si="108"/>
        <v>10/5</v>
      </c>
    </row>
    <row r="531" spans="1:35" s="8" customFormat="1" ht="21.95" customHeight="1">
      <c r="A531" s="9">
        <v>529</v>
      </c>
      <c r="B531" s="17">
        <v>529</v>
      </c>
      <c r="C531" s="6">
        <v>0</v>
      </c>
      <c r="D531" s="6">
        <v>60</v>
      </c>
      <c r="E531" s="5">
        <v>0</v>
      </c>
      <c r="F531" s="5">
        <v>100</v>
      </c>
      <c r="G531" s="5">
        <v>100</v>
      </c>
      <c r="H531" s="5">
        <v>100</v>
      </c>
      <c r="I531" s="5">
        <v>100</v>
      </c>
      <c r="J531" s="5">
        <v>100</v>
      </c>
      <c r="K531" s="15" t="s">
        <v>56</v>
      </c>
      <c r="L531" s="6">
        <v>3</v>
      </c>
      <c r="M531" s="6">
        <v>0</v>
      </c>
      <c r="N531" s="6">
        <v>0</v>
      </c>
      <c r="O531" s="5">
        <v>0</v>
      </c>
      <c r="P531" s="5">
        <v>0</v>
      </c>
      <c r="Q531" s="5">
        <v>0</v>
      </c>
      <c r="R531" s="5">
        <v>0</v>
      </c>
      <c r="S531" s="5">
        <v>0</v>
      </c>
      <c r="T531" s="5">
        <v>0</v>
      </c>
      <c r="U531" s="6">
        <v>0</v>
      </c>
      <c r="V531" s="5">
        <v>10</v>
      </c>
      <c r="W531" s="5">
        <v>5</v>
      </c>
      <c r="X531" s="16">
        <v>2000</v>
      </c>
      <c r="Y531" s="16">
        <v>7000</v>
      </c>
      <c r="Z531" s="16">
        <v>14000</v>
      </c>
      <c r="AA531" s="12" t="str">
        <f t="shared" si="100"/>
        <v>1/60</v>
      </c>
      <c r="AB531" s="12" t="str">
        <f t="shared" si="101"/>
        <v>0,100,100,100,100,100</v>
      </c>
      <c r="AC531" s="12">
        <f t="shared" si="102"/>
        <v>5</v>
      </c>
      <c r="AD531" s="12" t="str">
        <f t="shared" si="103"/>
        <v>2000/7000/14000</v>
      </c>
      <c r="AE531" s="12" t="str">
        <f t="shared" si="104"/>
        <v/>
      </c>
      <c r="AF531" s="12" t="str">
        <f t="shared" si="105"/>
        <v/>
      </c>
      <c r="AG531" s="12" t="str">
        <f t="shared" si="106"/>
        <v/>
      </c>
      <c r="AH531" s="12" t="str">
        <f t="shared" si="107"/>
        <v/>
      </c>
      <c r="AI531" s="12" t="str">
        <f t="shared" si="108"/>
        <v>10/5</v>
      </c>
    </row>
    <row r="532" spans="1:35" s="8" customFormat="1" ht="21.95" customHeight="1">
      <c r="A532" s="9">
        <v>530</v>
      </c>
      <c r="B532" s="17">
        <v>530</v>
      </c>
      <c r="C532" s="6">
        <v>0</v>
      </c>
      <c r="D532" s="6">
        <v>60</v>
      </c>
      <c r="E532" s="5">
        <v>0</v>
      </c>
      <c r="F532" s="5">
        <v>100</v>
      </c>
      <c r="G532" s="5">
        <v>100</v>
      </c>
      <c r="H532" s="5">
        <v>100</v>
      </c>
      <c r="I532" s="5">
        <v>100</v>
      </c>
      <c r="J532" s="5">
        <v>100</v>
      </c>
      <c r="K532" s="15" t="s">
        <v>56</v>
      </c>
      <c r="L532" s="6">
        <v>3</v>
      </c>
      <c r="M532" s="6">
        <v>0</v>
      </c>
      <c r="N532" s="6">
        <v>0</v>
      </c>
      <c r="O532" s="5">
        <v>0</v>
      </c>
      <c r="P532" s="5">
        <v>0</v>
      </c>
      <c r="Q532" s="5">
        <v>0</v>
      </c>
      <c r="R532" s="5">
        <v>0</v>
      </c>
      <c r="S532" s="5">
        <v>0</v>
      </c>
      <c r="T532" s="5">
        <v>0</v>
      </c>
      <c r="U532" s="6">
        <v>0</v>
      </c>
      <c r="V532" s="5">
        <v>10</v>
      </c>
      <c r="W532" s="5">
        <v>5</v>
      </c>
      <c r="X532" s="16">
        <v>2000</v>
      </c>
      <c r="Y532" s="16">
        <v>7000</v>
      </c>
      <c r="Z532" s="16">
        <v>14000</v>
      </c>
      <c r="AA532" s="12" t="str">
        <f t="shared" si="100"/>
        <v>1/60</v>
      </c>
      <c r="AB532" s="12" t="str">
        <f t="shared" si="101"/>
        <v>0,100,100,100,100,100</v>
      </c>
      <c r="AC532" s="12">
        <f t="shared" si="102"/>
        <v>5</v>
      </c>
      <c r="AD532" s="12" t="str">
        <f t="shared" si="103"/>
        <v>2000/7000/14000</v>
      </c>
      <c r="AE532" s="12" t="str">
        <f t="shared" si="104"/>
        <v/>
      </c>
      <c r="AF532" s="12" t="str">
        <f t="shared" si="105"/>
        <v/>
      </c>
      <c r="AG532" s="12" t="str">
        <f t="shared" si="106"/>
        <v/>
      </c>
      <c r="AH532" s="12" t="str">
        <f t="shared" si="107"/>
        <v/>
      </c>
      <c r="AI532" s="12" t="str">
        <f t="shared" si="108"/>
        <v>10/5</v>
      </c>
    </row>
    <row r="533" spans="1:35" s="8" customFormat="1" ht="21.95" customHeight="1">
      <c r="A533" s="9">
        <v>531</v>
      </c>
      <c r="B533" s="17">
        <v>531</v>
      </c>
      <c r="C533" s="6">
        <v>30</v>
      </c>
      <c r="D533" s="6">
        <v>0</v>
      </c>
      <c r="E533" s="5">
        <v>100</v>
      </c>
      <c r="F533" s="5">
        <v>0</v>
      </c>
      <c r="G533" s="5">
        <v>100</v>
      </c>
      <c r="H533" s="5">
        <v>100</v>
      </c>
      <c r="I533" s="5">
        <v>100</v>
      </c>
      <c r="J533" s="5">
        <v>100</v>
      </c>
      <c r="K533" s="15" t="s">
        <v>53</v>
      </c>
      <c r="L533" s="6">
        <v>3</v>
      </c>
      <c r="M533" s="6">
        <v>0</v>
      </c>
      <c r="N533" s="6">
        <v>0</v>
      </c>
      <c r="O533" s="5">
        <v>0</v>
      </c>
      <c r="P533" s="5">
        <v>0</v>
      </c>
      <c r="Q533" s="5">
        <v>20</v>
      </c>
      <c r="R533" s="5">
        <v>24</v>
      </c>
      <c r="S533" s="5">
        <v>0</v>
      </c>
      <c r="T533" s="5">
        <v>0</v>
      </c>
      <c r="U533" s="6">
        <v>0</v>
      </c>
      <c r="V533" s="5">
        <v>10</v>
      </c>
      <c r="W533" s="5">
        <v>5</v>
      </c>
      <c r="X533" s="16">
        <v>2000</v>
      </c>
      <c r="Y533" s="16">
        <v>7000</v>
      </c>
      <c r="Z533" s="16">
        <v>14000</v>
      </c>
      <c r="AA533" s="12" t="str">
        <f t="shared" si="100"/>
        <v>0/30</v>
      </c>
      <c r="AB533" s="12" t="str">
        <f t="shared" si="101"/>
        <v>100,0,100,100,100,100</v>
      </c>
      <c r="AC533" s="12">
        <f t="shared" si="102"/>
        <v>2</v>
      </c>
      <c r="AD533" s="12" t="str">
        <f t="shared" si="103"/>
        <v>2000/7000/14000</v>
      </c>
      <c r="AE533" s="12" t="str">
        <f t="shared" si="104"/>
        <v/>
      </c>
      <c r="AF533" s="12" t="str">
        <f t="shared" si="105"/>
        <v/>
      </c>
      <c r="AG533" s="12" t="str">
        <f t="shared" si="106"/>
        <v>2/3/</v>
      </c>
      <c r="AH533" s="12" t="str">
        <f t="shared" si="107"/>
        <v>20/24/</v>
      </c>
      <c r="AI533" s="12" t="str">
        <f t="shared" si="108"/>
        <v>10/5</v>
      </c>
    </row>
    <row r="534" spans="1:35" s="8" customFormat="1" ht="21.95" customHeight="1">
      <c r="A534" s="9">
        <v>532</v>
      </c>
      <c r="B534" s="17">
        <v>532</v>
      </c>
      <c r="C534" s="6">
        <v>30</v>
      </c>
      <c r="D534" s="6">
        <v>0</v>
      </c>
      <c r="E534" s="5">
        <v>100</v>
      </c>
      <c r="F534" s="5">
        <v>100</v>
      </c>
      <c r="G534" s="5">
        <v>0</v>
      </c>
      <c r="H534" s="5">
        <v>100</v>
      </c>
      <c r="I534" s="5">
        <v>100</v>
      </c>
      <c r="J534" s="5">
        <v>100</v>
      </c>
      <c r="K534" s="15" t="s">
        <v>53</v>
      </c>
      <c r="L534" s="6">
        <v>3</v>
      </c>
      <c r="M534" s="6">
        <v>0</v>
      </c>
      <c r="N534" s="6">
        <v>0</v>
      </c>
      <c r="O534" s="5">
        <v>0</v>
      </c>
      <c r="P534" s="5">
        <v>0</v>
      </c>
      <c r="Q534" s="5">
        <v>0</v>
      </c>
      <c r="R534" s="5">
        <v>18</v>
      </c>
      <c r="S534" s="5">
        <v>32</v>
      </c>
      <c r="T534" s="5">
        <v>0</v>
      </c>
      <c r="U534" s="6">
        <v>0</v>
      </c>
      <c r="V534" s="5">
        <v>10</v>
      </c>
      <c r="W534" s="5">
        <v>5</v>
      </c>
      <c r="X534" s="16">
        <v>2000</v>
      </c>
      <c r="Y534" s="16">
        <v>7000</v>
      </c>
      <c r="Z534" s="16">
        <v>14000</v>
      </c>
      <c r="AA534" s="12" t="str">
        <f t="shared" si="100"/>
        <v>0/30</v>
      </c>
      <c r="AB534" s="12" t="str">
        <f t="shared" si="101"/>
        <v>100,100,0,100,100,100</v>
      </c>
      <c r="AC534" s="12">
        <f t="shared" si="102"/>
        <v>2</v>
      </c>
      <c r="AD534" s="12" t="str">
        <f t="shared" si="103"/>
        <v>2000/7000/14000</v>
      </c>
      <c r="AE534" s="12" t="str">
        <f t="shared" si="104"/>
        <v/>
      </c>
      <c r="AF534" s="12" t="str">
        <f t="shared" si="105"/>
        <v/>
      </c>
      <c r="AG534" s="12" t="str">
        <f t="shared" si="106"/>
        <v>3/4/</v>
      </c>
      <c r="AH534" s="12" t="str">
        <f t="shared" si="107"/>
        <v>18/32/</v>
      </c>
      <c r="AI534" s="12" t="str">
        <f t="shared" si="108"/>
        <v>10/5</v>
      </c>
    </row>
    <row r="535" spans="1:35" s="8" customFormat="1" ht="21.95" customHeight="1">
      <c r="A535" s="9">
        <v>533</v>
      </c>
      <c r="B535" s="17">
        <v>533</v>
      </c>
      <c r="C535" s="6">
        <v>30</v>
      </c>
      <c r="D535" s="6">
        <v>0</v>
      </c>
      <c r="E535" s="5">
        <v>100</v>
      </c>
      <c r="F535" s="5">
        <v>100</v>
      </c>
      <c r="G535" s="5">
        <v>100</v>
      </c>
      <c r="H535" s="5">
        <v>0</v>
      </c>
      <c r="I535" s="5">
        <v>100</v>
      </c>
      <c r="J535" s="5">
        <v>100</v>
      </c>
      <c r="K535" s="15" t="s">
        <v>52</v>
      </c>
      <c r="L535" s="6">
        <v>3</v>
      </c>
      <c r="M535" s="6">
        <v>6</v>
      </c>
      <c r="N535" s="6">
        <v>0</v>
      </c>
      <c r="O535" s="5">
        <v>0</v>
      </c>
      <c r="P535" s="5">
        <v>0</v>
      </c>
      <c r="Q535" s="5">
        <v>0</v>
      </c>
      <c r="R535" s="5">
        <v>0</v>
      </c>
      <c r="S535" s="5">
        <v>0</v>
      </c>
      <c r="T535" s="5">
        <v>0</v>
      </c>
      <c r="U535" s="6">
        <v>0</v>
      </c>
      <c r="V535" s="5">
        <v>10</v>
      </c>
      <c r="W535" s="5">
        <v>5</v>
      </c>
      <c r="X535" s="16">
        <v>2000</v>
      </c>
      <c r="Y535" s="16">
        <v>7000</v>
      </c>
      <c r="Z535" s="16">
        <v>14000</v>
      </c>
      <c r="AA535" s="12" t="str">
        <f t="shared" si="100"/>
        <v>0/30</v>
      </c>
      <c r="AB535" s="12" t="str">
        <f t="shared" si="101"/>
        <v>100,100,100,0,100,100</v>
      </c>
      <c r="AC535" s="12">
        <f t="shared" si="102"/>
        <v>1</v>
      </c>
      <c r="AD535" s="12" t="str">
        <f t="shared" si="103"/>
        <v>2000/7000/14000</v>
      </c>
      <c r="AE535" s="12" t="str">
        <f t="shared" si="104"/>
        <v>0/</v>
      </c>
      <c r="AF535" s="12" t="str">
        <f t="shared" si="105"/>
        <v>6/</v>
      </c>
      <c r="AG535" s="12" t="str">
        <f t="shared" si="106"/>
        <v/>
      </c>
      <c r="AH535" s="12" t="str">
        <f t="shared" si="107"/>
        <v/>
      </c>
      <c r="AI535" s="12" t="str">
        <f t="shared" si="108"/>
        <v>10/5</v>
      </c>
    </row>
    <row r="536" spans="1:35" s="8" customFormat="1" ht="21.95" customHeight="1">
      <c r="A536" s="9">
        <v>534</v>
      </c>
      <c r="B536" s="17">
        <v>534</v>
      </c>
      <c r="C536" s="6">
        <v>30</v>
      </c>
      <c r="D536" s="6">
        <v>0</v>
      </c>
      <c r="E536" s="5">
        <v>100</v>
      </c>
      <c r="F536" s="5">
        <v>100</v>
      </c>
      <c r="G536" s="5">
        <v>100</v>
      </c>
      <c r="H536" s="5">
        <v>100</v>
      </c>
      <c r="I536" s="5">
        <v>0</v>
      </c>
      <c r="J536" s="5">
        <v>100</v>
      </c>
      <c r="K536" s="15" t="s">
        <v>52</v>
      </c>
      <c r="L536" s="6">
        <v>3</v>
      </c>
      <c r="M536" s="6">
        <v>2</v>
      </c>
      <c r="N536" s="6">
        <v>4</v>
      </c>
      <c r="O536" s="5">
        <v>0</v>
      </c>
      <c r="P536" s="5">
        <v>0</v>
      </c>
      <c r="Q536" s="5">
        <v>0</v>
      </c>
      <c r="R536" s="5">
        <v>0</v>
      </c>
      <c r="S536" s="5">
        <v>0</v>
      </c>
      <c r="T536" s="5">
        <v>0</v>
      </c>
      <c r="U536" s="6">
        <v>0</v>
      </c>
      <c r="V536" s="5">
        <v>10</v>
      </c>
      <c r="W536" s="5">
        <v>5</v>
      </c>
      <c r="X536" s="16">
        <v>2000</v>
      </c>
      <c r="Y536" s="16">
        <v>7000</v>
      </c>
      <c r="Z536" s="16">
        <v>14000</v>
      </c>
      <c r="AA536" s="12" t="str">
        <f t="shared" si="100"/>
        <v>0/30</v>
      </c>
      <c r="AB536" s="12" t="str">
        <f t="shared" si="101"/>
        <v>100,100,100,100,0,100</v>
      </c>
      <c r="AC536" s="12">
        <f t="shared" si="102"/>
        <v>1</v>
      </c>
      <c r="AD536" s="12" t="str">
        <f t="shared" si="103"/>
        <v>2000/7000/14000</v>
      </c>
      <c r="AE536" s="12" t="str">
        <f t="shared" si="104"/>
        <v>0/1/</v>
      </c>
      <c r="AF536" s="12" t="str">
        <f t="shared" si="105"/>
        <v>2/4/</v>
      </c>
      <c r="AG536" s="12" t="str">
        <f t="shared" si="106"/>
        <v/>
      </c>
      <c r="AH536" s="12" t="str">
        <f t="shared" si="107"/>
        <v/>
      </c>
      <c r="AI536" s="12" t="str">
        <f t="shared" si="108"/>
        <v>10/5</v>
      </c>
    </row>
    <row r="537" spans="1:35" s="8" customFormat="1" ht="21.95" customHeight="1">
      <c r="A537" s="9">
        <v>535</v>
      </c>
      <c r="B537" s="17">
        <v>535</v>
      </c>
      <c r="C537" s="6">
        <v>0</v>
      </c>
      <c r="D537" s="6">
        <v>60</v>
      </c>
      <c r="E537" s="5">
        <v>100</v>
      </c>
      <c r="F537" s="5">
        <v>100</v>
      </c>
      <c r="G537" s="5">
        <v>100</v>
      </c>
      <c r="H537" s="5">
        <v>100</v>
      </c>
      <c r="I537" s="5">
        <v>100</v>
      </c>
      <c r="J537" s="5">
        <v>0</v>
      </c>
      <c r="K537" s="15" t="s">
        <v>54</v>
      </c>
      <c r="L537" s="6">
        <v>3</v>
      </c>
      <c r="M537" s="6">
        <v>0</v>
      </c>
      <c r="N537" s="6">
        <v>0</v>
      </c>
      <c r="O537" s="5">
        <v>0</v>
      </c>
      <c r="P537" s="5">
        <v>0</v>
      </c>
      <c r="Q537" s="5">
        <v>0</v>
      </c>
      <c r="R537" s="5">
        <v>0</v>
      </c>
      <c r="S537" s="5">
        <v>0</v>
      </c>
      <c r="T537" s="5">
        <v>0</v>
      </c>
      <c r="U537" s="6">
        <v>0</v>
      </c>
      <c r="V537" s="5">
        <v>10</v>
      </c>
      <c r="W537" s="5">
        <v>5</v>
      </c>
      <c r="X537" s="16">
        <v>2000</v>
      </c>
      <c r="Y537" s="16">
        <v>7000</v>
      </c>
      <c r="Z537" s="16">
        <v>14000</v>
      </c>
      <c r="AA537" s="12" t="str">
        <f t="shared" si="100"/>
        <v>1/60</v>
      </c>
      <c r="AB537" s="12" t="str">
        <f t="shared" si="101"/>
        <v>100,100,100,100,100,0</v>
      </c>
      <c r="AC537" s="12">
        <f t="shared" si="102"/>
        <v>3</v>
      </c>
      <c r="AD537" s="12" t="str">
        <f t="shared" si="103"/>
        <v>2000/7000/14000</v>
      </c>
      <c r="AE537" s="12" t="str">
        <f t="shared" si="104"/>
        <v/>
      </c>
      <c r="AF537" s="12" t="str">
        <f t="shared" si="105"/>
        <v/>
      </c>
      <c r="AG537" s="12" t="str">
        <f t="shared" si="106"/>
        <v/>
      </c>
      <c r="AH537" s="12" t="str">
        <f t="shared" si="107"/>
        <v/>
      </c>
      <c r="AI537" s="12" t="str">
        <f t="shared" si="108"/>
        <v>10/5</v>
      </c>
    </row>
    <row r="538" spans="1:35" s="8" customFormat="1" ht="21.95" customHeight="1">
      <c r="A538" s="9">
        <v>536</v>
      </c>
      <c r="B538" s="17">
        <v>536</v>
      </c>
      <c r="C538" s="6">
        <v>0</v>
      </c>
      <c r="D538" s="6">
        <v>60</v>
      </c>
      <c r="E538" s="5">
        <v>0</v>
      </c>
      <c r="F538" s="5">
        <v>100</v>
      </c>
      <c r="G538" s="5">
        <v>100</v>
      </c>
      <c r="H538" s="5">
        <v>100</v>
      </c>
      <c r="I538" s="5">
        <v>100</v>
      </c>
      <c r="J538" s="5">
        <v>100</v>
      </c>
      <c r="K538" s="15" t="s">
        <v>54</v>
      </c>
      <c r="L538" s="6">
        <v>3</v>
      </c>
      <c r="M538" s="6">
        <v>0</v>
      </c>
      <c r="N538" s="6">
        <v>0</v>
      </c>
      <c r="O538" s="5">
        <v>0</v>
      </c>
      <c r="P538" s="5">
        <v>0</v>
      </c>
      <c r="Q538" s="5">
        <v>0</v>
      </c>
      <c r="R538" s="5">
        <v>0</v>
      </c>
      <c r="S538" s="5">
        <v>0</v>
      </c>
      <c r="T538" s="5">
        <v>0</v>
      </c>
      <c r="U538" s="6">
        <v>0</v>
      </c>
      <c r="V538" s="5">
        <v>10</v>
      </c>
      <c r="W538" s="5">
        <v>5</v>
      </c>
      <c r="X538" s="16">
        <v>2000</v>
      </c>
      <c r="Y538" s="16">
        <v>7000</v>
      </c>
      <c r="Z538" s="16">
        <v>14000</v>
      </c>
      <c r="AA538" s="12" t="str">
        <f t="shared" si="100"/>
        <v>1/60</v>
      </c>
      <c r="AB538" s="12" t="str">
        <f t="shared" si="101"/>
        <v>0,100,100,100,100,100</v>
      </c>
      <c r="AC538" s="12">
        <f t="shared" si="102"/>
        <v>3</v>
      </c>
      <c r="AD538" s="12" t="str">
        <f t="shared" si="103"/>
        <v>2000/7000/14000</v>
      </c>
      <c r="AE538" s="12" t="str">
        <f t="shared" si="104"/>
        <v/>
      </c>
      <c r="AF538" s="12" t="str">
        <f t="shared" si="105"/>
        <v/>
      </c>
      <c r="AG538" s="12" t="str">
        <f t="shared" si="106"/>
        <v/>
      </c>
      <c r="AH538" s="12" t="str">
        <f t="shared" si="107"/>
        <v/>
      </c>
      <c r="AI538" s="12" t="str">
        <f t="shared" si="108"/>
        <v>10/5</v>
      </c>
    </row>
    <row r="539" spans="1:35" s="8" customFormat="1" ht="21.95" customHeight="1">
      <c r="A539" s="9">
        <v>537</v>
      </c>
      <c r="B539" s="17">
        <v>537</v>
      </c>
      <c r="C539" s="6">
        <v>30</v>
      </c>
      <c r="D539" s="6">
        <v>0</v>
      </c>
      <c r="E539" s="5">
        <v>100</v>
      </c>
      <c r="F539" s="5">
        <v>0</v>
      </c>
      <c r="G539" s="5">
        <v>100</v>
      </c>
      <c r="H539" s="5">
        <v>100</v>
      </c>
      <c r="I539" s="5">
        <v>100</v>
      </c>
      <c r="J539" s="5">
        <v>100</v>
      </c>
      <c r="K539" s="15" t="s">
        <v>55</v>
      </c>
      <c r="L539" s="6">
        <v>3</v>
      </c>
      <c r="M539" s="6">
        <v>0</v>
      </c>
      <c r="N539" s="6">
        <v>0</v>
      </c>
      <c r="O539" s="5">
        <v>0</v>
      </c>
      <c r="P539" s="5">
        <v>0</v>
      </c>
      <c r="Q539" s="5">
        <v>0</v>
      </c>
      <c r="R539" s="5">
        <v>0</v>
      </c>
      <c r="S539" s="5">
        <v>0</v>
      </c>
      <c r="T539" s="5">
        <v>0</v>
      </c>
      <c r="U539" s="6">
        <v>5</v>
      </c>
      <c r="V539" s="5">
        <v>10</v>
      </c>
      <c r="W539" s="5">
        <v>5</v>
      </c>
      <c r="X539" s="16">
        <v>2000</v>
      </c>
      <c r="Y539" s="16">
        <v>7000</v>
      </c>
      <c r="Z539" s="16">
        <v>14000</v>
      </c>
      <c r="AA539" s="12" t="str">
        <f t="shared" si="100"/>
        <v>0/30</v>
      </c>
      <c r="AB539" s="12" t="str">
        <f t="shared" si="101"/>
        <v>100,0,100,100,100,100</v>
      </c>
      <c r="AC539" s="12">
        <f t="shared" si="102"/>
        <v>4</v>
      </c>
      <c r="AD539" s="12" t="str">
        <f t="shared" si="103"/>
        <v>2000/7000/14000</v>
      </c>
      <c r="AE539" s="12" t="str">
        <f t="shared" si="104"/>
        <v/>
      </c>
      <c r="AF539" s="12" t="str">
        <f t="shared" si="105"/>
        <v/>
      </c>
      <c r="AG539" s="12" t="str">
        <f t="shared" si="106"/>
        <v/>
      </c>
      <c r="AH539" s="12" t="str">
        <f t="shared" si="107"/>
        <v/>
      </c>
      <c r="AI539" s="12" t="str">
        <f t="shared" si="108"/>
        <v>10/5</v>
      </c>
    </row>
    <row r="540" spans="1:35" s="8" customFormat="1" ht="21.95" customHeight="1">
      <c r="A540" s="9">
        <v>538</v>
      </c>
      <c r="B540" s="17">
        <v>538</v>
      </c>
      <c r="C540" s="6">
        <v>30</v>
      </c>
      <c r="D540" s="6">
        <v>0</v>
      </c>
      <c r="E540" s="5">
        <v>100</v>
      </c>
      <c r="F540" s="5">
        <v>100</v>
      </c>
      <c r="G540" s="5">
        <v>0</v>
      </c>
      <c r="H540" s="5">
        <v>100</v>
      </c>
      <c r="I540" s="5">
        <v>100</v>
      </c>
      <c r="J540" s="5">
        <v>100</v>
      </c>
      <c r="K540" s="15" t="s">
        <v>55</v>
      </c>
      <c r="L540" s="6">
        <v>3</v>
      </c>
      <c r="M540" s="6">
        <v>0</v>
      </c>
      <c r="N540" s="6">
        <v>0</v>
      </c>
      <c r="O540" s="5">
        <v>0</v>
      </c>
      <c r="P540" s="5">
        <v>0</v>
      </c>
      <c r="Q540" s="5">
        <v>0</v>
      </c>
      <c r="R540" s="5">
        <v>0</v>
      </c>
      <c r="S540" s="5">
        <v>0</v>
      </c>
      <c r="T540" s="5">
        <v>0</v>
      </c>
      <c r="U540" s="6">
        <v>5</v>
      </c>
      <c r="V540" s="5">
        <v>10</v>
      </c>
      <c r="W540" s="5">
        <v>5</v>
      </c>
      <c r="X540" s="16">
        <v>2000</v>
      </c>
      <c r="Y540" s="16">
        <v>7000</v>
      </c>
      <c r="Z540" s="16">
        <v>14000</v>
      </c>
      <c r="AA540" s="12" t="str">
        <f t="shared" si="100"/>
        <v>0/30</v>
      </c>
      <c r="AB540" s="12" t="str">
        <f t="shared" si="101"/>
        <v>100,100,0,100,100,100</v>
      </c>
      <c r="AC540" s="12">
        <f t="shared" si="102"/>
        <v>4</v>
      </c>
      <c r="AD540" s="12" t="str">
        <f t="shared" si="103"/>
        <v>2000/7000/14000</v>
      </c>
      <c r="AE540" s="12" t="str">
        <f t="shared" si="104"/>
        <v/>
      </c>
      <c r="AF540" s="12" t="str">
        <f t="shared" si="105"/>
        <v/>
      </c>
      <c r="AG540" s="12" t="str">
        <f t="shared" si="106"/>
        <v/>
      </c>
      <c r="AH540" s="12" t="str">
        <f t="shared" si="107"/>
        <v/>
      </c>
      <c r="AI540" s="12" t="str">
        <f t="shared" si="108"/>
        <v>10/5</v>
      </c>
    </row>
    <row r="541" spans="1:35" s="8" customFormat="1" ht="21.95" customHeight="1">
      <c r="A541" s="9">
        <v>539</v>
      </c>
      <c r="B541" s="17">
        <v>539</v>
      </c>
      <c r="C541" s="6">
        <v>32</v>
      </c>
      <c r="D541" s="6">
        <v>0</v>
      </c>
      <c r="E541" s="5">
        <v>100</v>
      </c>
      <c r="F541" s="5">
        <v>100</v>
      </c>
      <c r="G541" s="5">
        <v>100</v>
      </c>
      <c r="H541" s="5">
        <v>0</v>
      </c>
      <c r="I541" s="5">
        <v>100</v>
      </c>
      <c r="J541" s="5">
        <v>100</v>
      </c>
      <c r="K541" s="15" t="s">
        <v>51</v>
      </c>
      <c r="L541" s="6">
        <v>3</v>
      </c>
      <c r="M541" s="6">
        <v>0</v>
      </c>
      <c r="N541" s="6">
        <v>0</v>
      </c>
      <c r="O541" s="5">
        <v>0</v>
      </c>
      <c r="P541" s="5">
        <v>0</v>
      </c>
      <c r="Q541" s="5">
        <v>0</v>
      </c>
      <c r="R541" s="5">
        <v>0</v>
      </c>
      <c r="S541" s="5">
        <v>0</v>
      </c>
      <c r="T541" s="5">
        <v>0</v>
      </c>
      <c r="U541" s="6">
        <v>0</v>
      </c>
      <c r="V541" s="5">
        <v>10</v>
      </c>
      <c r="W541" s="5">
        <v>5</v>
      </c>
      <c r="X541" s="16">
        <v>2000</v>
      </c>
      <c r="Y541" s="16">
        <v>7000</v>
      </c>
      <c r="Z541" s="16">
        <v>14000</v>
      </c>
      <c r="AA541" s="12" t="str">
        <f t="shared" si="100"/>
        <v>0/32</v>
      </c>
      <c r="AB541" s="12" t="str">
        <f t="shared" si="101"/>
        <v>100,100,100,0,100,100</v>
      </c>
      <c r="AC541" s="12">
        <f t="shared" si="102"/>
        <v>0</v>
      </c>
      <c r="AD541" s="12" t="str">
        <f t="shared" si="103"/>
        <v>2000/7000/14000</v>
      </c>
      <c r="AE541" s="12" t="str">
        <f t="shared" si="104"/>
        <v/>
      </c>
      <c r="AF541" s="12" t="str">
        <f t="shared" si="105"/>
        <v/>
      </c>
      <c r="AG541" s="12" t="str">
        <f t="shared" si="106"/>
        <v/>
      </c>
      <c r="AH541" s="12" t="str">
        <f t="shared" si="107"/>
        <v/>
      </c>
      <c r="AI541" s="12" t="str">
        <f t="shared" si="108"/>
        <v>10/5</v>
      </c>
    </row>
    <row r="542" spans="1:35" s="8" customFormat="1" ht="21.95" customHeight="1">
      <c r="A542" s="9">
        <v>540</v>
      </c>
      <c r="B542" s="17">
        <v>540</v>
      </c>
      <c r="C542" s="6">
        <v>30</v>
      </c>
      <c r="D542" s="6">
        <v>0</v>
      </c>
      <c r="E542" s="5">
        <v>100</v>
      </c>
      <c r="F542" s="5">
        <v>100</v>
      </c>
      <c r="G542" s="5">
        <v>100</v>
      </c>
      <c r="H542" s="5">
        <v>100</v>
      </c>
      <c r="I542" s="5">
        <v>0</v>
      </c>
      <c r="J542" s="5">
        <v>100</v>
      </c>
      <c r="K542" s="15" t="s">
        <v>53</v>
      </c>
      <c r="L542" s="6">
        <v>3</v>
      </c>
      <c r="M542" s="6">
        <v>0</v>
      </c>
      <c r="N542" s="6">
        <v>0</v>
      </c>
      <c r="O542" s="5">
        <v>16</v>
      </c>
      <c r="P542" s="5">
        <v>0</v>
      </c>
      <c r="Q542" s="5">
        <v>0</v>
      </c>
      <c r="R542" s="5">
        <v>0</v>
      </c>
      <c r="S542" s="5">
        <v>0</v>
      </c>
      <c r="T542" s="5">
        <v>18</v>
      </c>
      <c r="U542" s="6">
        <v>0</v>
      </c>
      <c r="V542" s="5">
        <v>10</v>
      </c>
      <c r="W542" s="5">
        <v>5</v>
      </c>
      <c r="X542" s="16">
        <v>2000</v>
      </c>
      <c r="Y542" s="16">
        <v>7000</v>
      </c>
      <c r="Z542" s="16">
        <v>14000</v>
      </c>
      <c r="AA542" s="12" t="str">
        <f t="shared" si="100"/>
        <v>0/30</v>
      </c>
      <c r="AB542" s="12" t="str">
        <f t="shared" si="101"/>
        <v>100,100,100,100,0,100</v>
      </c>
      <c r="AC542" s="12">
        <f t="shared" si="102"/>
        <v>2</v>
      </c>
      <c r="AD542" s="12" t="str">
        <f t="shared" si="103"/>
        <v>2000/7000/14000</v>
      </c>
      <c r="AE542" s="12" t="str">
        <f t="shared" si="104"/>
        <v/>
      </c>
      <c r="AF542" s="12" t="str">
        <f t="shared" si="105"/>
        <v/>
      </c>
      <c r="AG542" s="12" t="str">
        <f t="shared" si="106"/>
        <v>0/5/</v>
      </c>
      <c r="AH542" s="12" t="str">
        <f t="shared" si="107"/>
        <v>16/18/</v>
      </c>
      <c r="AI542" s="12" t="str">
        <f t="shared" si="108"/>
        <v>10/5</v>
      </c>
    </row>
    <row r="543" spans="1:35" s="8" customFormat="1" ht="21.95" customHeight="1">
      <c r="A543" s="9">
        <v>541</v>
      </c>
      <c r="B543" s="17">
        <v>541</v>
      </c>
      <c r="C543" s="6">
        <v>30</v>
      </c>
      <c r="D543" s="6">
        <v>0</v>
      </c>
      <c r="E543" s="5">
        <v>100</v>
      </c>
      <c r="F543" s="5">
        <v>100</v>
      </c>
      <c r="G543" s="5">
        <v>100</v>
      </c>
      <c r="H543" s="5">
        <v>100</v>
      </c>
      <c r="I543" s="5">
        <v>100</v>
      </c>
      <c r="J543" s="5">
        <v>0</v>
      </c>
      <c r="K543" s="15" t="s">
        <v>52</v>
      </c>
      <c r="L543" s="6">
        <v>3</v>
      </c>
      <c r="M543" s="6">
        <v>6</v>
      </c>
      <c r="N543" s="6">
        <v>0</v>
      </c>
      <c r="O543" s="5">
        <v>0</v>
      </c>
      <c r="P543" s="5">
        <v>0</v>
      </c>
      <c r="Q543" s="5">
        <v>0</v>
      </c>
      <c r="R543" s="5">
        <v>0</v>
      </c>
      <c r="S543" s="5">
        <v>0</v>
      </c>
      <c r="T543" s="5">
        <v>0</v>
      </c>
      <c r="U543" s="6">
        <v>0</v>
      </c>
      <c r="V543" s="5">
        <v>10</v>
      </c>
      <c r="W543" s="5">
        <v>5</v>
      </c>
      <c r="X543" s="16">
        <v>2000</v>
      </c>
      <c r="Y543" s="16">
        <v>7000</v>
      </c>
      <c r="Z543" s="16">
        <v>14000</v>
      </c>
      <c r="AA543" s="12" t="str">
        <f t="shared" si="100"/>
        <v>0/30</v>
      </c>
      <c r="AB543" s="12" t="str">
        <f t="shared" si="101"/>
        <v>100,100,100,100,100,0</v>
      </c>
      <c r="AC543" s="12">
        <f t="shared" si="102"/>
        <v>1</v>
      </c>
      <c r="AD543" s="12" t="str">
        <f t="shared" si="103"/>
        <v>2000/7000/14000</v>
      </c>
      <c r="AE543" s="12" t="str">
        <f t="shared" si="104"/>
        <v>0/</v>
      </c>
      <c r="AF543" s="12" t="str">
        <f t="shared" si="105"/>
        <v>6/</v>
      </c>
      <c r="AG543" s="12" t="str">
        <f t="shared" si="106"/>
        <v/>
      </c>
      <c r="AH543" s="12" t="str">
        <f t="shared" si="107"/>
        <v/>
      </c>
      <c r="AI543" s="12" t="str">
        <f t="shared" si="108"/>
        <v>10/5</v>
      </c>
    </row>
    <row r="544" spans="1:35" s="8" customFormat="1" ht="21.95" customHeight="1">
      <c r="A544" s="9">
        <v>542</v>
      </c>
      <c r="B544" s="17">
        <v>542</v>
      </c>
      <c r="C544" s="6">
        <v>30</v>
      </c>
      <c r="D544" s="6">
        <v>0</v>
      </c>
      <c r="E544" s="5">
        <v>0</v>
      </c>
      <c r="F544" s="5">
        <v>100</v>
      </c>
      <c r="G544" s="5">
        <v>100</v>
      </c>
      <c r="H544" s="5">
        <v>100</v>
      </c>
      <c r="I544" s="5">
        <v>100</v>
      </c>
      <c r="J544" s="5">
        <v>100</v>
      </c>
      <c r="K544" s="15" t="s">
        <v>52</v>
      </c>
      <c r="L544" s="6">
        <v>3</v>
      </c>
      <c r="M544" s="6">
        <v>0</v>
      </c>
      <c r="N544" s="6">
        <v>6</v>
      </c>
      <c r="O544" s="5">
        <v>0</v>
      </c>
      <c r="P544" s="5">
        <v>0</v>
      </c>
      <c r="Q544" s="5">
        <v>0</v>
      </c>
      <c r="R544" s="5">
        <v>0</v>
      </c>
      <c r="S544" s="5">
        <v>0</v>
      </c>
      <c r="T544" s="5">
        <v>0</v>
      </c>
      <c r="U544" s="6">
        <v>0</v>
      </c>
      <c r="V544" s="5">
        <v>10</v>
      </c>
      <c r="W544" s="5">
        <v>5</v>
      </c>
      <c r="X544" s="16">
        <v>2000</v>
      </c>
      <c r="Y544" s="16">
        <v>7000</v>
      </c>
      <c r="Z544" s="16">
        <v>14000</v>
      </c>
      <c r="AA544" s="12" t="str">
        <f t="shared" si="100"/>
        <v>0/30</v>
      </c>
      <c r="AB544" s="12" t="str">
        <f t="shared" si="101"/>
        <v>0,100,100,100,100,100</v>
      </c>
      <c r="AC544" s="12">
        <f t="shared" si="102"/>
        <v>1</v>
      </c>
      <c r="AD544" s="12" t="str">
        <f t="shared" si="103"/>
        <v>2000/7000/14000</v>
      </c>
      <c r="AE544" s="12" t="str">
        <f t="shared" si="104"/>
        <v>1/</v>
      </c>
      <c r="AF544" s="12" t="str">
        <f t="shared" si="105"/>
        <v>6/</v>
      </c>
      <c r="AG544" s="12" t="str">
        <f t="shared" si="106"/>
        <v/>
      </c>
      <c r="AH544" s="12" t="str">
        <f t="shared" si="107"/>
        <v/>
      </c>
      <c r="AI544" s="12" t="str">
        <f t="shared" si="108"/>
        <v>10/5</v>
      </c>
    </row>
    <row r="545" spans="1:35" s="8" customFormat="1" ht="21.95" customHeight="1">
      <c r="A545" s="9">
        <v>543</v>
      </c>
      <c r="B545" s="17">
        <v>543</v>
      </c>
      <c r="C545" s="6">
        <v>0</v>
      </c>
      <c r="D545" s="6">
        <v>60</v>
      </c>
      <c r="E545" s="5">
        <v>100</v>
      </c>
      <c r="F545" s="5">
        <v>0</v>
      </c>
      <c r="G545" s="5">
        <v>100</v>
      </c>
      <c r="H545" s="5">
        <v>100</v>
      </c>
      <c r="I545" s="5">
        <v>100</v>
      </c>
      <c r="J545" s="5">
        <v>100</v>
      </c>
      <c r="K545" s="15" t="s">
        <v>54</v>
      </c>
      <c r="L545" s="6">
        <v>3</v>
      </c>
      <c r="M545" s="6">
        <v>0</v>
      </c>
      <c r="N545" s="6">
        <v>0</v>
      </c>
      <c r="O545" s="5">
        <v>0</v>
      </c>
      <c r="P545" s="5">
        <v>0</v>
      </c>
      <c r="Q545" s="5">
        <v>0</v>
      </c>
      <c r="R545" s="5">
        <v>0</v>
      </c>
      <c r="S545" s="5">
        <v>0</v>
      </c>
      <c r="T545" s="5">
        <v>0</v>
      </c>
      <c r="U545" s="6">
        <v>0</v>
      </c>
      <c r="V545" s="5">
        <v>10</v>
      </c>
      <c r="W545" s="5">
        <v>5</v>
      </c>
      <c r="X545" s="16">
        <v>2000</v>
      </c>
      <c r="Y545" s="16">
        <v>7000</v>
      </c>
      <c r="Z545" s="16">
        <v>14000</v>
      </c>
      <c r="AA545" s="12" t="str">
        <f t="shared" si="100"/>
        <v>1/60</v>
      </c>
      <c r="AB545" s="12" t="str">
        <f t="shared" si="101"/>
        <v>100,0,100,100,100,100</v>
      </c>
      <c r="AC545" s="12">
        <f t="shared" si="102"/>
        <v>3</v>
      </c>
      <c r="AD545" s="12" t="str">
        <f t="shared" si="103"/>
        <v>2000/7000/14000</v>
      </c>
      <c r="AE545" s="12" t="str">
        <f t="shared" si="104"/>
        <v/>
      </c>
      <c r="AF545" s="12" t="str">
        <f t="shared" si="105"/>
        <v/>
      </c>
      <c r="AG545" s="12" t="str">
        <f t="shared" si="106"/>
        <v/>
      </c>
      <c r="AH545" s="12" t="str">
        <f t="shared" si="107"/>
        <v/>
      </c>
      <c r="AI545" s="12" t="str">
        <f t="shared" si="108"/>
        <v>10/5</v>
      </c>
    </row>
    <row r="546" spans="1:35" s="8" customFormat="1" ht="21.95" customHeight="1">
      <c r="A546" s="9">
        <v>544</v>
      </c>
      <c r="B546" s="17">
        <v>544</v>
      </c>
      <c r="C546" s="6">
        <v>0</v>
      </c>
      <c r="D546" s="6">
        <v>60</v>
      </c>
      <c r="E546" s="5">
        <v>100</v>
      </c>
      <c r="F546" s="5">
        <v>100</v>
      </c>
      <c r="G546" s="5">
        <v>0</v>
      </c>
      <c r="H546" s="5">
        <v>100</v>
      </c>
      <c r="I546" s="5">
        <v>100</v>
      </c>
      <c r="J546" s="5">
        <v>100</v>
      </c>
      <c r="K546" s="15" t="s">
        <v>54</v>
      </c>
      <c r="L546" s="6">
        <v>3</v>
      </c>
      <c r="M546" s="6">
        <v>0</v>
      </c>
      <c r="N546" s="6">
        <v>0</v>
      </c>
      <c r="O546" s="5">
        <v>0</v>
      </c>
      <c r="P546" s="5">
        <v>0</v>
      </c>
      <c r="Q546" s="5">
        <v>0</v>
      </c>
      <c r="R546" s="5">
        <v>0</v>
      </c>
      <c r="S546" s="5">
        <v>0</v>
      </c>
      <c r="T546" s="5">
        <v>0</v>
      </c>
      <c r="U546" s="6">
        <v>0</v>
      </c>
      <c r="V546" s="5">
        <v>10</v>
      </c>
      <c r="W546" s="5">
        <v>5</v>
      </c>
      <c r="X546" s="16">
        <v>2000</v>
      </c>
      <c r="Y546" s="16">
        <v>7000</v>
      </c>
      <c r="Z546" s="16">
        <v>14000</v>
      </c>
      <c r="AA546" s="12" t="str">
        <f t="shared" ref="AA546:AA609" si="109">IF(C546=0,CONCATENATE("1/",D546),CONCATENATE("0/",C546))</f>
        <v>1/60</v>
      </c>
      <c r="AB546" s="12" t="str">
        <f t="shared" ref="AB546:AB609" si="110">CONCATENATE(E546,",",F546,",",G546,",",H546,",",I546,",",J546)</f>
        <v>100,100,0,100,100,100</v>
      </c>
      <c r="AC546" s="12">
        <f t="shared" ref="AC546:AC609" si="111">VLOOKUP(K546,$I$1005:$J$1012,2,FALSE)</f>
        <v>3</v>
      </c>
      <c r="AD546" s="12" t="str">
        <f t="shared" ref="AD546:AD609" si="112">CONCATENATE(X546,"/",Y546,"/",Z546)</f>
        <v>2000/7000/14000</v>
      </c>
      <c r="AE546" s="12" t="str">
        <f t="shared" ref="AE546:AE609" si="113">CONCATENATE(IF(M546=0,"","0/"),IF(N546=0,"","1/"))</f>
        <v/>
      </c>
      <c r="AF546" s="12" t="str">
        <f t="shared" ref="AF546:AF609" si="114">CONCATENATE(IF(M546=0,"",CONCATENATE(M546,"/")),IF(N546=0,"",CONCATENATE(N546,"/")))</f>
        <v/>
      </c>
      <c r="AG546" s="12" t="str">
        <f t="shared" ref="AG546:AG609" si="115">CONCATENATE(IF(O546=0,"","0/"),IF(P546=0,"","1/"),IF(Q546=0,"","2/"),IF(R546=0,"","3/"),IF(S546=0,"","4/"),IF(T546=0,"","5/"))</f>
        <v/>
      </c>
      <c r="AH546" s="12" t="str">
        <f t="shared" ref="AH546:AH609" si="116">CONCATENATE(IF(O546=0,"",CONCATENATE(O546,"/")),IF(P546=0,"",CONCATENATE(P546,"/")),IF(Q546=0,"",CONCATENATE(Q546,"/")),IF(R546=0,"",CONCATENATE(R546,"/")),IF(S546=0,"",CONCATENATE(S546,"/")),IF(T546=0,"",CONCATENATE(T546,"/")))</f>
        <v/>
      </c>
      <c r="AI546" s="12" t="str">
        <f t="shared" ref="AI546:AI609" si="117">CONCATENATE(V546,"/",W546)</f>
        <v>10/5</v>
      </c>
    </row>
    <row r="547" spans="1:35" s="8" customFormat="1" ht="21.95" customHeight="1">
      <c r="A547" s="9">
        <v>545</v>
      </c>
      <c r="B547" s="17">
        <v>545</v>
      </c>
      <c r="C547" s="6">
        <v>0</v>
      </c>
      <c r="D547" s="6">
        <v>60</v>
      </c>
      <c r="E547" s="5">
        <v>100</v>
      </c>
      <c r="F547" s="5">
        <v>100</v>
      </c>
      <c r="G547" s="5">
        <v>100</v>
      </c>
      <c r="H547" s="5">
        <v>100</v>
      </c>
      <c r="I547" s="5">
        <v>0</v>
      </c>
      <c r="J547" s="5">
        <v>100</v>
      </c>
      <c r="K547" s="15" t="s">
        <v>52</v>
      </c>
      <c r="L547" s="6">
        <v>3</v>
      </c>
      <c r="M547" s="6">
        <v>2</v>
      </c>
      <c r="N547" s="6">
        <v>4</v>
      </c>
      <c r="O547" s="5">
        <v>0</v>
      </c>
      <c r="P547" s="5">
        <v>0</v>
      </c>
      <c r="Q547" s="5">
        <v>0</v>
      </c>
      <c r="R547" s="5">
        <v>0</v>
      </c>
      <c r="S547" s="5">
        <v>0</v>
      </c>
      <c r="T547" s="5">
        <v>0</v>
      </c>
      <c r="U547" s="6">
        <v>0</v>
      </c>
      <c r="V547" s="5">
        <v>10</v>
      </c>
      <c r="W547" s="5">
        <v>5</v>
      </c>
      <c r="X547" s="16">
        <v>2000</v>
      </c>
      <c r="Y547" s="16">
        <v>7000</v>
      </c>
      <c r="Z547" s="16">
        <v>14000</v>
      </c>
      <c r="AA547" s="12" t="str">
        <f t="shared" si="109"/>
        <v>1/60</v>
      </c>
      <c r="AB547" s="12" t="str">
        <f t="shared" si="110"/>
        <v>100,100,100,100,0,100</v>
      </c>
      <c r="AC547" s="12">
        <f t="shared" si="111"/>
        <v>1</v>
      </c>
      <c r="AD547" s="12" t="str">
        <f t="shared" si="112"/>
        <v>2000/7000/14000</v>
      </c>
      <c r="AE547" s="12" t="str">
        <f t="shared" si="113"/>
        <v>0/1/</v>
      </c>
      <c r="AF547" s="12" t="str">
        <f t="shared" si="114"/>
        <v>2/4/</v>
      </c>
      <c r="AG547" s="12" t="str">
        <f t="shared" si="115"/>
        <v/>
      </c>
      <c r="AH547" s="12" t="str">
        <f t="shared" si="116"/>
        <v/>
      </c>
      <c r="AI547" s="12" t="str">
        <f t="shared" si="117"/>
        <v>10/5</v>
      </c>
    </row>
    <row r="548" spans="1:35" s="8" customFormat="1" ht="21.95" customHeight="1">
      <c r="A548" s="9">
        <v>546</v>
      </c>
      <c r="B548" s="17">
        <v>546</v>
      </c>
      <c r="C548" s="6">
        <v>30</v>
      </c>
      <c r="D548" s="6">
        <v>0</v>
      </c>
      <c r="E548" s="5">
        <v>100</v>
      </c>
      <c r="F548" s="5">
        <v>100</v>
      </c>
      <c r="G548" s="5">
        <v>100</v>
      </c>
      <c r="H548" s="5">
        <v>100</v>
      </c>
      <c r="I548" s="5">
        <v>100</v>
      </c>
      <c r="J548" s="5">
        <v>0</v>
      </c>
      <c r="K548" s="15" t="s">
        <v>54</v>
      </c>
      <c r="L548" s="6">
        <v>3</v>
      </c>
      <c r="M548" s="6">
        <v>0</v>
      </c>
      <c r="N548" s="6">
        <v>0</v>
      </c>
      <c r="O548" s="5">
        <v>0</v>
      </c>
      <c r="P548" s="5">
        <v>0</v>
      </c>
      <c r="Q548" s="5">
        <v>0</v>
      </c>
      <c r="R548" s="5">
        <v>0</v>
      </c>
      <c r="S548" s="5">
        <v>0</v>
      </c>
      <c r="T548" s="5">
        <v>0</v>
      </c>
      <c r="U548" s="6">
        <v>0</v>
      </c>
      <c r="V548" s="5">
        <v>10</v>
      </c>
      <c r="W548" s="5">
        <v>5</v>
      </c>
      <c r="X548" s="16">
        <v>2000</v>
      </c>
      <c r="Y548" s="16">
        <v>7000</v>
      </c>
      <c r="Z548" s="16">
        <v>14000</v>
      </c>
      <c r="AA548" s="12" t="str">
        <f t="shared" si="109"/>
        <v>0/30</v>
      </c>
      <c r="AB548" s="12" t="str">
        <f t="shared" si="110"/>
        <v>100,100,100,100,100,0</v>
      </c>
      <c r="AC548" s="12">
        <f t="shared" si="111"/>
        <v>3</v>
      </c>
      <c r="AD548" s="12" t="str">
        <f t="shared" si="112"/>
        <v>2000/7000/14000</v>
      </c>
      <c r="AE548" s="12" t="str">
        <f t="shared" si="113"/>
        <v/>
      </c>
      <c r="AF548" s="12" t="str">
        <f t="shared" si="114"/>
        <v/>
      </c>
      <c r="AG548" s="12" t="str">
        <f t="shared" si="115"/>
        <v/>
      </c>
      <c r="AH548" s="12" t="str">
        <f t="shared" si="116"/>
        <v/>
      </c>
      <c r="AI548" s="12" t="str">
        <f t="shared" si="117"/>
        <v>10/5</v>
      </c>
    </row>
    <row r="549" spans="1:35" s="8" customFormat="1" ht="21.95" customHeight="1">
      <c r="A549" s="9">
        <v>547</v>
      </c>
      <c r="B549" s="17">
        <v>547</v>
      </c>
      <c r="C549" s="6">
        <v>30</v>
      </c>
      <c r="D549" s="6">
        <v>0</v>
      </c>
      <c r="E549" s="5">
        <v>0</v>
      </c>
      <c r="F549" s="5">
        <v>100</v>
      </c>
      <c r="G549" s="5">
        <v>100</v>
      </c>
      <c r="H549" s="5">
        <v>100</v>
      </c>
      <c r="I549" s="5">
        <v>100</v>
      </c>
      <c r="J549" s="5">
        <v>100</v>
      </c>
      <c r="K549" s="15" t="s">
        <v>54</v>
      </c>
      <c r="L549" s="6">
        <v>3</v>
      </c>
      <c r="M549" s="6">
        <v>0</v>
      </c>
      <c r="N549" s="6">
        <v>0</v>
      </c>
      <c r="O549" s="5">
        <v>0</v>
      </c>
      <c r="P549" s="5">
        <v>0</v>
      </c>
      <c r="Q549" s="5">
        <v>0</v>
      </c>
      <c r="R549" s="5">
        <v>0</v>
      </c>
      <c r="S549" s="5">
        <v>0</v>
      </c>
      <c r="T549" s="5">
        <v>0</v>
      </c>
      <c r="U549" s="6">
        <v>0</v>
      </c>
      <c r="V549" s="5">
        <v>10</v>
      </c>
      <c r="W549" s="5">
        <v>5</v>
      </c>
      <c r="X549" s="16">
        <v>2000</v>
      </c>
      <c r="Y549" s="16">
        <v>7000</v>
      </c>
      <c r="Z549" s="16">
        <v>14000</v>
      </c>
      <c r="AA549" s="12" t="str">
        <f t="shared" si="109"/>
        <v>0/30</v>
      </c>
      <c r="AB549" s="12" t="str">
        <f t="shared" si="110"/>
        <v>0,100,100,100,100,100</v>
      </c>
      <c r="AC549" s="12">
        <f t="shared" si="111"/>
        <v>3</v>
      </c>
      <c r="AD549" s="12" t="str">
        <f t="shared" si="112"/>
        <v>2000/7000/14000</v>
      </c>
      <c r="AE549" s="12" t="str">
        <f t="shared" si="113"/>
        <v/>
      </c>
      <c r="AF549" s="12" t="str">
        <f t="shared" si="114"/>
        <v/>
      </c>
      <c r="AG549" s="12" t="str">
        <f t="shared" si="115"/>
        <v/>
      </c>
      <c r="AH549" s="12" t="str">
        <f t="shared" si="116"/>
        <v/>
      </c>
      <c r="AI549" s="12" t="str">
        <f t="shared" si="117"/>
        <v>10/5</v>
      </c>
    </row>
    <row r="550" spans="1:35" s="8" customFormat="1" ht="21.95" customHeight="1">
      <c r="A550" s="9">
        <v>548</v>
      </c>
      <c r="B550" s="17">
        <v>548</v>
      </c>
      <c r="C550" s="6">
        <v>30</v>
      </c>
      <c r="D550" s="6">
        <v>0</v>
      </c>
      <c r="E550" s="5">
        <v>100</v>
      </c>
      <c r="F550" s="5">
        <v>0</v>
      </c>
      <c r="G550" s="5">
        <v>100</v>
      </c>
      <c r="H550" s="5">
        <v>100</v>
      </c>
      <c r="I550" s="5">
        <v>100</v>
      </c>
      <c r="J550" s="5">
        <v>100</v>
      </c>
      <c r="K550" s="15" t="s">
        <v>55</v>
      </c>
      <c r="L550" s="6">
        <v>3</v>
      </c>
      <c r="M550" s="6">
        <v>0</v>
      </c>
      <c r="N550" s="6">
        <v>0</v>
      </c>
      <c r="O550" s="5">
        <v>0</v>
      </c>
      <c r="P550" s="5">
        <v>0</v>
      </c>
      <c r="Q550" s="5">
        <v>0</v>
      </c>
      <c r="R550" s="5">
        <v>0</v>
      </c>
      <c r="S550" s="5">
        <v>0</v>
      </c>
      <c r="T550" s="5">
        <v>0</v>
      </c>
      <c r="U550" s="6">
        <v>5</v>
      </c>
      <c r="V550" s="5">
        <v>10</v>
      </c>
      <c r="W550" s="5">
        <v>5</v>
      </c>
      <c r="X550" s="16">
        <v>2000</v>
      </c>
      <c r="Y550" s="16">
        <v>7000</v>
      </c>
      <c r="Z550" s="16">
        <v>14000</v>
      </c>
      <c r="AA550" s="12" t="str">
        <f t="shared" si="109"/>
        <v>0/30</v>
      </c>
      <c r="AB550" s="12" t="str">
        <f t="shared" si="110"/>
        <v>100,0,100,100,100,100</v>
      </c>
      <c r="AC550" s="12">
        <f t="shared" si="111"/>
        <v>4</v>
      </c>
      <c r="AD550" s="12" t="str">
        <f t="shared" si="112"/>
        <v>2000/7000/14000</v>
      </c>
      <c r="AE550" s="12" t="str">
        <f t="shared" si="113"/>
        <v/>
      </c>
      <c r="AF550" s="12" t="str">
        <f t="shared" si="114"/>
        <v/>
      </c>
      <c r="AG550" s="12" t="str">
        <f t="shared" si="115"/>
        <v/>
      </c>
      <c r="AH550" s="12" t="str">
        <f t="shared" si="116"/>
        <v/>
      </c>
      <c r="AI550" s="12" t="str">
        <f t="shared" si="117"/>
        <v>10/5</v>
      </c>
    </row>
    <row r="551" spans="1:35" s="8" customFormat="1" ht="21.95" customHeight="1">
      <c r="A551" s="9">
        <v>549</v>
      </c>
      <c r="B551" s="17">
        <v>549</v>
      </c>
      <c r="C551" s="6">
        <v>30</v>
      </c>
      <c r="D551" s="6">
        <v>0</v>
      </c>
      <c r="E551" s="5">
        <v>100</v>
      </c>
      <c r="F551" s="5">
        <v>100</v>
      </c>
      <c r="G551" s="5">
        <v>0</v>
      </c>
      <c r="H551" s="5">
        <v>100</v>
      </c>
      <c r="I551" s="5">
        <v>100</v>
      </c>
      <c r="J551" s="5">
        <v>100</v>
      </c>
      <c r="K551" s="15" t="s">
        <v>55</v>
      </c>
      <c r="L551" s="6">
        <v>3</v>
      </c>
      <c r="M551" s="6">
        <v>0</v>
      </c>
      <c r="N551" s="6">
        <v>0</v>
      </c>
      <c r="O551" s="5">
        <v>0</v>
      </c>
      <c r="P551" s="5">
        <v>0</v>
      </c>
      <c r="Q551" s="5">
        <v>0</v>
      </c>
      <c r="R551" s="5">
        <v>0</v>
      </c>
      <c r="S551" s="5">
        <v>0</v>
      </c>
      <c r="T551" s="5">
        <v>0</v>
      </c>
      <c r="U551" s="6">
        <v>5</v>
      </c>
      <c r="V551" s="5">
        <v>10</v>
      </c>
      <c r="W551" s="5">
        <v>5</v>
      </c>
      <c r="X551" s="16">
        <v>2000</v>
      </c>
      <c r="Y551" s="16">
        <v>7000</v>
      </c>
      <c r="Z551" s="16">
        <v>14000</v>
      </c>
      <c r="AA551" s="12" t="str">
        <f t="shared" si="109"/>
        <v>0/30</v>
      </c>
      <c r="AB551" s="12" t="str">
        <f t="shared" si="110"/>
        <v>100,100,0,100,100,100</v>
      </c>
      <c r="AC551" s="12">
        <f t="shared" si="111"/>
        <v>4</v>
      </c>
      <c r="AD551" s="12" t="str">
        <f t="shared" si="112"/>
        <v>2000/7000/14000</v>
      </c>
      <c r="AE551" s="12" t="str">
        <f t="shared" si="113"/>
        <v/>
      </c>
      <c r="AF551" s="12" t="str">
        <f t="shared" si="114"/>
        <v/>
      </c>
      <c r="AG551" s="12" t="str">
        <f t="shared" si="115"/>
        <v/>
      </c>
      <c r="AH551" s="12" t="str">
        <f t="shared" si="116"/>
        <v/>
      </c>
      <c r="AI551" s="12" t="str">
        <f t="shared" si="117"/>
        <v>10/5</v>
      </c>
    </row>
    <row r="552" spans="1:35" s="8" customFormat="1" ht="21.95" customHeight="1">
      <c r="A552" s="9">
        <v>550</v>
      </c>
      <c r="B552" s="17">
        <v>550</v>
      </c>
      <c r="C552" s="6">
        <v>32</v>
      </c>
      <c r="D552" s="6">
        <v>0</v>
      </c>
      <c r="E552" s="5">
        <v>100</v>
      </c>
      <c r="F552" s="5">
        <v>100</v>
      </c>
      <c r="G552" s="5">
        <v>100</v>
      </c>
      <c r="H552" s="5">
        <v>0</v>
      </c>
      <c r="I552" s="5">
        <v>100</v>
      </c>
      <c r="J552" s="5">
        <v>100</v>
      </c>
      <c r="K552" s="15" t="s">
        <v>51</v>
      </c>
      <c r="L552" s="6">
        <v>3</v>
      </c>
      <c r="M552" s="6">
        <v>0</v>
      </c>
      <c r="N552" s="6">
        <v>0</v>
      </c>
      <c r="O552" s="5">
        <v>0</v>
      </c>
      <c r="P552" s="5">
        <v>0</v>
      </c>
      <c r="Q552" s="5">
        <v>0</v>
      </c>
      <c r="R552" s="5">
        <v>0</v>
      </c>
      <c r="S552" s="5">
        <v>0</v>
      </c>
      <c r="T552" s="5">
        <v>0</v>
      </c>
      <c r="U552" s="6">
        <v>0</v>
      </c>
      <c r="V552" s="5">
        <v>10</v>
      </c>
      <c r="W552" s="5">
        <v>5</v>
      </c>
      <c r="X552" s="16">
        <v>2000</v>
      </c>
      <c r="Y552" s="16">
        <v>7000</v>
      </c>
      <c r="Z552" s="16">
        <v>14000</v>
      </c>
      <c r="AA552" s="12" t="str">
        <f t="shared" si="109"/>
        <v>0/32</v>
      </c>
      <c r="AB552" s="12" t="str">
        <f t="shared" si="110"/>
        <v>100,100,100,0,100,100</v>
      </c>
      <c r="AC552" s="12">
        <f t="shared" si="111"/>
        <v>0</v>
      </c>
      <c r="AD552" s="12" t="str">
        <f t="shared" si="112"/>
        <v>2000/7000/14000</v>
      </c>
      <c r="AE552" s="12" t="str">
        <f t="shared" si="113"/>
        <v/>
      </c>
      <c r="AF552" s="12" t="str">
        <f t="shared" si="114"/>
        <v/>
      </c>
      <c r="AG552" s="12" t="str">
        <f t="shared" si="115"/>
        <v/>
      </c>
      <c r="AH552" s="12" t="str">
        <f t="shared" si="116"/>
        <v/>
      </c>
      <c r="AI552" s="12" t="str">
        <f t="shared" si="117"/>
        <v>10/5</v>
      </c>
    </row>
    <row r="553" spans="1:35" s="8" customFormat="1" ht="21.95" customHeight="1">
      <c r="A553" s="9">
        <v>551</v>
      </c>
      <c r="B553" s="17">
        <v>551</v>
      </c>
      <c r="C553" s="6">
        <v>30</v>
      </c>
      <c r="D553" s="6">
        <v>0</v>
      </c>
      <c r="E553" s="5">
        <v>100</v>
      </c>
      <c r="F553" s="5">
        <v>100</v>
      </c>
      <c r="G553" s="5">
        <v>0</v>
      </c>
      <c r="H553" s="5">
        <v>100</v>
      </c>
      <c r="I553" s="5">
        <v>100</v>
      </c>
      <c r="J553" s="5">
        <v>100</v>
      </c>
      <c r="K553" s="15" t="s">
        <v>56</v>
      </c>
      <c r="L553" s="6">
        <v>3</v>
      </c>
      <c r="M553" s="6">
        <v>0</v>
      </c>
      <c r="N553" s="6">
        <v>0</v>
      </c>
      <c r="O553" s="5">
        <v>0</v>
      </c>
      <c r="P553" s="5">
        <v>0</v>
      </c>
      <c r="Q553" s="5">
        <v>0</v>
      </c>
      <c r="R553" s="5">
        <v>0</v>
      </c>
      <c r="S553" s="5">
        <v>0</v>
      </c>
      <c r="T553" s="5">
        <v>0</v>
      </c>
      <c r="U553" s="6">
        <v>0</v>
      </c>
      <c r="V553" s="5">
        <v>10</v>
      </c>
      <c r="W553" s="5">
        <v>5</v>
      </c>
      <c r="X553" s="16">
        <v>2000</v>
      </c>
      <c r="Y553" s="16">
        <v>7000</v>
      </c>
      <c r="Z553" s="16">
        <v>14000</v>
      </c>
      <c r="AA553" s="12" t="str">
        <f t="shared" si="109"/>
        <v>0/30</v>
      </c>
      <c r="AB553" s="12" t="str">
        <f t="shared" si="110"/>
        <v>100,100,0,100,100,100</v>
      </c>
      <c r="AC553" s="12">
        <f t="shared" si="111"/>
        <v>5</v>
      </c>
      <c r="AD553" s="12" t="str">
        <f t="shared" si="112"/>
        <v>2000/7000/14000</v>
      </c>
      <c r="AE553" s="12" t="str">
        <f t="shared" si="113"/>
        <v/>
      </c>
      <c r="AF553" s="12" t="str">
        <f t="shared" si="114"/>
        <v/>
      </c>
      <c r="AG553" s="12" t="str">
        <f t="shared" si="115"/>
        <v/>
      </c>
      <c r="AH553" s="12" t="str">
        <f t="shared" si="116"/>
        <v/>
      </c>
      <c r="AI553" s="12" t="str">
        <f t="shared" si="117"/>
        <v>10/5</v>
      </c>
    </row>
    <row r="554" spans="1:35" s="8" customFormat="1" ht="21.95" customHeight="1">
      <c r="A554" s="9">
        <v>552</v>
      </c>
      <c r="B554" s="17">
        <v>552</v>
      </c>
      <c r="C554" s="6">
        <v>30</v>
      </c>
      <c r="D554" s="6">
        <v>0</v>
      </c>
      <c r="E554" s="5">
        <v>100</v>
      </c>
      <c r="F554" s="5">
        <v>100</v>
      </c>
      <c r="G554" s="5">
        <v>100</v>
      </c>
      <c r="H554" s="5">
        <v>0</v>
      </c>
      <c r="I554" s="5">
        <v>100</v>
      </c>
      <c r="J554" s="5">
        <v>100</v>
      </c>
      <c r="K554" s="15" t="s">
        <v>53</v>
      </c>
      <c r="L554" s="6">
        <v>3</v>
      </c>
      <c r="M554" s="6">
        <v>0</v>
      </c>
      <c r="N554" s="6">
        <v>0</v>
      </c>
      <c r="O554" s="5">
        <v>0</v>
      </c>
      <c r="P554" s="5">
        <v>0</v>
      </c>
      <c r="Q554" s="5">
        <v>0</v>
      </c>
      <c r="R554" s="5">
        <v>0</v>
      </c>
      <c r="S554" s="5">
        <v>18</v>
      </c>
      <c r="T554" s="5">
        <v>16</v>
      </c>
      <c r="U554" s="6">
        <v>0</v>
      </c>
      <c r="V554" s="5">
        <v>10</v>
      </c>
      <c r="W554" s="5">
        <v>5</v>
      </c>
      <c r="X554" s="16">
        <v>2000</v>
      </c>
      <c r="Y554" s="16">
        <v>7000</v>
      </c>
      <c r="Z554" s="16">
        <v>14000</v>
      </c>
      <c r="AA554" s="12" t="str">
        <f t="shared" si="109"/>
        <v>0/30</v>
      </c>
      <c r="AB554" s="12" t="str">
        <f t="shared" si="110"/>
        <v>100,100,100,0,100,100</v>
      </c>
      <c r="AC554" s="12">
        <f t="shared" si="111"/>
        <v>2</v>
      </c>
      <c r="AD554" s="12" t="str">
        <f t="shared" si="112"/>
        <v>2000/7000/14000</v>
      </c>
      <c r="AE554" s="12" t="str">
        <f t="shared" si="113"/>
        <v/>
      </c>
      <c r="AF554" s="12" t="str">
        <f t="shared" si="114"/>
        <v/>
      </c>
      <c r="AG554" s="12" t="str">
        <f t="shared" si="115"/>
        <v>4/5/</v>
      </c>
      <c r="AH554" s="12" t="str">
        <f t="shared" si="116"/>
        <v>18/16/</v>
      </c>
      <c r="AI554" s="12" t="str">
        <f t="shared" si="117"/>
        <v>10/5</v>
      </c>
    </row>
    <row r="555" spans="1:35" s="8" customFormat="1" ht="21.95" customHeight="1">
      <c r="A555" s="9">
        <v>553</v>
      </c>
      <c r="B555" s="17">
        <v>553</v>
      </c>
      <c r="C555" s="6">
        <v>30</v>
      </c>
      <c r="D555" s="6">
        <v>0</v>
      </c>
      <c r="E555" s="5">
        <v>100</v>
      </c>
      <c r="F555" s="5">
        <v>100</v>
      </c>
      <c r="G555" s="5">
        <v>100</v>
      </c>
      <c r="H555" s="5">
        <v>100</v>
      </c>
      <c r="I555" s="5">
        <v>0</v>
      </c>
      <c r="J555" s="5">
        <v>100</v>
      </c>
      <c r="K555" s="15" t="s">
        <v>53</v>
      </c>
      <c r="L555" s="6">
        <v>3</v>
      </c>
      <c r="M555" s="6">
        <v>0</v>
      </c>
      <c r="N555" s="6">
        <v>0</v>
      </c>
      <c r="O555" s="5">
        <v>16</v>
      </c>
      <c r="P555" s="5">
        <v>0</v>
      </c>
      <c r="Q555" s="5">
        <v>0</v>
      </c>
      <c r="R555" s="5">
        <v>0</v>
      </c>
      <c r="S555" s="5">
        <v>0</v>
      </c>
      <c r="T555" s="5">
        <v>18</v>
      </c>
      <c r="U555" s="6">
        <v>0</v>
      </c>
      <c r="V555" s="5">
        <v>10</v>
      </c>
      <c r="W555" s="5">
        <v>5</v>
      </c>
      <c r="X555" s="16">
        <v>2000</v>
      </c>
      <c r="Y555" s="16">
        <v>7000</v>
      </c>
      <c r="Z555" s="16">
        <v>14000</v>
      </c>
      <c r="AA555" s="12" t="str">
        <f t="shared" si="109"/>
        <v>0/30</v>
      </c>
      <c r="AB555" s="12" t="str">
        <f t="shared" si="110"/>
        <v>100,100,100,100,0,100</v>
      </c>
      <c r="AC555" s="12">
        <f t="shared" si="111"/>
        <v>2</v>
      </c>
      <c r="AD555" s="12" t="str">
        <f t="shared" si="112"/>
        <v>2000/7000/14000</v>
      </c>
      <c r="AE555" s="12" t="str">
        <f t="shared" si="113"/>
        <v/>
      </c>
      <c r="AF555" s="12" t="str">
        <f t="shared" si="114"/>
        <v/>
      </c>
      <c r="AG555" s="12" t="str">
        <f t="shared" si="115"/>
        <v>0/5/</v>
      </c>
      <c r="AH555" s="12" t="str">
        <f t="shared" si="116"/>
        <v>16/18/</v>
      </c>
      <c r="AI555" s="12" t="str">
        <f t="shared" si="117"/>
        <v>10/5</v>
      </c>
    </row>
    <row r="556" spans="1:35" s="8" customFormat="1" ht="21.95" customHeight="1">
      <c r="A556" s="9">
        <v>554</v>
      </c>
      <c r="B556" s="17">
        <v>554</v>
      </c>
      <c r="C556" s="6">
        <v>30</v>
      </c>
      <c r="D556" s="6">
        <v>0</v>
      </c>
      <c r="E556" s="5">
        <v>100</v>
      </c>
      <c r="F556" s="5">
        <v>100</v>
      </c>
      <c r="G556" s="5">
        <v>100</v>
      </c>
      <c r="H556" s="5">
        <v>100</v>
      </c>
      <c r="I556" s="5">
        <v>100</v>
      </c>
      <c r="J556" s="5">
        <v>0</v>
      </c>
      <c r="K556" s="15" t="s">
        <v>52</v>
      </c>
      <c r="L556" s="6">
        <v>3</v>
      </c>
      <c r="M556" s="6">
        <v>6</v>
      </c>
      <c r="N556" s="6">
        <v>0</v>
      </c>
      <c r="O556" s="5">
        <v>0</v>
      </c>
      <c r="P556" s="5">
        <v>0</v>
      </c>
      <c r="Q556" s="5">
        <v>0</v>
      </c>
      <c r="R556" s="5">
        <v>0</v>
      </c>
      <c r="S556" s="5">
        <v>0</v>
      </c>
      <c r="T556" s="5">
        <v>0</v>
      </c>
      <c r="U556" s="6">
        <v>0</v>
      </c>
      <c r="V556" s="5">
        <v>10</v>
      </c>
      <c r="W556" s="5">
        <v>5</v>
      </c>
      <c r="X556" s="16">
        <v>2000</v>
      </c>
      <c r="Y556" s="16">
        <v>7000</v>
      </c>
      <c r="Z556" s="16">
        <v>14000</v>
      </c>
      <c r="AA556" s="12" t="str">
        <f t="shared" si="109"/>
        <v>0/30</v>
      </c>
      <c r="AB556" s="12" t="str">
        <f t="shared" si="110"/>
        <v>100,100,100,100,100,0</v>
      </c>
      <c r="AC556" s="12">
        <f t="shared" si="111"/>
        <v>1</v>
      </c>
      <c r="AD556" s="12" t="str">
        <f t="shared" si="112"/>
        <v>2000/7000/14000</v>
      </c>
      <c r="AE556" s="12" t="str">
        <f t="shared" si="113"/>
        <v>0/</v>
      </c>
      <c r="AF556" s="12" t="str">
        <f t="shared" si="114"/>
        <v>6/</v>
      </c>
      <c r="AG556" s="12" t="str">
        <f t="shared" si="115"/>
        <v/>
      </c>
      <c r="AH556" s="12" t="str">
        <f t="shared" si="116"/>
        <v/>
      </c>
      <c r="AI556" s="12" t="str">
        <f t="shared" si="117"/>
        <v>10/5</v>
      </c>
    </row>
    <row r="557" spans="1:35" s="8" customFormat="1" ht="21.95" customHeight="1">
      <c r="A557" s="9">
        <v>555</v>
      </c>
      <c r="B557" s="17">
        <v>555</v>
      </c>
      <c r="C557" s="6">
        <v>30</v>
      </c>
      <c r="D557" s="6">
        <v>0</v>
      </c>
      <c r="E557" s="5">
        <v>0</v>
      </c>
      <c r="F557" s="5">
        <v>100</v>
      </c>
      <c r="G557" s="5">
        <v>100</v>
      </c>
      <c r="H557" s="5">
        <v>100</v>
      </c>
      <c r="I557" s="5">
        <v>100</v>
      </c>
      <c r="J557" s="5">
        <v>100</v>
      </c>
      <c r="K557" s="15" t="s">
        <v>52</v>
      </c>
      <c r="L557" s="6">
        <v>3</v>
      </c>
      <c r="M557" s="6">
        <v>0</v>
      </c>
      <c r="N557" s="6">
        <v>6</v>
      </c>
      <c r="O557" s="5">
        <v>0</v>
      </c>
      <c r="P557" s="5">
        <v>0</v>
      </c>
      <c r="Q557" s="5">
        <v>0</v>
      </c>
      <c r="R557" s="5">
        <v>0</v>
      </c>
      <c r="S557" s="5">
        <v>0</v>
      </c>
      <c r="T557" s="5">
        <v>0</v>
      </c>
      <c r="U557" s="6">
        <v>0</v>
      </c>
      <c r="V557" s="5">
        <v>10</v>
      </c>
      <c r="W557" s="5">
        <v>5</v>
      </c>
      <c r="X557" s="16">
        <v>2000</v>
      </c>
      <c r="Y557" s="16">
        <v>7000</v>
      </c>
      <c r="Z557" s="16">
        <v>14000</v>
      </c>
      <c r="AA557" s="12" t="str">
        <f t="shared" si="109"/>
        <v>0/30</v>
      </c>
      <c r="AB557" s="12" t="str">
        <f t="shared" si="110"/>
        <v>0,100,100,100,100,100</v>
      </c>
      <c r="AC557" s="12">
        <f t="shared" si="111"/>
        <v>1</v>
      </c>
      <c r="AD557" s="12" t="str">
        <f t="shared" si="112"/>
        <v>2000/7000/14000</v>
      </c>
      <c r="AE557" s="12" t="str">
        <f t="shared" si="113"/>
        <v>1/</v>
      </c>
      <c r="AF557" s="12" t="str">
        <f t="shared" si="114"/>
        <v>6/</v>
      </c>
      <c r="AG557" s="12" t="str">
        <f t="shared" si="115"/>
        <v/>
      </c>
      <c r="AH557" s="12" t="str">
        <f t="shared" si="116"/>
        <v/>
      </c>
      <c r="AI557" s="12" t="str">
        <f t="shared" si="117"/>
        <v>10/5</v>
      </c>
    </row>
    <row r="558" spans="1:35" s="8" customFormat="1" ht="21.95" customHeight="1">
      <c r="A558" s="9">
        <v>556</v>
      </c>
      <c r="B558" s="17">
        <v>556</v>
      </c>
      <c r="C558" s="6">
        <v>0</v>
      </c>
      <c r="D558" s="6">
        <v>60</v>
      </c>
      <c r="E558" s="5">
        <v>100</v>
      </c>
      <c r="F558" s="5">
        <v>0</v>
      </c>
      <c r="G558" s="5">
        <v>100</v>
      </c>
      <c r="H558" s="5">
        <v>100</v>
      </c>
      <c r="I558" s="5">
        <v>100</v>
      </c>
      <c r="J558" s="5">
        <v>100</v>
      </c>
      <c r="K558" s="15" t="s">
        <v>54</v>
      </c>
      <c r="L558" s="6">
        <v>3</v>
      </c>
      <c r="M558" s="6">
        <v>0</v>
      </c>
      <c r="N558" s="6">
        <v>0</v>
      </c>
      <c r="O558" s="5">
        <v>0</v>
      </c>
      <c r="P558" s="5">
        <v>0</v>
      </c>
      <c r="Q558" s="5">
        <v>0</v>
      </c>
      <c r="R558" s="5">
        <v>0</v>
      </c>
      <c r="S558" s="5">
        <v>0</v>
      </c>
      <c r="T558" s="5">
        <v>0</v>
      </c>
      <c r="U558" s="6">
        <v>0</v>
      </c>
      <c r="V558" s="5">
        <v>10</v>
      </c>
      <c r="W558" s="5">
        <v>5</v>
      </c>
      <c r="X558" s="16">
        <v>2000</v>
      </c>
      <c r="Y558" s="16">
        <v>7000</v>
      </c>
      <c r="Z558" s="16">
        <v>14000</v>
      </c>
      <c r="AA558" s="12" t="str">
        <f t="shared" si="109"/>
        <v>1/60</v>
      </c>
      <c r="AB558" s="12" t="str">
        <f t="shared" si="110"/>
        <v>100,0,100,100,100,100</v>
      </c>
      <c r="AC558" s="12">
        <f t="shared" si="111"/>
        <v>3</v>
      </c>
      <c r="AD558" s="12" t="str">
        <f t="shared" si="112"/>
        <v>2000/7000/14000</v>
      </c>
      <c r="AE558" s="12" t="str">
        <f t="shared" si="113"/>
        <v/>
      </c>
      <c r="AF558" s="12" t="str">
        <f t="shared" si="114"/>
        <v/>
      </c>
      <c r="AG558" s="12" t="str">
        <f t="shared" si="115"/>
        <v/>
      </c>
      <c r="AH558" s="12" t="str">
        <f t="shared" si="116"/>
        <v/>
      </c>
      <c r="AI558" s="12" t="str">
        <f t="shared" si="117"/>
        <v>10/5</v>
      </c>
    </row>
    <row r="559" spans="1:35" s="8" customFormat="1" ht="21.95" customHeight="1">
      <c r="A559" s="9">
        <v>557</v>
      </c>
      <c r="B559" s="17">
        <v>557</v>
      </c>
      <c r="C559" s="6">
        <v>0</v>
      </c>
      <c r="D559" s="6">
        <v>60</v>
      </c>
      <c r="E559" s="5">
        <v>100</v>
      </c>
      <c r="F559" s="5">
        <v>100</v>
      </c>
      <c r="G559" s="5">
        <v>0</v>
      </c>
      <c r="H559" s="5">
        <v>100</v>
      </c>
      <c r="I559" s="5">
        <v>100</v>
      </c>
      <c r="J559" s="5">
        <v>100</v>
      </c>
      <c r="K559" s="15" t="s">
        <v>56</v>
      </c>
      <c r="L559" s="6">
        <v>3</v>
      </c>
      <c r="M559" s="6">
        <v>0</v>
      </c>
      <c r="N559" s="6">
        <v>0</v>
      </c>
      <c r="O559" s="5">
        <v>0</v>
      </c>
      <c r="P559" s="5">
        <v>0</v>
      </c>
      <c r="Q559" s="5">
        <v>0</v>
      </c>
      <c r="R559" s="5">
        <v>0</v>
      </c>
      <c r="S559" s="5">
        <v>0</v>
      </c>
      <c r="T559" s="5">
        <v>0</v>
      </c>
      <c r="U559" s="6">
        <v>0</v>
      </c>
      <c r="V559" s="5">
        <v>10</v>
      </c>
      <c r="W559" s="5">
        <v>5</v>
      </c>
      <c r="X559" s="16">
        <v>2000</v>
      </c>
      <c r="Y559" s="16">
        <v>7000</v>
      </c>
      <c r="Z559" s="16">
        <v>14000</v>
      </c>
      <c r="AA559" s="12" t="str">
        <f t="shared" si="109"/>
        <v>1/60</v>
      </c>
      <c r="AB559" s="12" t="str">
        <f t="shared" si="110"/>
        <v>100,100,0,100,100,100</v>
      </c>
      <c r="AC559" s="12">
        <f t="shared" si="111"/>
        <v>5</v>
      </c>
      <c r="AD559" s="12" t="str">
        <f t="shared" si="112"/>
        <v>2000/7000/14000</v>
      </c>
      <c r="AE559" s="12" t="str">
        <f t="shared" si="113"/>
        <v/>
      </c>
      <c r="AF559" s="12" t="str">
        <f t="shared" si="114"/>
        <v/>
      </c>
      <c r="AG559" s="12" t="str">
        <f t="shared" si="115"/>
        <v/>
      </c>
      <c r="AH559" s="12" t="str">
        <f t="shared" si="116"/>
        <v/>
      </c>
      <c r="AI559" s="12" t="str">
        <f t="shared" si="117"/>
        <v>10/5</v>
      </c>
    </row>
    <row r="560" spans="1:35" s="8" customFormat="1" ht="21.95" customHeight="1">
      <c r="A560" s="9">
        <v>558</v>
      </c>
      <c r="B560" s="17">
        <v>558</v>
      </c>
      <c r="C560" s="6">
        <v>0</v>
      </c>
      <c r="D560" s="6">
        <v>60</v>
      </c>
      <c r="E560" s="5">
        <v>100</v>
      </c>
      <c r="F560" s="5">
        <v>100</v>
      </c>
      <c r="G560" s="5">
        <v>100</v>
      </c>
      <c r="H560" s="5">
        <v>0</v>
      </c>
      <c r="I560" s="5">
        <v>100</v>
      </c>
      <c r="J560" s="5">
        <v>100</v>
      </c>
      <c r="K560" s="15" t="s">
        <v>53</v>
      </c>
      <c r="L560" s="6">
        <v>3</v>
      </c>
      <c r="M560" s="6">
        <v>0</v>
      </c>
      <c r="N560" s="6">
        <v>0</v>
      </c>
      <c r="O560" s="5">
        <v>0</v>
      </c>
      <c r="P560" s="5">
        <v>0</v>
      </c>
      <c r="Q560" s="5">
        <v>0</v>
      </c>
      <c r="R560" s="5">
        <v>0</v>
      </c>
      <c r="S560" s="5">
        <v>18</v>
      </c>
      <c r="T560" s="5">
        <v>16</v>
      </c>
      <c r="U560" s="6">
        <v>0</v>
      </c>
      <c r="V560" s="5">
        <v>10</v>
      </c>
      <c r="W560" s="5">
        <v>5</v>
      </c>
      <c r="X560" s="16">
        <v>2000</v>
      </c>
      <c r="Y560" s="16">
        <v>7000</v>
      </c>
      <c r="Z560" s="16">
        <v>14000</v>
      </c>
      <c r="AA560" s="12" t="str">
        <f t="shared" si="109"/>
        <v>1/60</v>
      </c>
      <c r="AB560" s="12" t="str">
        <f t="shared" si="110"/>
        <v>100,100,100,0,100,100</v>
      </c>
      <c r="AC560" s="12">
        <f t="shared" si="111"/>
        <v>2</v>
      </c>
      <c r="AD560" s="12" t="str">
        <f t="shared" si="112"/>
        <v>2000/7000/14000</v>
      </c>
      <c r="AE560" s="12" t="str">
        <f t="shared" si="113"/>
        <v/>
      </c>
      <c r="AF560" s="12" t="str">
        <f t="shared" si="114"/>
        <v/>
      </c>
      <c r="AG560" s="12" t="str">
        <f t="shared" si="115"/>
        <v>4/5/</v>
      </c>
      <c r="AH560" s="12" t="str">
        <f t="shared" si="116"/>
        <v>18/16/</v>
      </c>
      <c r="AI560" s="12" t="str">
        <f t="shared" si="117"/>
        <v>10/5</v>
      </c>
    </row>
    <row r="561" spans="1:35" s="8" customFormat="1" ht="21.95" customHeight="1">
      <c r="A561" s="9">
        <v>559</v>
      </c>
      <c r="B561" s="17">
        <v>559</v>
      </c>
      <c r="C561" s="6">
        <v>30</v>
      </c>
      <c r="D561" s="6">
        <v>0</v>
      </c>
      <c r="E561" s="5">
        <v>100</v>
      </c>
      <c r="F561" s="5">
        <v>100</v>
      </c>
      <c r="G561" s="5">
        <v>100</v>
      </c>
      <c r="H561" s="5">
        <v>100</v>
      </c>
      <c r="I561" s="5">
        <v>0</v>
      </c>
      <c r="J561" s="5">
        <v>100</v>
      </c>
      <c r="K561" s="15" t="s">
        <v>53</v>
      </c>
      <c r="L561" s="6">
        <v>3</v>
      </c>
      <c r="M561" s="6">
        <v>0</v>
      </c>
      <c r="N561" s="6">
        <v>0</v>
      </c>
      <c r="O561" s="5">
        <v>16</v>
      </c>
      <c r="P561" s="5">
        <v>0</v>
      </c>
      <c r="Q561" s="5">
        <v>0</v>
      </c>
      <c r="R561" s="5">
        <v>0</v>
      </c>
      <c r="S561" s="5">
        <v>0</v>
      </c>
      <c r="T561" s="5">
        <v>18</v>
      </c>
      <c r="U561" s="6">
        <v>0</v>
      </c>
      <c r="V561" s="5">
        <v>10</v>
      </c>
      <c r="W561" s="5">
        <v>5</v>
      </c>
      <c r="X561" s="16">
        <v>2000</v>
      </c>
      <c r="Y561" s="16">
        <v>7000</v>
      </c>
      <c r="Z561" s="16">
        <v>14000</v>
      </c>
      <c r="AA561" s="12" t="str">
        <f t="shared" si="109"/>
        <v>0/30</v>
      </c>
      <c r="AB561" s="12" t="str">
        <f t="shared" si="110"/>
        <v>100,100,100,100,0,100</v>
      </c>
      <c r="AC561" s="12">
        <f t="shared" si="111"/>
        <v>2</v>
      </c>
      <c r="AD561" s="12" t="str">
        <f t="shared" si="112"/>
        <v>2000/7000/14000</v>
      </c>
      <c r="AE561" s="12" t="str">
        <f t="shared" si="113"/>
        <v/>
      </c>
      <c r="AF561" s="12" t="str">
        <f t="shared" si="114"/>
        <v/>
      </c>
      <c r="AG561" s="12" t="str">
        <f t="shared" si="115"/>
        <v>0/5/</v>
      </c>
      <c r="AH561" s="12" t="str">
        <f t="shared" si="116"/>
        <v>16/18/</v>
      </c>
      <c r="AI561" s="12" t="str">
        <f t="shared" si="117"/>
        <v>10/5</v>
      </c>
    </row>
    <row r="562" spans="1:35" s="8" customFormat="1" ht="21.95" customHeight="1">
      <c r="A562" s="9">
        <v>560</v>
      </c>
      <c r="B562" s="17">
        <v>560</v>
      </c>
      <c r="C562" s="6">
        <v>30</v>
      </c>
      <c r="D562" s="6">
        <v>0</v>
      </c>
      <c r="E562" s="5">
        <v>100</v>
      </c>
      <c r="F562" s="5">
        <v>100</v>
      </c>
      <c r="G562" s="5">
        <v>100</v>
      </c>
      <c r="H562" s="5">
        <v>100</v>
      </c>
      <c r="I562" s="5">
        <v>100</v>
      </c>
      <c r="J562" s="5">
        <v>0</v>
      </c>
      <c r="K562" s="15" t="s">
        <v>52</v>
      </c>
      <c r="L562" s="6">
        <v>3</v>
      </c>
      <c r="M562" s="6">
        <v>6</v>
      </c>
      <c r="N562" s="6">
        <v>0</v>
      </c>
      <c r="O562" s="5">
        <v>0</v>
      </c>
      <c r="P562" s="5">
        <v>0</v>
      </c>
      <c r="Q562" s="5">
        <v>0</v>
      </c>
      <c r="R562" s="5">
        <v>0</v>
      </c>
      <c r="S562" s="5">
        <v>0</v>
      </c>
      <c r="T562" s="5">
        <v>0</v>
      </c>
      <c r="U562" s="6">
        <v>0</v>
      </c>
      <c r="V562" s="5">
        <v>10</v>
      </c>
      <c r="W562" s="5">
        <v>5</v>
      </c>
      <c r="X562" s="16">
        <v>2000</v>
      </c>
      <c r="Y562" s="16">
        <v>7000</v>
      </c>
      <c r="Z562" s="16">
        <v>14000</v>
      </c>
      <c r="AA562" s="12" t="str">
        <f t="shared" si="109"/>
        <v>0/30</v>
      </c>
      <c r="AB562" s="12" t="str">
        <f t="shared" si="110"/>
        <v>100,100,100,100,100,0</v>
      </c>
      <c r="AC562" s="12">
        <f t="shared" si="111"/>
        <v>1</v>
      </c>
      <c r="AD562" s="12" t="str">
        <f t="shared" si="112"/>
        <v>2000/7000/14000</v>
      </c>
      <c r="AE562" s="12" t="str">
        <f t="shared" si="113"/>
        <v>0/</v>
      </c>
      <c r="AF562" s="12" t="str">
        <f t="shared" si="114"/>
        <v>6/</v>
      </c>
      <c r="AG562" s="12" t="str">
        <f t="shared" si="115"/>
        <v/>
      </c>
      <c r="AH562" s="12" t="str">
        <f t="shared" si="116"/>
        <v/>
      </c>
      <c r="AI562" s="12" t="str">
        <f t="shared" si="117"/>
        <v>10/5</v>
      </c>
    </row>
    <row r="563" spans="1:35" s="8" customFormat="1" ht="21.95" customHeight="1">
      <c r="A563" s="9">
        <v>561</v>
      </c>
      <c r="B563" s="17">
        <v>561</v>
      </c>
      <c r="C563" s="6">
        <v>30</v>
      </c>
      <c r="D563" s="6">
        <v>0</v>
      </c>
      <c r="E563" s="5">
        <v>0</v>
      </c>
      <c r="F563" s="5">
        <v>100</v>
      </c>
      <c r="G563" s="5">
        <v>100</v>
      </c>
      <c r="H563" s="5">
        <v>100</v>
      </c>
      <c r="I563" s="5">
        <v>100</v>
      </c>
      <c r="J563" s="5">
        <v>100</v>
      </c>
      <c r="K563" s="15" t="s">
        <v>52</v>
      </c>
      <c r="L563" s="6">
        <v>3</v>
      </c>
      <c r="M563" s="6">
        <v>0</v>
      </c>
      <c r="N563" s="6">
        <v>6</v>
      </c>
      <c r="O563" s="5">
        <v>0</v>
      </c>
      <c r="P563" s="5">
        <v>0</v>
      </c>
      <c r="Q563" s="5">
        <v>0</v>
      </c>
      <c r="R563" s="5">
        <v>0</v>
      </c>
      <c r="S563" s="5">
        <v>0</v>
      </c>
      <c r="T563" s="5">
        <v>0</v>
      </c>
      <c r="U563" s="6">
        <v>0</v>
      </c>
      <c r="V563" s="5">
        <v>10</v>
      </c>
      <c r="W563" s="5">
        <v>5</v>
      </c>
      <c r="X563" s="16">
        <v>2000</v>
      </c>
      <c r="Y563" s="16">
        <v>7000</v>
      </c>
      <c r="Z563" s="16">
        <v>14000</v>
      </c>
      <c r="AA563" s="12" t="str">
        <f t="shared" si="109"/>
        <v>0/30</v>
      </c>
      <c r="AB563" s="12" t="str">
        <f t="shared" si="110"/>
        <v>0,100,100,100,100,100</v>
      </c>
      <c r="AC563" s="12">
        <f t="shared" si="111"/>
        <v>1</v>
      </c>
      <c r="AD563" s="12" t="str">
        <f t="shared" si="112"/>
        <v>2000/7000/14000</v>
      </c>
      <c r="AE563" s="12" t="str">
        <f t="shared" si="113"/>
        <v>1/</v>
      </c>
      <c r="AF563" s="12" t="str">
        <f t="shared" si="114"/>
        <v>6/</v>
      </c>
      <c r="AG563" s="12" t="str">
        <f t="shared" si="115"/>
        <v/>
      </c>
      <c r="AH563" s="12" t="str">
        <f t="shared" si="116"/>
        <v/>
      </c>
      <c r="AI563" s="12" t="str">
        <f t="shared" si="117"/>
        <v>10/5</v>
      </c>
    </row>
    <row r="564" spans="1:35" s="8" customFormat="1" ht="21.95" customHeight="1">
      <c r="A564" s="9">
        <v>562</v>
      </c>
      <c r="B564" s="17">
        <v>562</v>
      </c>
      <c r="C564" s="6">
        <v>0</v>
      </c>
      <c r="D564" s="6">
        <v>60</v>
      </c>
      <c r="E564" s="5">
        <v>100</v>
      </c>
      <c r="F564" s="5">
        <v>0</v>
      </c>
      <c r="G564" s="5">
        <v>100</v>
      </c>
      <c r="H564" s="5">
        <v>100</v>
      </c>
      <c r="I564" s="5">
        <v>100</v>
      </c>
      <c r="J564" s="5">
        <v>100</v>
      </c>
      <c r="K564" s="15" t="s">
        <v>54</v>
      </c>
      <c r="L564" s="6">
        <v>3</v>
      </c>
      <c r="M564" s="6">
        <v>0</v>
      </c>
      <c r="N564" s="6">
        <v>0</v>
      </c>
      <c r="O564" s="5">
        <v>0</v>
      </c>
      <c r="P564" s="5">
        <v>0</v>
      </c>
      <c r="Q564" s="5">
        <v>0</v>
      </c>
      <c r="R564" s="5">
        <v>0</v>
      </c>
      <c r="S564" s="5">
        <v>0</v>
      </c>
      <c r="T564" s="5">
        <v>0</v>
      </c>
      <c r="U564" s="6">
        <v>0</v>
      </c>
      <c r="V564" s="5">
        <v>10</v>
      </c>
      <c r="W564" s="5">
        <v>5</v>
      </c>
      <c r="X564" s="16">
        <v>2000</v>
      </c>
      <c r="Y564" s="16">
        <v>7000</v>
      </c>
      <c r="Z564" s="16">
        <v>14000</v>
      </c>
      <c r="AA564" s="12" t="str">
        <f t="shared" si="109"/>
        <v>1/60</v>
      </c>
      <c r="AB564" s="12" t="str">
        <f t="shared" si="110"/>
        <v>100,0,100,100,100,100</v>
      </c>
      <c r="AC564" s="12">
        <f t="shared" si="111"/>
        <v>3</v>
      </c>
      <c r="AD564" s="12" t="str">
        <f t="shared" si="112"/>
        <v>2000/7000/14000</v>
      </c>
      <c r="AE564" s="12" t="str">
        <f t="shared" si="113"/>
        <v/>
      </c>
      <c r="AF564" s="12" t="str">
        <f t="shared" si="114"/>
        <v/>
      </c>
      <c r="AG564" s="12" t="str">
        <f t="shared" si="115"/>
        <v/>
      </c>
      <c r="AH564" s="12" t="str">
        <f t="shared" si="116"/>
        <v/>
      </c>
      <c r="AI564" s="12" t="str">
        <f t="shared" si="117"/>
        <v>10/5</v>
      </c>
    </row>
    <row r="565" spans="1:35" s="8" customFormat="1" ht="21.95" customHeight="1">
      <c r="A565" s="9">
        <v>563</v>
      </c>
      <c r="B565" s="17">
        <v>563</v>
      </c>
      <c r="C565" s="6">
        <v>0</v>
      </c>
      <c r="D565" s="6">
        <v>60</v>
      </c>
      <c r="E565" s="5">
        <v>100</v>
      </c>
      <c r="F565" s="5">
        <v>100</v>
      </c>
      <c r="G565" s="5">
        <v>0</v>
      </c>
      <c r="H565" s="5">
        <v>100</v>
      </c>
      <c r="I565" s="5">
        <v>100</v>
      </c>
      <c r="J565" s="5">
        <v>100</v>
      </c>
      <c r="K565" s="15" t="s">
        <v>54</v>
      </c>
      <c r="L565" s="6">
        <v>3</v>
      </c>
      <c r="M565" s="6">
        <v>0</v>
      </c>
      <c r="N565" s="6">
        <v>0</v>
      </c>
      <c r="O565" s="5">
        <v>0</v>
      </c>
      <c r="P565" s="5">
        <v>0</v>
      </c>
      <c r="Q565" s="5">
        <v>0</v>
      </c>
      <c r="R565" s="5">
        <v>0</v>
      </c>
      <c r="S565" s="5">
        <v>0</v>
      </c>
      <c r="T565" s="5">
        <v>0</v>
      </c>
      <c r="U565" s="6">
        <v>0</v>
      </c>
      <c r="V565" s="5">
        <v>10</v>
      </c>
      <c r="W565" s="5">
        <v>5</v>
      </c>
      <c r="X565" s="16">
        <v>2000</v>
      </c>
      <c r="Y565" s="16">
        <v>7000</v>
      </c>
      <c r="Z565" s="16">
        <v>14000</v>
      </c>
      <c r="AA565" s="12" t="str">
        <f t="shared" si="109"/>
        <v>1/60</v>
      </c>
      <c r="AB565" s="12" t="str">
        <f t="shared" si="110"/>
        <v>100,100,0,100,100,100</v>
      </c>
      <c r="AC565" s="12">
        <f t="shared" si="111"/>
        <v>3</v>
      </c>
      <c r="AD565" s="12" t="str">
        <f t="shared" si="112"/>
        <v>2000/7000/14000</v>
      </c>
      <c r="AE565" s="12" t="str">
        <f t="shared" si="113"/>
        <v/>
      </c>
      <c r="AF565" s="12" t="str">
        <f t="shared" si="114"/>
        <v/>
      </c>
      <c r="AG565" s="12" t="str">
        <f t="shared" si="115"/>
        <v/>
      </c>
      <c r="AH565" s="12" t="str">
        <f t="shared" si="116"/>
        <v/>
      </c>
      <c r="AI565" s="12" t="str">
        <f t="shared" si="117"/>
        <v>10/5</v>
      </c>
    </row>
    <row r="566" spans="1:35" s="8" customFormat="1" ht="21.95" customHeight="1">
      <c r="A566" s="9">
        <v>564</v>
      </c>
      <c r="B566" s="17">
        <v>564</v>
      </c>
      <c r="C566" s="6">
        <v>30</v>
      </c>
      <c r="D566" s="6">
        <v>0</v>
      </c>
      <c r="E566" s="5">
        <v>100</v>
      </c>
      <c r="F566" s="5">
        <v>100</v>
      </c>
      <c r="G566" s="5">
        <v>100</v>
      </c>
      <c r="H566" s="5">
        <v>0</v>
      </c>
      <c r="I566" s="5">
        <v>100</v>
      </c>
      <c r="J566" s="5">
        <v>100</v>
      </c>
      <c r="K566" s="15" t="s">
        <v>55</v>
      </c>
      <c r="L566" s="6">
        <v>3</v>
      </c>
      <c r="M566" s="6">
        <v>0</v>
      </c>
      <c r="N566" s="6">
        <v>0</v>
      </c>
      <c r="O566" s="5">
        <v>0</v>
      </c>
      <c r="P566" s="5">
        <v>0</v>
      </c>
      <c r="Q566" s="5">
        <v>0</v>
      </c>
      <c r="R566" s="5">
        <v>0</v>
      </c>
      <c r="S566" s="5">
        <v>0</v>
      </c>
      <c r="T566" s="5">
        <v>0</v>
      </c>
      <c r="U566" s="6">
        <v>5</v>
      </c>
      <c r="V566" s="5">
        <v>10</v>
      </c>
      <c r="W566" s="5">
        <v>5</v>
      </c>
      <c r="X566" s="16">
        <v>2000</v>
      </c>
      <c r="Y566" s="16">
        <v>7000</v>
      </c>
      <c r="Z566" s="16">
        <v>14000</v>
      </c>
      <c r="AA566" s="12" t="str">
        <f t="shared" si="109"/>
        <v>0/30</v>
      </c>
      <c r="AB566" s="12" t="str">
        <f t="shared" si="110"/>
        <v>100,100,100,0,100,100</v>
      </c>
      <c r="AC566" s="12">
        <f t="shared" si="111"/>
        <v>4</v>
      </c>
      <c r="AD566" s="12" t="str">
        <f t="shared" si="112"/>
        <v>2000/7000/14000</v>
      </c>
      <c r="AE566" s="12" t="str">
        <f t="shared" si="113"/>
        <v/>
      </c>
      <c r="AF566" s="12" t="str">
        <f t="shared" si="114"/>
        <v/>
      </c>
      <c r="AG566" s="12" t="str">
        <f t="shared" si="115"/>
        <v/>
      </c>
      <c r="AH566" s="12" t="str">
        <f t="shared" si="116"/>
        <v/>
      </c>
      <c r="AI566" s="12" t="str">
        <f t="shared" si="117"/>
        <v>10/5</v>
      </c>
    </row>
    <row r="567" spans="1:35" s="8" customFormat="1" ht="21.95" customHeight="1">
      <c r="A567" s="9">
        <v>565</v>
      </c>
      <c r="B567" s="17">
        <v>565</v>
      </c>
      <c r="C567" s="6">
        <v>30</v>
      </c>
      <c r="D567" s="6">
        <v>0</v>
      </c>
      <c r="E567" s="5">
        <v>100</v>
      </c>
      <c r="F567" s="5">
        <v>100</v>
      </c>
      <c r="G567" s="5">
        <v>100</v>
      </c>
      <c r="H567" s="5">
        <v>100</v>
      </c>
      <c r="I567" s="5">
        <v>0</v>
      </c>
      <c r="J567" s="5">
        <v>100</v>
      </c>
      <c r="K567" s="15" t="s">
        <v>55</v>
      </c>
      <c r="L567" s="6">
        <v>3</v>
      </c>
      <c r="M567" s="6">
        <v>0</v>
      </c>
      <c r="N567" s="6">
        <v>0</v>
      </c>
      <c r="O567" s="5">
        <v>0</v>
      </c>
      <c r="P567" s="5">
        <v>0</v>
      </c>
      <c r="Q567" s="5">
        <v>0</v>
      </c>
      <c r="R567" s="5">
        <v>0</v>
      </c>
      <c r="S567" s="5">
        <v>0</v>
      </c>
      <c r="T567" s="5">
        <v>0</v>
      </c>
      <c r="U567" s="6">
        <v>5</v>
      </c>
      <c r="V567" s="5">
        <v>10</v>
      </c>
      <c r="W567" s="5">
        <v>5</v>
      </c>
      <c r="X567" s="16">
        <v>2000</v>
      </c>
      <c r="Y567" s="16">
        <v>7000</v>
      </c>
      <c r="Z567" s="16">
        <v>14000</v>
      </c>
      <c r="AA567" s="12" t="str">
        <f t="shared" si="109"/>
        <v>0/30</v>
      </c>
      <c r="AB567" s="12" t="str">
        <f t="shared" si="110"/>
        <v>100,100,100,100,0,100</v>
      </c>
      <c r="AC567" s="12">
        <f t="shared" si="111"/>
        <v>4</v>
      </c>
      <c r="AD567" s="12" t="str">
        <f t="shared" si="112"/>
        <v>2000/7000/14000</v>
      </c>
      <c r="AE567" s="12" t="str">
        <f t="shared" si="113"/>
        <v/>
      </c>
      <c r="AF567" s="12" t="str">
        <f t="shared" si="114"/>
        <v/>
      </c>
      <c r="AG567" s="12" t="str">
        <f t="shared" si="115"/>
        <v/>
      </c>
      <c r="AH567" s="12" t="str">
        <f t="shared" si="116"/>
        <v/>
      </c>
      <c r="AI567" s="12" t="str">
        <f t="shared" si="117"/>
        <v>10/5</v>
      </c>
    </row>
    <row r="568" spans="1:35" s="8" customFormat="1" ht="21.95" customHeight="1">
      <c r="A568" s="9">
        <v>566</v>
      </c>
      <c r="B568" s="17">
        <v>566</v>
      </c>
      <c r="C568" s="6">
        <v>30</v>
      </c>
      <c r="D568" s="6">
        <v>0</v>
      </c>
      <c r="E568" s="5">
        <v>100</v>
      </c>
      <c r="F568" s="5">
        <v>100</v>
      </c>
      <c r="G568" s="5">
        <v>100</v>
      </c>
      <c r="H568" s="5">
        <v>100</v>
      </c>
      <c r="I568" s="5">
        <v>100</v>
      </c>
      <c r="J568" s="5">
        <v>0</v>
      </c>
      <c r="K568" s="15" t="s">
        <v>56</v>
      </c>
      <c r="L568" s="6">
        <v>3</v>
      </c>
      <c r="M568" s="6">
        <v>0</v>
      </c>
      <c r="N568" s="6">
        <v>0</v>
      </c>
      <c r="O568" s="5">
        <v>0</v>
      </c>
      <c r="P568" s="5">
        <v>0</v>
      </c>
      <c r="Q568" s="5">
        <v>0</v>
      </c>
      <c r="R568" s="5">
        <v>0</v>
      </c>
      <c r="S568" s="5">
        <v>0</v>
      </c>
      <c r="T568" s="5">
        <v>0</v>
      </c>
      <c r="U568" s="6">
        <v>0</v>
      </c>
      <c r="V568" s="5">
        <v>10</v>
      </c>
      <c r="W568" s="5">
        <v>5</v>
      </c>
      <c r="X568" s="16">
        <v>2000</v>
      </c>
      <c r="Y568" s="16">
        <v>7000</v>
      </c>
      <c r="Z568" s="16">
        <v>14000</v>
      </c>
      <c r="AA568" s="12" t="str">
        <f t="shared" si="109"/>
        <v>0/30</v>
      </c>
      <c r="AB568" s="12" t="str">
        <f t="shared" si="110"/>
        <v>100,100,100,100,100,0</v>
      </c>
      <c r="AC568" s="12">
        <f t="shared" si="111"/>
        <v>5</v>
      </c>
      <c r="AD568" s="12" t="str">
        <f t="shared" si="112"/>
        <v>2000/7000/14000</v>
      </c>
      <c r="AE568" s="12" t="str">
        <f t="shared" si="113"/>
        <v/>
      </c>
      <c r="AF568" s="12" t="str">
        <f t="shared" si="114"/>
        <v/>
      </c>
      <c r="AG568" s="12" t="str">
        <f t="shared" si="115"/>
        <v/>
      </c>
      <c r="AH568" s="12" t="str">
        <f t="shared" si="116"/>
        <v/>
      </c>
      <c r="AI568" s="12" t="str">
        <f t="shared" si="117"/>
        <v>10/5</v>
      </c>
    </row>
    <row r="569" spans="1:35" s="8" customFormat="1" ht="21.95" customHeight="1">
      <c r="A569" s="9">
        <v>567</v>
      </c>
      <c r="B569" s="17">
        <v>567</v>
      </c>
      <c r="C569" s="6">
        <v>30</v>
      </c>
      <c r="D569" s="6">
        <v>0</v>
      </c>
      <c r="E569" s="5">
        <v>0</v>
      </c>
      <c r="F569" s="5">
        <v>100</v>
      </c>
      <c r="G569" s="5">
        <v>100</v>
      </c>
      <c r="H569" s="5">
        <v>100</v>
      </c>
      <c r="I569" s="5">
        <v>100</v>
      </c>
      <c r="J569" s="5">
        <v>100</v>
      </c>
      <c r="K569" s="15" t="s">
        <v>56</v>
      </c>
      <c r="L569" s="6">
        <v>3</v>
      </c>
      <c r="M569" s="6">
        <v>0</v>
      </c>
      <c r="N569" s="6">
        <v>0</v>
      </c>
      <c r="O569" s="5">
        <v>0</v>
      </c>
      <c r="P569" s="5">
        <v>0</v>
      </c>
      <c r="Q569" s="5">
        <v>0</v>
      </c>
      <c r="R569" s="5">
        <v>0</v>
      </c>
      <c r="S569" s="5">
        <v>0</v>
      </c>
      <c r="T569" s="5">
        <v>0</v>
      </c>
      <c r="U569" s="6">
        <v>0</v>
      </c>
      <c r="V569" s="5">
        <v>10</v>
      </c>
      <c r="W569" s="5">
        <v>5</v>
      </c>
      <c r="X569" s="16">
        <v>2000</v>
      </c>
      <c r="Y569" s="16">
        <v>7000</v>
      </c>
      <c r="Z569" s="16">
        <v>14000</v>
      </c>
      <c r="AA569" s="12" t="str">
        <f t="shared" si="109"/>
        <v>0/30</v>
      </c>
      <c r="AB569" s="12" t="str">
        <f t="shared" si="110"/>
        <v>0,100,100,100,100,100</v>
      </c>
      <c r="AC569" s="12">
        <f t="shared" si="111"/>
        <v>5</v>
      </c>
      <c r="AD569" s="12" t="str">
        <f t="shared" si="112"/>
        <v>2000/7000/14000</v>
      </c>
      <c r="AE569" s="12" t="str">
        <f t="shared" si="113"/>
        <v/>
      </c>
      <c r="AF569" s="12" t="str">
        <f t="shared" si="114"/>
        <v/>
      </c>
      <c r="AG569" s="12" t="str">
        <f t="shared" si="115"/>
        <v/>
      </c>
      <c r="AH569" s="12" t="str">
        <f t="shared" si="116"/>
        <v/>
      </c>
      <c r="AI569" s="12" t="str">
        <f t="shared" si="117"/>
        <v>10/5</v>
      </c>
    </row>
    <row r="570" spans="1:35" s="8" customFormat="1" ht="21.95" customHeight="1">
      <c r="A570" s="9">
        <v>568</v>
      </c>
      <c r="B570" s="17">
        <v>568</v>
      </c>
      <c r="C570" s="6">
        <v>30</v>
      </c>
      <c r="D570" s="6">
        <v>0</v>
      </c>
      <c r="E570" s="5">
        <v>100</v>
      </c>
      <c r="F570" s="5">
        <v>0</v>
      </c>
      <c r="G570" s="5">
        <v>100</v>
      </c>
      <c r="H570" s="5">
        <v>100</v>
      </c>
      <c r="I570" s="5">
        <v>100</v>
      </c>
      <c r="J570" s="5">
        <v>100</v>
      </c>
      <c r="K570" s="15" t="s">
        <v>53</v>
      </c>
      <c r="L570" s="6">
        <v>3</v>
      </c>
      <c r="M570" s="6">
        <v>0</v>
      </c>
      <c r="N570" s="6">
        <v>0</v>
      </c>
      <c r="O570" s="5">
        <v>0</v>
      </c>
      <c r="P570" s="5">
        <v>0</v>
      </c>
      <c r="Q570" s="5">
        <v>20</v>
      </c>
      <c r="R570" s="5">
        <v>24</v>
      </c>
      <c r="S570" s="5">
        <v>0</v>
      </c>
      <c r="T570" s="5">
        <v>0</v>
      </c>
      <c r="U570" s="6">
        <v>0</v>
      </c>
      <c r="V570" s="5">
        <v>10</v>
      </c>
      <c r="W570" s="5">
        <v>5</v>
      </c>
      <c r="X570" s="16">
        <v>2000</v>
      </c>
      <c r="Y570" s="16">
        <v>7000</v>
      </c>
      <c r="Z570" s="16">
        <v>14000</v>
      </c>
      <c r="AA570" s="12" t="str">
        <f t="shared" si="109"/>
        <v>0/30</v>
      </c>
      <c r="AB570" s="12" t="str">
        <f t="shared" si="110"/>
        <v>100,0,100,100,100,100</v>
      </c>
      <c r="AC570" s="12">
        <f t="shared" si="111"/>
        <v>2</v>
      </c>
      <c r="AD570" s="12" t="str">
        <f t="shared" si="112"/>
        <v>2000/7000/14000</v>
      </c>
      <c r="AE570" s="12" t="str">
        <f t="shared" si="113"/>
        <v/>
      </c>
      <c r="AF570" s="12" t="str">
        <f t="shared" si="114"/>
        <v/>
      </c>
      <c r="AG570" s="12" t="str">
        <f t="shared" si="115"/>
        <v>2/3/</v>
      </c>
      <c r="AH570" s="12" t="str">
        <f t="shared" si="116"/>
        <v>20/24/</v>
      </c>
      <c r="AI570" s="12" t="str">
        <f t="shared" si="117"/>
        <v>10/5</v>
      </c>
    </row>
    <row r="571" spans="1:35" s="8" customFormat="1" ht="21.95" customHeight="1">
      <c r="A571" s="9">
        <v>569</v>
      </c>
      <c r="B571" s="17">
        <v>569</v>
      </c>
      <c r="C571" s="6">
        <v>30</v>
      </c>
      <c r="D571" s="6">
        <v>0</v>
      </c>
      <c r="E571" s="5">
        <v>100</v>
      </c>
      <c r="F571" s="5">
        <v>100</v>
      </c>
      <c r="G571" s="5">
        <v>0</v>
      </c>
      <c r="H571" s="5">
        <v>100</v>
      </c>
      <c r="I571" s="5">
        <v>100</v>
      </c>
      <c r="J571" s="5">
        <v>100</v>
      </c>
      <c r="K571" s="15" t="s">
        <v>53</v>
      </c>
      <c r="L571" s="6">
        <v>3</v>
      </c>
      <c r="M571" s="6">
        <v>0</v>
      </c>
      <c r="N571" s="6">
        <v>0</v>
      </c>
      <c r="O571" s="5">
        <v>0</v>
      </c>
      <c r="P571" s="5">
        <v>0</v>
      </c>
      <c r="Q571" s="5">
        <v>0</v>
      </c>
      <c r="R571" s="5">
        <v>18</v>
      </c>
      <c r="S571" s="5">
        <v>32</v>
      </c>
      <c r="T571" s="5">
        <v>0</v>
      </c>
      <c r="U571" s="6">
        <v>0</v>
      </c>
      <c r="V571" s="5">
        <v>10</v>
      </c>
      <c r="W571" s="5">
        <v>5</v>
      </c>
      <c r="X571" s="16">
        <v>2000</v>
      </c>
      <c r="Y571" s="16">
        <v>7000</v>
      </c>
      <c r="Z571" s="16">
        <v>14000</v>
      </c>
      <c r="AA571" s="12" t="str">
        <f t="shared" si="109"/>
        <v>0/30</v>
      </c>
      <c r="AB571" s="12" t="str">
        <f t="shared" si="110"/>
        <v>100,100,0,100,100,100</v>
      </c>
      <c r="AC571" s="12">
        <f t="shared" si="111"/>
        <v>2</v>
      </c>
      <c r="AD571" s="12" t="str">
        <f t="shared" si="112"/>
        <v>2000/7000/14000</v>
      </c>
      <c r="AE571" s="12" t="str">
        <f t="shared" si="113"/>
        <v/>
      </c>
      <c r="AF571" s="12" t="str">
        <f t="shared" si="114"/>
        <v/>
      </c>
      <c r="AG571" s="12" t="str">
        <f t="shared" si="115"/>
        <v>3/4/</v>
      </c>
      <c r="AH571" s="12" t="str">
        <f t="shared" si="116"/>
        <v>18/32/</v>
      </c>
      <c r="AI571" s="12" t="str">
        <f t="shared" si="117"/>
        <v>10/5</v>
      </c>
    </row>
    <row r="572" spans="1:35" s="8" customFormat="1" ht="21.95" customHeight="1">
      <c r="A572" s="9">
        <v>570</v>
      </c>
      <c r="B572" s="17">
        <v>570</v>
      </c>
      <c r="C572" s="6">
        <v>0</v>
      </c>
      <c r="D572" s="6">
        <v>60</v>
      </c>
      <c r="E572" s="5">
        <v>100</v>
      </c>
      <c r="F572" s="5">
        <v>100</v>
      </c>
      <c r="G572" s="5">
        <v>100</v>
      </c>
      <c r="H572" s="5">
        <v>0</v>
      </c>
      <c r="I572" s="5">
        <v>100</v>
      </c>
      <c r="J572" s="5">
        <v>100</v>
      </c>
      <c r="K572" s="15" t="s">
        <v>52</v>
      </c>
      <c r="L572" s="6">
        <v>3</v>
      </c>
      <c r="M572" s="6">
        <v>6</v>
      </c>
      <c r="N572" s="6">
        <v>0</v>
      </c>
      <c r="O572" s="5">
        <v>0</v>
      </c>
      <c r="P572" s="5">
        <v>0</v>
      </c>
      <c r="Q572" s="5">
        <v>0</v>
      </c>
      <c r="R572" s="5">
        <v>0</v>
      </c>
      <c r="S572" s="5">
        <v>0</v>
      </c>
      <c r="T572" s="5">
        <v>0</v>
      </c>
      <c r="U572" s="6">
        <v>0</v>
      </c>
      <c r="V572" s="5">
        <v>10</v>
      </c>
      <c r="W572" s="5">
        <v>5</v>
      </c>
      <c r="X572" s="16">
        <v>2000</v>
      </c>
      <c r="Y572" s="16">
        <v>7000</v>
      </c>
      <c r="Z572" s="16">
        <v>14000</v>
      </c>
      <c r="AA572" s="12" t="str">
        <f t="shared" si="109"/>
        <v>1/60</v>
      </c>
      <c r="AB572" s="12" t="str">
        <f t="shared" si="110"/>
        <v>100,100,100,0,100,100</v>
      </c>
      <c r="AC572" s="12">
        <f t="shared" si="111"/>
        <v>1</v>
      </c>
      <c r="AD572" s="12" t="str">
        <f t="shared" si="112"/>
        <v>2000/7000/14000</v>
      </c>
      <c r="AE572" s="12" t="str">
        <f t="shared" si="113"/>
        <v>0/</v>
      </c>
      <c r="AF572" s="12" t="str">
        <f t="shared" si="114"/>
        <v>6/</v>
      </c>
      <c r="AG572" s="12" t="str">
        <f t="shared" si="115"/>
        <v/>
      </c>
      <c r="AH572" s="12" t="str">
        <f t="shared" si="116"/>
        <v/>
      </c>
      <c r="AI572" s="12" t="str">
        <f t="shared" si="117"/>
        <v>10/5</v>
      </c>
    </row>
    <row r="573" spans="1:35" s="8" customFormat="1" ht="21.95" customHeight="1">
      <c r="A573" s="9">
        <v>571</v>
      </c>
      <c r="B573" s="17">
        <v>571</v>
      </c>
      <c r="C573" s="6">
        <v>0</v>
      </c>
      <c r="D573" s="6">
        <v>60</v>
      </c>
      <c r="E573" s="5">
        <v>100</v>
      </c>
      <c r="F573" s="5">
        <v>100</v>
      </c>
      <c r="G573" s="5">
        <v>100</v>
      </c>
      <c r="H573" s="5">
        <v>100</v>
      </c>
      <c r="I573" s="5">
        <v>0</v>
      </c>
      <c r="J573" s="5">
        <v>100</v>
      </c>
      <c r="K573" s="15" t="s">
        <v>52</v>
      </c>
      <c r="L573" s="6">
        <v>3</v>
      </c>
      <c r="M573" s="6">
        <v>2</v>
      </c>
      <c r="N573" s="6">
        <v>4</v>
      </c>
      <c r="O573" s="5">
        <v>0</v>
      </c>
      <c r="P573" s="5">
        <v>0</v>
      </c>
      <c r="Q573" s="5">
        <v>0</v>
      </c>
      <c r="R573" s="5">
        <v>0</v>
      </c>
      <c r="S573" s="5">
        <v>0</v>
      </c>
      <c r="T573" s="5">
        <v>0</v>
      </c>
      <c r="U573" s="6">
        <v>0</v>
      </c>
      <c r="V573" s="5">
        <v>10</v>
      </c>
      <c r="W573" s="5">
        <v>5</v>
      </c>
      <c r="X573" s="16">
        <v>2000</v>
      </c>
      <c r="Y573" s="16">
        <v>7000</v>
      </c>
      <c r="Z573" s="16">
        <v>14000</v>
      </c>
      <c r="AA573" s="12" t="str">
        <f t="shared" si="109"/>
        <v>1/60</v>
      </c>
      <c r="AB573" s="12" t="str">
        <f t="shared" si="110"/>
        <v>100,100,100,100,0,100</v>
      </c>
      <c r="AC573" s="12">
        <f t="shared" si="111"/>
        <v>1</v>
      </c>
      <c r="AD573" s="12" t="str">
        <f t="shared" si="112"/>
        <v>2000/7000/14000</v>
      </c>
      <c r="AE573" s="12" t="str">
        <f t="shared" si="113"/>
        <v>0/1/</v>
      </c>
      <c r="AF573" s="12" t="str">
        <f t="shared" si="114"/>
        <v>2/4/</v>
      </c>
      <c r="AG573" s="12" t="str">
        <f t="shared" si="115"/>
        <v/>
      </c>
      <c r="AH573" s="12" t="str">
        <f t="shared" si="116"/>
        <v/>
      </c>
      <c r="AI573" s="12" t="str">
        <f t="shared" si="117"/>
        <v>10/5</v>
      </c>
    </row>
    <row r="574" spans="1:35" s="8" customFormat="1" ht="21.95" customHeight="1">
      <c r="A574" s="9">
        <v>572</v>
      </c>
      <c r="B574" s="17">
        <v>572</v>
      </c>
      <c r="C574" s="6">
        <v>30</v>
      </c>
      <c r="D574" s="6">
        <v>0</v>
      </c>
      <c r="E574" s="5">
        <v>100</v>
      </c>
      <c r="F574" s="5">
        <v>100</v>
      </c>
      <c r="G574" s="5">
        <v>100</v>
      </c>
      <c r="H574" s="5">
        <v>100</v>
      </c>
      <c r="I574" s="5">
        <v>100</v>
      </c>
      <c r="J574" s="5">
        <v>0</v>
      </c>
      <c r="K574" s="15" t="s">
        <v>54</v>
      </c>
      <c r="L574" s="6">
        <v>3</v>
      </c>
      <c r="M574" s="6">
        <v>0</v>
      </c>
      <c r="N574" s="6">
        <v>0</v>
      </c>
      <c r="O574" s="5">
        <v>0</v>
      </c>
      <c r="P574" s="5">
        <v>0</v>
      </c>
      <c r="Q574" s="5">
        <v>0</v>
      </c>
      <c r="R574" s="5">
        <v>0</v>
      </c>
      <c r="S574" s="5">
        <v>0</v>
      </c>
      <c r="T574" s="5">
        <v>0</v>
      </c>
      <c r="U574" s="6">
        <v>0</v>
      </c>
      <c r="V574" s="5">
        <v>10</v>
      </c>
      <c r="W574" s="5">
        <v>5</v>
      </c>
      <c r="X574" s="16">
        <v>2000</v>
      </c>
      <c r="Y574" s="16">
        <v>7000</v>
      </c>
      <c r="Z574" s="16">
        <v>14000</v>
      </c>
      <c r="AA574" s="12" t="str">
        <f t="shared" si="109"/>
        <v>0/30</v>
      </c>
      <c r="AB574" s="12" t="str">
        <f t="shared" si="110"/>
        <v>100,100,100,100,100,0</v>
      </c>
      <c r="AC574" s="12">
        <f t="shared" si="111"/>
        <v>3</v>
      </c>
      <c r="AD574" s="12" t="str">
        <f t="shared" si="112"/>
        <v>2000/7000/14000</v>
      </c>
      <c r="AE574" s="12" t="str">
        <f t="shared" si="113"/>
        <v/>
      </c>
      <c r="AF574" s="12" t="str">
        <f t="shared" si="114"/>
        <v/>
      </c>
      <c r="AG574" s="12" t="str">
        <f t="shared" si="115"/>
        <v/>
      </c>
      <c r="AH574" s="12" t="str">
        <f t="shared" si="116"/>
        <v/>
      </c>
      <c r="AI574" s="12" t="str">
        <f t="shared" si="117"/>
        <v>10/5</v>
      </c>
    </row>
    <row r="575" spans="1:35" s="8" customFormat="1" ht="21.95" customHeight="1">
      <c r="A575" s="9">
        <v>573</v>
      </c>
      <c r="B575" s="17">
        <v>573</v>
      </c>
      <c r="C575" s="6">
        <v>30</v>
      </c>
      <c r="D575" s="6">
        <v>0</v>
      </c>
      <c r="E575" s="5">
        <v>0</v>
      </c>
      <c r="F575" s="5">
        <v>100</v>
      </c>
      <c r="G575" s="5">
        <v>100</v>
      </c>
      <c r="H575" s="5">
        <v>100</v>
      </c>
      <c r="I575" s="5">
        <v>100</v>
      </c>
      <c r="J575" s="5">
        <v>100</v>
      </c>
      <c r="K575" s="15" t="s">
        <v>54</v>
      </c>
      <c r="L575" s="6">
        <v>3</v>
      </c>
      <c r="M575" s="6">
        <v>0</v>
      </c>
      <c r="N575" s="6">
        <v>0</v>
      </c>
      <c r="O575" s="5">
        <v>0</v>
      </c>
      <c r="P575" s="5">
        <v>0</v>
      </c>
      <c r="Q575" s="5">
        <v>0</v>
      </c>
      <c r="R575" s="5">
        <v>0</v>
      </c>
      <c r="S575" s="5">
        <v>0</v>
      </c>
      <c r="T575" s="5">
        <v>0</v>
      </c>
      <c r="U575" s="6">
        <v>0</v>
      </c>
      <c r="V575" s="5">
        <v>10</v>
      </c>
      <c r="W575" s="5">
        <v>5</v>
      </c>
      <c r="X575" s="16">
        <v>2000</v>
      </c>
      <c r="Y575" s="16">
        <v>7000</v>
      </c>
      <c r="Z575" s="16">
        <v>14000</v>
      </c>
      <c r="AA575" s="12" t="str">
        <f t="shared" si="109"/>
        <v>0/30</v>
      </c>
      <c r="AB575" s="12" t="str">
        <f t="shared" si="110"/>
        <v>0,100,100,100,100,100</v>
      </c>
      <c r="AC575" s="12">
        <f t="shared" si="111"/>
        <v>3</v>
      </c>
      <c r="AD575" s="12" t="str">
        <f t="shared" si="112"/>
        <v>2000/7000/14000</v>
      </c>
      <c r="AE575" s="12" t="str">
        <f t="shared" si="113"/>
        <v/>
      </c>
      <c r="AF575" s="12" t="str">
        <f t="shared" si="114"/>
        <v/>
      </c>
      <c r="AG575" s="12" t="str">
        <f t="shared" si="115"/>
        <v/>
      </c>
      <c r="AH575" s="12" t="str">
        <f t="shared" si="116"/>
        <v/>
      </c>
      <c r="AI575" s="12" t="str">
        <f t="shared" si="117"/>
        <v>10/5</v>
      </c>
    </row>
    <row r="576" spans="1:35" s="8" customFormat="1" ht="21.95" customHeight="1">
      <c r="A576" s="9">
        <v>574</v>
      </c>
      <c r="B576" s="17">
        <v>574</v>
      </c>
      <c r="C576" s="6">
        <v>30</v>
      </c>
      <c r="D576" s="6">
        <v>0</v>
      </c>
      <c r="E576" s="5">
        <v>100</v>
      </c>
      <c r="F576" s="5">
        <v>0</v>
      </c>
      <c r="G576" s="5">
        <v>100</v>
      </c>
      <c r="H576" s="5">
        <v>100</v>
      </c>
      <c r="I576" s="5">
        <v>100</v>
      </c>
      <c r="J576" s="5">
        <v>100</v>
      </c>
      <c r="K576" s="15" t="s">
        <v>55</v>
      </c>
      <c r="L576" s="6">
        <v>3</v>
      </c>
      <c r="M576" s="6">
        <v>0</v>
      </c>
      <c r="N576" s="6">
        <v>0</v>
      </c>
      <c r="O576" s="5">
        <v>0</v>
      </c>
      <c r="P576" s="5">
        <v>0</v>
      </c>
      <c r="Q576" s="5">
        <v>0</v>
      </c>
      <c r="R576" s="5">
        <v>0</v>
      </c>
      <c r="S576" s="5">
        <v>0</v>
      </c>
      <c r="T576" s="5">
        <v>0</v>
      </c>
      <c r="U576" s="6">
        <v>5</v>
      </c>
      <c r="V576" s="5">
        <v>10</v>
      </c>
      <c r="W576" s="5">
        <v>5</v>
      </c>
      <c r="X576" s="16">
        <v>2000</v>
      </c>
      <c r="Y576" s="16">
        <v>7000</v>
      </c>
      <c r="Z576" s="16">
        <v>14000</v>
      </c>
      <c r="AA576" s="12" t="str">
        <f t="shared" si="109"/>
        <v>0/30</v>
      </c>
      <c r="AB576" s="12" t="str">
        <f t="shared" si="110"/>
        <v>100,0,100,100,100,100</v>
      </c>
      <c r="AC576" s="12">
        <f t="shared" si="111"/>
        <v>4</v>
      </c>
      <c r="AD576" s="12" t="str">
        <f t="shared" si="112"/>
        <v>2000/7000/14000</v>
      </c>
      <c r="AE576" s="12" t="str">
        <f t="shared" si="113"/>
        <v/>
      </c>
      <c r="AF576" s="12" t="str">
        <f t="shared" si="114"/>
        <v/>
      </c>
      <c r="AG576" s="12" t="str">
        <f t="shared" si="115"/>
        <v/>
      </c>
      <c r="AH576" s="12" t="str">
        <f t="shared" si="116"/>
        <v/>
      </c>
      <c r="AI576" s="12" t="str">
        <f t="shared" si="117"/>
        <v>10/5</v>
      </c>
    </row>
    <row r="577" spans="1:35" s="8" customFormat="1" ht="21.95" customHeight="1">
      <c r="A577" s="9">
        <v>575</v>
      </c>
      <c r="B577" s="17">
        <v>575</v>
      </c>
      <c r="C577" s="6">
        <v>30</v>
      </c>
      <c r="D577" s="6">
        <v>0</v>
      </c>
      <c r="E577" s="5">
        <v>100</v>
      </c>
      <c r="F577" s="5">
        <v>100</v>
      </c>
      <c r="G577" s="5">
        <v>0</v>
      </c>
      <c r="H577" s="5">
        <v>100</v>
      </c>
      <c r="I577" s="5">
        <v>100</v>
      </c>
      <c r="J577" s="5">
        <v>100</v>
      </c>
      <c r="K577" s="15" t="s">
        <v>55</v>
      </c>
      <c r="L577" s="6">
        <v>3</v>
      </c>
      <c r="M577" s="6">
        <v>0</v>
      </c>
      <c r="N577" s="6">
        <v>0</v>
      </c>
      <c r="O577" s="5">
        <v>0</v>
      </c>
      <c r="P577" s="5">
        <v>0</v>
      </c>
      <c r="Q577" s="5">
        <v>0</v>
      </c>
      <c r="R577" s="5">
        <v>0</v>
      </c>
      <c r="S577" s="5">
        <v>0</v>
      </c>
      <c r="T577" s="5">
        <v>0</v>
      </c>
      <c r="U577" s="6">
        <v>5</v>
      </c>
      <c r="V577" s="5">
        <v>10</v>
      </c>
      <c r="W577" s="5">
        <v>5</v>
      </c>
      <c r="X577" s="16">
        <v>2000</v>
      </c>
      <c r="Y577" s="16">
        <v>7000</v>
      </c>
      <c r="Z577" s="16">
        <v>14000</v>
      </c>
      <c r="AA577" s="12" t="str">
        <f t="shared" si="109"/>
        <v>0/30</v>
      </c>
      <c r="AB577" s="12" t="str">
        <f t="shared" si="110"/>
        <v>100,100,0,100,100,100</v>
      </c>
      <c r="AC577" s="12">
        <f t="shared" si="111"/>
        <v>4</v>
      </c>
      <c r="AD577" s="12" t="str">
        <f t="shared" si="112"/>
        <v>2000/7000/14000</v>
      </c>
      <c r="AE577" s="12" t="str">
        <f t="shared" si="113"/>
        <v/>
      </c>
      <c r="AF577" s="12" t="str">
        <f t="shared" si="114"/>
        <v/>
      </c>
      <c r="AG577" s="12" t="str">
        <f t="shared" si="115"/>
        <v/>
      </c>
      <c r="AH577" s="12" t="str">
        <f t="shared" si="116"/>
        <v/>
      </c>
      <c r="AI577" s="12" t="str">
        <f t="shared" si="117"/>
        <v>10/5</v>
      </c>
    </row>
    <row r="578" spans="1:35" s="8" customFormat="1" ht="21.95" customHeight="1">
      <c r="A578" s="9">
        <v>576</v>
      </c>
      <c r="B578" s="17">
        <v>576</v>
      </c>
      <c r="C578" s="6">
        <v>32</v>
      </c>
      <c r="D578" s="6">
        <v>0</v>
      </c>
      <c r="E578" s="5">
        <v>100</v>
      </c>
      <c r="F578" s="5">
        <v>100</v>
      </c>
      <c r="G578" s="5">
        <v>100</v>
      </c>
      <c r="H578" s="5">
        <v>0</v>
      </c>
      <c r="I578" s="5">
        <v>100</v>
      </c>
      <c r="J578" s="5">
        <v>100</v>
      </c>
      <c r="K578" s="15" t="s">
        <v>51</v>
      </c>
      <c r="L578" s="6">
        <v>3</v>
      </c>
      <c r="M578" s="6">
        <v>0</v>
      </c>
      <c r="N578" s="6">
        <v>0</v>
      </c>
      <c r="O578" s="5">
        <v>0</v>
      </c>
      <c r="P578" s="5">
        <v>0</v>
      </c>
      <c r="Q578" s="5">
        <v>0</v>
      </c>
      <c r="R578" s="5">
        <v>0</v>
      </c>
      <c r="S578" s="5">
        <v>0</v>
      </c>
      <c r="T578" s="5">
        <v>0</v>
      </c>
      <c r="U578" s="6">
        <v>0</v>
      </c>
      <c r="V578" s="5">
        <v>10</v>
      </c>
      <c r="W578" s="5">
        <v>5</v>
      </c>
      <c r="X578" s="16">
        <v>2000</v>
      </c>
      <c r="Y578" s="16">
        <v>7000</v>
      </c>
      <c r="Z578" s="16">
        <v>14000</v>
      </c>
      <c r="AA578" s="12" t="str">
        <f t="shared" si="109"/>
        <v>0/32</v>
      </c>
      <c r="AB578" s="12" t="str">
        <f t="shared" si="110"/>
        <v>100,100,100,0,100,100</v>
      </c>
      <c r="AC578" s="12">
        <f t="shared" si="111"/>
        <v>0</v>
      </c>
      <c r="AD578" s="12" t="str">
        <f t="shared" si="112"/>
        <v>2000/7000/14000</v>
      </c>
      <c r="AE578" s="12" t="str">
        <f t="shared" si="113"/>
        <v/>
      </c>
      <c r="AF578" s="12" t="str">
        <f t="shared" si="114"/>
        <v/>
      </c>
      <c r="AG578" s="12" t="str">
        <f t="shared" si="115"/>
        <v/>
      </c>
      <c r="AH578" s="12" t="str">
        <f t="shared" si="116"/>
        <v/>
      </c>
      <c r="AI578" s="12" t="str">
        <f t="shared" si="117"/>
        <v>10/5</v>
      </c>
    </row>
    <row r="579" spans="1:35" s="8" customFormat="1" ht="21.95" customHeight="1">
      <c r="A579" s="9">
        <v>577</v>
      </c>
      <c r="B579" s="17">
        <v>577</v>
      </c>
      <c r="C579" s="6">
        <v>30</v>
      </c>
      <c r="D579" s="6">
        <v>0</v>
      </c>
      <c r="E579" s="5">
        <v>100</v>
      </c>
      <c r="F579" s="5">
        <v>100</v>
      </c>
      <c r="G579" s="5">
        <v>0</v>
      </c>
      <c r="H579" s="5">
        <v>100</v>
      </c>
      <c r="I579" s="5">
        <v>100</v>
      </c>
      <c r="J579" s="5">
        <v>100</v>
      </c>
      <c r="K579" s="15" t="s">
        <v>56</v>
      </c>
      <c r="L579" s="6">
        <v>3</v>
      </c>
      <c r="M579" s="6">
        <v>0</v>
      </c>
      <c r="N579" s="6">
        <v>0</v>
      </c>
      <c r="O579" s="5">
        <v>0</v>
      </c>
      <c r="P579" s="5">
        <v>0</v>
      </c>
      <c r="Q579" s="5">
        <v>0</v>
      </c>
      <c r="R579" s="5">
        <v>0</v>
      </c>
      <c r="S579" s="5">
        <v>0</v>
      </c>
      <c r="T579" s="5">
        <v>0</v>
      </c>
      <c r="U579" s="6">
        <v>0</v>
      </c>
      <c r="V579" s="5">
        <v>10</v>
      </c>
      <c r="W579" s="5">
        <v>5</v>
      </c>
      <c r="X579" s="16">
        <v>2000</v>
      </c>
      <c r="Y579" s="16">
        <v>7000</v>
      </c>
      <c r="Z579" s="16">
        <v>14000</v>
      </c>
      <c r="AA579" s="12" t="str">
        <f t="shared" si="109"/>
        <v>0/30</v>
      </c>
      <c r="AB579" s="12" t="str">
        <f t="shared" si="110"/>
        <v>100,100,0,100,100,100</v>
      </c>
      <c r="AC579" s="12">
        <f t="shared" si="111"/>
        <v>5</v>
      </c>
      <c r="AD579" s="12" t="str">
        <f t="shared" si="112"/>
        <v>2000/7000/14000</v>
      </c>
      <c r="AE579" s="12" t="str">
        <f t="shared" si="113"/>
        <v/>
      </c>
      <c r="AF579" s="12" t="str">
        <f t="shared" si="114"/>
        <v/>
      </c>
      <c r="AG579" s="12" t="str">
        <f t="shared" si="115"/>
        <v/>
      </c>
      <c r="AH579" s="12" t="str">
        <f t="shared" si="116"/>
        <v/>
      </c>
      <c r="AI579" s="12" t="str">
        <f t="shared" si="117"/>
        <v>10/5</v>
      </c>
    </row>
    <row r="580" spans="1:35" s="8" customFormat="1" ht="21.95" customHeight="1">
      <c r="A580" s="9">
        <v>578</v>
      </c>
      <c r="B580" s="17">
        <v>578</v>
      </c>
      <c r="C580" s="6">
        <v>30</v>
      </c>
      <c r="D580" s="6">
        <v>0</v>
      </c>
      <c r="E580" s="5">
        <v>100</v>
      </c>
      <c r="F580" s="5">
        <v>100</v>
      </c>
      <c r="G580" s="5">
        <v>100</v>
      </c>
      <c r="H580" s="5">
        <v>0</v>
      </c>
      <c r="I580" s="5">
        <v>100</v>
      </c>
      <c r="J580" s="5">
        <v>100</v>
      </c>
      <c r="K580" s="15" t="s">
        <v>53</v>
      </c>
      <c r="L580" s="6">
        <v>3</v>
      </c>
      <c r="M580" s="6">
        <v>0</v>
      </c>
      <c r="N580" s="6">
        <v>0</v>
      </c>
      <c r="O580" s="5">
        <v>0</v>
      </c>
      <c r="P580" s="5">
        <v>0</v>
      </c>
      <c r="Q580" s="5">
        <v>0</v>
      </c>
      <c r="R580" s="5">
        <v>0</v>
      </c>
      <c r="S580" s="5">
        <v>18</v>
      </c>
      <c r="T580" s="5">
        <v>16</v>
      </c>
      <c r="U580" s="6">
        <v>0</v>
      </c>
      <c r="V580" s="5">
        <v>10</v>
      </c>
      <c r="W580" s="5">
        <v>5</v>
      </c>
      <c r="X580" s="16">
        <v>2000</v>
      </c>
      <c r="Y580" s="16">
        <v>7000</v>
      </c>
      <c r="Z580" s="16">
        <v>14000</v>
      </c>
      <c r="AA580" s="12" t="str">
        <f t="shared" si="109"/>
        <v>0/30</v>
      </c>
      <c r="AB580" s="12" t="str">
        <f t="shared" si="110"/>
        <v>100,100,100,0,100,100</v>
      </c>
      <c r="AC580" s="12">
        <f t="shared" si="111"/>
        <v>2</v>
      </c>
      <c r="AD580" s="12" t="str">
        <f t="shared" si="112"/>
        <v>2000/7000/14000</v>
      </c>
      <c r="AE580" s="12" t="str">
        <f t="shared" si="113"/>
        <v/>
      </c>
      <c r="AF580" s="12" t="str">
        <f t="shared" si="114"/>
        <v/>
      </c>
      <c r="AG580" s="12" t="str">
        <f t="shared" si="115"/>
        <v>4/5/</v>
      </c>
      <c r="AH580" s="12" t="str">
        <f t="shared" si="116"/>
        <v>18/16/</v>
      </c>
      <c r="AI580" s="12" t="str">
        <f t="shared" si="117"/>
        <v>10/5</v>
      </c>
    </row>
    <row r="581" spans="1:35" s="8" customFormat="1" ht="21.95" customHeight="1">
      <c r="A581" s="9">
        <v>579</v>
      </c>
      <c r="B581" s="17">
        <v>579</v>
      </c>
      <c r="C581" s="6">
        <v>30</v>
      </c>
      <c r="D581" s="6">
        <v>0</v>
      </c>
      <c r="E581" s="5">
        <v>100</v>
      </c>
      <c r="F581" s="5">
        <v>100</v>
      </c>
      <c r="G581" s="5">
        <v>100</v>
      </c>
      <c r="H581" s="5">
        <v>100</v>
      </c>
      <c r="I581" s="5">
        <v>0</v>
      </c>
      <c r="J581" s="5">
        <v>100</v>
      </c>
      <c r="K581" s="15" t="s">
        <v>53</v>
      </c>
      <c r="L581" s="6">
        <v>3</v>
      </c>
      <c r="M581" s="6">
        <v>0</v>
      </c>
      <c r="N581" s="6">
        <v>0</v>
      </c>
      <c r="O581" s="5">
        <v>16</v>
      </c>
      <c r="P581" s="5">
        <v>0</v>
      </c>
      <c r="Q581" s="5">
        <v>0</v>
      </c>
      <c r="R581" s="5">
        <v>0</v>
      </c>
      <c r="S581" s="5">
        <v>0</v>
      </c>
      <c r="T581" s="5">
        <v>18</v>
      </c>
      <c r="U581" s="6">
        <v>0</v>
      </c>
      <c r="V581" s="5">
        <v>10</v>
      </c>
      <c r="W581" s="5">
        <v>5</v>
      </c>
      <c r="X581" s="16">
        <v>2000</v>
      </c>
      <c r="Y581" s="16">
        <v>7000</v>
      </c>
      <c r="Z581" s="16">
        <v>14000</v>
      </c>
      <c r="AA581" s="12" t="str">
        <f t="shared" si="109"/>
        <v>0/30</v>
      </c>
      <c r="AB581" s="12" t="str">
        <f t="shared" si="110"/>
        <v>100,100,100,100,0,100</v>
      </c>
      <c r="AC581" s="12">
        <f t="shared" si="111"/>
        <v>2</v>
      </c>
      <c r="AD581" s="12" t="str">
        <f t="shared" si="112"/>
        <v>2000/7000/14000</v>
      </c>
      <c r="AE581" s="12" t="str">
        <f t="shared" si="113"/>
        <v/>
      </c>
      <c r="AF581" s="12" t="str">
        <f t="shared" si="114"/>
        <v/>
      </c>
      <c r="AG581" s="12" t="str">
        <f t="shared" si="115"/>
        <v>0/5/</v>
      </c>
      <c r="AH581" s="12" t="str">
        <f t="shared" si="116"/>
        <v>16/18/</v>
      </c>
      <c r="AI581" s="12" t="str">
        <f t="shared" si="117"/>
        <v>10/5</v>
      </c>
    </row>
    <row r="582" spans="1:35" s="8" customFormat="1" ht="21.95" customHeight="1">
      <c r="A582" s="9">
        <v>580</v>
      </c>
      <c r="B582" s="17">
        <v>580</v>
      </c>
      <c r="C582" s="6">
        <v>30</v>
      </c>
      <c r="D582" s="6">
        <v>0</v>
      </c>
      <c r="E582" s="5">
        <v>100</v>
      </c>
      <c r="F582" s="5">
        <v>100</v>
      </c>
      <c r="G582" s="5">
        <v>100</v>
      </c>
      <c r="H582" s="5">
        <v>100</v>
      </c>
      <c r="I582" s="5">
        <v>100</v>
      </c>
      <c r="J582" s="5">
        <v>0</v>
      </c>
      <c r="K582" s="15" t="s">
        <v>52</v>
      </c>
      <c r="L582" s="6">
        <v>3</v>
      </c>
      <c r="M582" s="6">
        <v>6</v>
      </c>
      <c r="N582" s="6">
        <v>0</v>
      </c>
      <c r="O582" s="5">
        <v>0</v>
      </c>
      <c r="P582" s="5">
        <v>0</v>
      </c>
      <c r="Q582" s="5">
        <v>0</v>
      </c>
      <c r="R582" s="5">
        <v>0</v>
      </c>
      <c r="S582" s="5">
        <v>0</v>
      </c>
      <c r="T582" s="5">
        <v>0</v>
      </c>
      <c r="U582" s="6">
        <v>0</v>
      </c>
      <c r="V582" s="5">
        <v>10</v>
      </c>
      <c r="W582" s="5">
        <v>5</v>
      </c>
      <c r="X582" s="16">
        <v>2000</v>
      </c>
      <c r="Y582" s="16">
        <v>7000</v>
      </c>
      <c r="Z582" s="16">
        <v>14000</v>
      </c>
      <c r="AA582" s="12" t="str">
        <f t="shared" si="109"/>
        <v>0/30</v>
      </c>
      <c r="AB582" s="12" t="str">
        <f t="shared" si="110"/>
        <v>100,100,100,100,100,0</v>
      </c>
      <c r="AC582" s="12">
        <f t="shared" si="111"/>
        <v>1</v>
      </c>
      <c r="AD582" s="12" t="str">
        <f t="shared" si="112"/>
        <v>2000/7000/14000</v>
      </c>
      <c r="AE582" s="12" t="str">
        <f t="shared" si="113"/>
        <v>0/</v>
      </c>
      <c r="AF582" s="12" t="str">
        <f t="shared" si="114"/>
        <v>6/</v>
      </c>
      <c r="AG582" s="12" t="str">
        <f t="shared" si="115"/>
        <v/>
      </c>
      <c r="AH582" s="12" t="str">
        <f t="shared" si="116"/>
        <v/>
      </c>
      <c r="AI582" s="12" t="str">
        <f t="shared" si="117"/>
        <v>10/5</v>
      </c>
    </row>
    <row r="583" spans="1:35" s="8" customFormat="1" ht="21.95" customHeight="1">
      <c r="A583" s="9">
        <v>581</v>
      </c>
      <c r="B583" s="17">
        <v>581</v>
      </c>
      <c r="C583" s="6">
        <v>30</v>
      </c>
      <c r="D583" s="6">
        <v>0</v>
      </c>
      <c r="E583" s="5">
        <v>0</v>
      </c>
      <c r="F583" s="5">
        <v>100</v>
      </c>
      <c r="G583" s="5">
        <v>100</v>
      </c>
      <c r="H583" s="5">
        <v>100</v>
      </c>
      <c r="I583" s="5">
        <v>100</v>
      </c>
      <c r="J583" s="5">
        <v>100</v>
      </c>
      <c r="K583" s="15" t="s">
        <v>52</v>
      </c>
      <c r="L583" s="6">
        <v>3</v>
      </c>
      <c r="M583" s="6">
        <v>0</v>
      </c>
      <c r="N583" s="6">
        <v>6</v>
      </c>
      <c r="O583" s="5">
        <v>0</v>
      </c>
      <c r="P583" s="5">
        <v>0</v>
      </c>
      <c r="Q583" s="5">
        <v>0</v>
      </c>
      <c r="R583" s="5">
        <v>0</v>
      </c>
      <c r="S583" s="5">
        <v>0</v>
      </c>
      <c r="T583" s="5">
        <v>0</v>
      </c>
      <c r="U583" s="6">
        <v>0</v>
      </c>
      <c r="V583" s="5">
        <v>10</v>
      </c>
      <c r="W583" s="5">
        <v>5</v>
      </c>
      <c r="X583" s="16">
        <v>2000</v>
      </c>
      <c r="Y583" s="16">
        <v>7000</v>
      </c>
      <c r="Z583" s="16">
        <v>14000</v>
      </c>
      <c r="AA583" s="12" t="str">
        <f t="shared" si="109"/>
        <v>0/30</v>
      </c>
      <c r="AB583" s="12" t="str">
        <f t="shared" si="110"/>
        <v>0,100,100,100,100,100</v>
      </c>
      <c r="AC583" s="12">
        <f t="shared" si="111"/>
        <v>1</v>
      </c>
      <c r="AD583" s="12" t="str">
        <f t="shared" si="112"/>
        <v>2000/7000/14000</v>
      </c>
      <c r="AE583" s="12" t="str">
        <f t="shared" si="113"/>
        <v>1/</v>
      </c>
      <c r="AF583" s="12" t="str">
        <f t="shared" si="114"/>
        <v>6/</v>
      </c>
      <c r="AG583" s="12" t="str">
        <f t="shared" si="115"/>
        <v/>
      </c>
      <c r="AH583" s="12" t="str">
        <f t="shared" si="116"/>
        <v/>
      </c>
      <c r="AI583" s="12" t="str">
        <f t="shared" si="117"/>
        <v>10/5</v>
      </c>
    </row>
    <row r="584" spans="1:35" s="8" customFormat="1" ht="21.95" customHeight="1">
      <c r="A584" s="9">
        <v>582</v>
      </c>
      <c r="B584" s="17">
        <v>582</v>
      </c>
      <c r="C584" s="6">
        <v>0</v>
      </c>
      <c r="D584" s="6">
        <v>60</v>
      </c>
      <c r="E584" s="5">
        <v>100</v>
      </c>
      <c r="F584" s="5">
        <v>0</v>
      </c>
      <c r="G584" s="5">
        <v>100</v>
      </c>
      <c r="H584" s="5">
        <v>100</v>
      </c>
      <c r="I584" s="5">
        <v>100</v>
      </c>
      <c r="J584" s="5">
        <v>100</v>
      </c>
      <c r="K584" s="15" t="s">
        <v>54</v>
      </c>
      <c r="L584" s="6">
        <v>3</v>
      </c>
      <c r="M584" s="6">
        <v>0</v>
      </c>
      <c r="N584" s="6">
        <v>0</v>
      </c>
      <c r="O584" s="5">
        <v>0</v>
      </c>
      <c r="P584" s="5">
        <v>0</v>
      </c>
      <c r="Q584" s="5">
        <v>0</v>
      </c>
      <c r="R584" s="5">
        <v>0</v>
      </c>
      <c r="S584" s="5">
        <v>0</v>
      </c>
      <c r="T584" s="5">
        <v>0</v>
      </c>
      <c r="U584" s="6">
        <v>0</v>
      </c>
      <c r="V584" s="5">
        <v>10</v>
      </c>
      <c r="W584" s="5">
        <v>5</v>
      </c>
      <c r="X584" s="16">
        <v>2000</v>
      </c>
      <c r="Y584" s="16">
        <v>7000</v>
      </c>
      <c r="Z584" s="16">
        <v>14000</v>
      </c>
      <c r="AA584" s="12" t="str">
        <f t="shared" si="109"/>
        <v>1/60</v>
      </c>
      <c r="AB584" s="12" t="str">
        <f t="shared" si="110"/>
        <v>100,0,100,100,100,100</v>
      </c>
      <c r="AC584" s="12">
        <f t="shared" si="111"/>
        <v>3</v>
      </c>
      <c r="AD584" s="12" t="str">
        <f t="shared" si="112"/>
        <v>2000/7000/14000</v>
      </c>
      <c r="AE584" s="12" t="str">
        <f t="shared" si="113"/>
        <v/>
      </c>
      <c r="AF584" s="12" t="str">
        <f t="shared" si="114"/>
        <v/>
      </c>
      <c r="AG584" s="12" t="str">
        <f t="shared" si="115"/>
        <v/>
      </c>
      <c r="AH584" s="12" t="str">
        <f t="shared" si="116"/>
        <v/>
      </c>
      <c r="AI584" s="12" t="str">
        <f t="shared" si="117"/>
        <v>10/5</v>
      </c>
    </row>
    <row r="585" spans="1:35" s="8" customFormat="1" ht="21.95" customHeight="1">
      <c r="A585" s="9">
        <v>583</v>
      </c>
      <c r="B585" s="17">
        <v>583</v>
      </c>
      <c r="C585" s="6">
        <v>0</v>
      </c>
      <c r="D585" s="6">
        <v>60</v>
      </c>
      <c r="E585" s="5">
        <v>100</v>
      </c>
      <c r="F585" s="5">
        <v>100</v>
      </c>
      <c r="G585" s="5">
        <v>0</v>
      </c>
      <c r="H585" s="5">
        <v>100</v>
      </c>
      <c r="I585" s="5">
        <v>100</v>
      </c>
      <c r="J585" s="5">
        <v>100</v>
      </c>
      <c r="K585" s="15" t="s">
        <v>54</v>
      </c>
      <c r="L585" s="6">
        <v>3</v>
      </c>
      <c r="M585" s="6">
        <v>0</v>
      </c>
      <c r="N585" s="6">
        <v>0</v>
      </c>
      <c r="O585" s="5">
        <v>0</v>
      </c>
      <c r="P585" s="5">
        <v>0</v>
      </c>
      <c r="Q585" s="5">
        <v>0</v>
      </c>
      <c r="R585" s="5">
        <v>0</v>
      </c>
      <c r="S585" s="5">
        <v>0</v>
      </c>
      <c r="T585" s="5">
        <v>0</v>
      </c>
      <c r="U585" s="6">
        <v>0</v>
      </c>
      <c r="V585" s="5">
        <v>10</v>
      </c>
      <c r="W585" s="5">
        <v>5</v>
      </c>
      <c r="X585" s="16">
        <v>2000</v>
      </c>
      <c r="Y585" s="16">
        <v>7000</v>
      </c>
      <c r="Z585" s="16">
        <v>14000</v>
      </c>
      <c r="AA585" s="12" t="str">
        <f t="shared" si="109"/>
        <v>1/60</v>
      </c>
      <c r="AB585" s="12" t="str">
        <f t="shared" si="110"/>
        <v>100,100,0,100,100,100</v>
      </c>
      <c r="AC585" s="12">
        <f t="shared" si="111"/>
        <v>3</v>
      </c>
      <c r="AD585" s="12" t="str">
        <f t="shared" si="112"/>
        <v>2000/7000/14000</v>
      </c>
      <c r="AE585" s="12" t="str">
        <f t="shared" si="113"/>
        <v/>
      </c>
      <c r="AF585" s="12" t="str">
        <f t="shared" si="114"/>
        <v/>
      </c>
      <c r="AG585" s="12" t="str">
        <f t="shared" si="115"/>
        <v/>
      </c>
      <c r="AH585" s="12" t="str">
        <f t="shared" si="116"/>
        <v/>
      </c>
      <c r="AI585" s="12" t="str">
        <f t="shared" si="117"/>
        <v>10/5</v>
      </c>
    </row>
    <row r="586" spans="1:35" s="8" customFormat="1" ht="21.95" customHeight="1">
      <c r="A586" s="9">
        <v>584</v>
      </c>
      <c r="B586" s="17">
        <v>584</v>
      </c>
      <c r="C586" s="6">
        <v>30</v>
      </c>
      <c r="D586" s="6">
        <v>0</v>
      </c>
      <c r="E586" s="5">
        <v>100</v>
      </c>
      <c r="F586" s="5">
        <v>100</v>
      </c>
      <c r="G586" s="5">
        <v>100</v>
      </c>
      <c r="H586" s="5">
        <v>0</v>
      </c>
      <c r="I586" s="5">
        <v>100</v>
      </c>
      <c r="J586" s="5">
        <v>100</v>
      </c>
      <c r="K586" s="15" t="s">
        <v>55</v>
      </c>
      <c r="L586" s="6">
        <v>3</v>
      </c>
      <c r="M586" s="6">
        <v>0</v>
      </c>
      <c r="N586" s="6">
        <v>0</v>
      </c>
      <c r="O586" s="5">
        <v>0</v>
      </c>
      <c r="P586" s="5">
        <v>0</v>
      </c>
      <c r="Q586" s="5">
        <v>0</v>
      </c>
      <c r="R586" s="5">
        <v>0</v>
      </c>
      <c r="S586" s="5">
        <v>0</v>
      </c>
      <c r="T586" s="5">
        <v>0</v>
      </c>
      <c r="U586" s="6">
        <v>5</v>
      </c>
      <c r="V586" s="5">
        <v>10</v>
      </c>
      <c r="W586" s="5">
        <v>5</v>
      </c>
      <c r="X586" s="16">
        <v>2000</v>
      </c>
      <c r="Y586" s="16">
        <v>7000</v>
      </c>
      <c r="Z586" s="16">
        <v>14000</v>
      </c>
      <c r="AA586" s="12" t="str">
        <f t="shared" si="109"/>
        <v>0/30</v>
      </c>
      <c r="AB586" s="12" t="str">
        <f t="shared" si="110"/>
        <v>100,100,100,0,100,100</v>
      </c>
      <c r="AC586" s="12">
        <f t="shared" si="111"/>
        <v>4</v>
      </c>
      <c r="AD586" s="12" t="str">
        <f t="shared" si="112"/>
        <v>2000/7000/14000</v>
      </c>
      <c r="AE586" s="12" t="str">
        <f t="shared" si="113"/>
        <v/>
      </c>
      <c r="AF586" s="12" t="str">
        <f t="shared" si="114"/>
        <v/>
      </c>
      <c r="AG586" s="12" t="str">
        <f t="shared" si="115"/>
        <v/>
      </c>
      <c r="AH586" s="12" t="str">
        <f t="shared" si="116"/>
        <v/>
      </c>
      <c r="AI586" s="12" t="str">
        <f t="shared" si="117"/>
        <v>10/5</v>
      </c>
    </row>
    <row r="587" spans="1:35" s="8" customFormat="1" ht="21.95" customHeight="1">
      <c r="A587" s="9">
        <v>585</v>
      </c>
      <c r="B587" s="17">
        <v>585</v>
      </c>
      <c r="C587" s="6">
        <v>30</v>
      </c>
      <c r="D587" s="6">
        <v>0</v>
      </c>
      <c r="E587" s="5">
        <v>100</v>
      </c>
      <c r="F587" s="5">
        <v>100</v>
      </c>
      <c r="G587" s="5">
        <v>100</v>
      </c>
      <c r="H587" s="5">
        <v>100</v>
      </c>
      <c r="I587" s="5">
        <v>0</v>
      </c>
      <c r="J587" s="5">
        <v>100</v>
      </c>
      <c r="K587" s="15" t="s">
        <v>55</v>
      </c>
      <c r="L587" s="6">
        <v>3</v>
      </c>
      <c r="M587" s="6">
        <v>0</v>
      </c>
      <c r="N587" s="6">
        <v>0</v>
      </c>
      <c r="O587" s="5">
        <v>0</v>
      </c>
      <c r="P587" s="5">
        <v>0</v>
      </c>
      <c r="Q587" s="5">
        <v>0</v>
      </c>
      <c r="R587" s="5">
        <v>0</v>
      </c>
      <c r="S587" s="5">
        <v>0</v>
      </c>
      <c r="T587" s="5">
        <v>0</v>
      </c>
      <c r="U587" s="6">
        <v>5</v>
      </c>
      <c r="V587" s="5">
        <v>10</v>
      </c>
      <c r="W587" s="5">
        <v>5</v>
      </c>
      <c r="X587" s="16">
        <v>2000</v>
      </c>
      <c r="Y587" s="16">
        <v>7000</v>
      </c>
      <c r="Z587" s="16">
        <v>14000</v>
      </c>
      <c r="AA587" s="12" t="str">
        <f t="shared" si="109"/>
        <v>0/30</v>
      </c>
      <c r="AB587" s="12" t="str">
        <f t="shared" si="110"/>
        <v>100,100,100,100,0,100</v>
      </c>
      <c r="AC587" s="12">
        <f t="shared" si="111"/>
        <v>4</v>
      </c>
      <c r="AD587" s="12" t="str">
        <f t="shared" si="112"/>
        <v>2000/7000/14000</v>
      </c>
      <c r="AE587" s="12" t="str">
        <f t="shared" si="113"/>
        <v/>
      </c>
      <c r="AF587" s="12" t="str">
        <f t="shared" si="114"/>
        <v/>
      </c>
      <c r="AG587" s="12" t="str">
        <f t="shared" si="115"/>
        <v/>
      </c>
      <c r="AH587" s="12" t="str">
        <f t="shared" si="116"/>
        <v/>
      </c>
      <c r="AI587" s="12" t="str">
        <f t="shared" si="117"/>
        <v>10/5</v>
      </c>
    </row>
    <row r="588" spans="1:35" s="8" customFormat="1" ht="21.95" customHeight="1">
      <c r="A588" s="9">
        <v>586</v>
      </c>
      <c r="B588" s="17">
        <v>586</v>
      </c>
      <c r="C588" s="6">
        <v>30</v>
      </c>
      <c r="D588" s="6">
        <v>0</v>
      </c>
      <c r="E588" s="5">
        <v>100</v>
      </c>
      <c r="F588" s="5">
        <v>100</v>
      </c>
      <c r="G588" s="5">
        <v>100</v>
      </c>
      <c r="H588" s="5">
        <v>100</v>
      </c>
      <c r="I588" s="5">
        <v>100</v>
      </c>
      <c r="J588" s="5">
        <v>0</v>
      </c>
      <c r="K588" s="15" t="s">
        <v>56</v>
      </c>
      <c r="L588" s="6">
        <v>3</v>
      </c>
      <c r="M588" s="6">
        <v>0</v>
      </c>
      <c r="N588" s="6">
        <v>0</v>
      </c>
      <c r="O588" s="5">
        <v>0</v>
      </c>
      <c r="P588" s="5">
        <v>0</v>
      </c>
      <c r="Q588" s="5">
        <v>0</v>
      </c>
      <c r="R588" s="5">
        <v>0</v>
      </c>
      <c r="S588" s="5">
        <v>0</v>
      </c>
      <c r="T588" s="5">
        <v>0</v>
      </c>
      <c r="U588" s="6">
        <v>0</v>
      </c>
      <c r="V588" s="5">
        <v>10</v>
      </c>
      <c r="W588" s="5">
        <v>5</v>
      </c>
      <c r="X588" s="16">
        <v>2000</v>
      </c>
      <c r="Y588" s="16">
        <v>7000</v>
      </c>
      <c r="Z588" s="16">
        <v>14000</v>
      </c>
      <c r="AA588" s="12" t="str">
        <f t="shared" si="109"/>
        <v>0/30</v>
      </c>
      <c r="AB588" s="12" t="str">
        <f t="shared" si="110"/>
        <v>100,100,100,100,100,0</v>
      </c>
      <c r="AC588" s="12">
        <f t="shared" si="111"/>
        <v>5</v>
      </c>
      <c r="AD588" s="12" t="str">
        <f t="shared" si="112"/>
        <v>2000/7000/14000</v>
      </c>
      <c r="AE588" s="12" t="str">
        <f t="shared" si="113"/>
        <v/>
      </c>
      <c r="AF588" s="12" t="str">
        <f t="shared" si="114"/>
        <v/>
      </c>
      <c r="AG588" s="12" t="str">
        <f t="shared" si="115"/>
        <v/>
      </c>
      <c r="AH588" s="12" t="str">
        <f t="shared" si="116"/>
        <v/>
      </c>
      <c r="AI588" s="12" t="str">
        <f t="shared" si="117"/>
        <v>10/5</v>
      </c>
    </row>
    <row r="589" spans="1:35" s="8" customFormat="1" ht="21.95" customHeight="1">
      <c r="A589" s="9">
        <v>587</v>
      </c>
      <c r="B589" s="17">
        <v>587</v>
      </c>
      <c r="C589" s="6">
        <v>0</v>
      </c>
      <c r="D589" s="6">
        <v>60</v>
      </c>
      <c r="E589" s="5">
        <v>0</v>
      </c>
      <c r="F589" s="5">
        <v>100</v>
      </c>
      <c r="G589" s="5">
        <v>100</v>
      </c>
      <c r="H589" s="5">
        <v>100</v>
      </c>
      <c r="I589" s="5">
        <v>100</v>
      </c>
      <c r="J589" s="5">
        <v>100</v>
      </c>
      <c r="K589" s="15" t="s">
        <v>56</v>
      </c>
      <c r="L589" s="6">
        <v>3</v>
      </c>
      <c r="M589" s="6">
        <v>0</v>
      </c>
      <c r="N589" s="6">
        <v>0</v>
      </c>
      <c r="O589" s="5">
        <v>0</v>
      </c>
      <c r="P589" s="5">
        <v>0</v>
      </c>
      <c r="Q589" s="5">
        <v>0</v>
      </c>
      <c r="R589" s="5">
        <v>0</v>
      </c>
      <c r="S589" s="5">
        <v>0</v>
      </c>
      <c r="T589" s="5">
        <v>0</v>
      </c>
      <c r="U589" s="6">
        <v>0</v>
      </c>
      <c r="V589" s="5">
        <v>10</v>
      </c>
      <c r="W589" s="5">
        <v>5</v>
      </c>
      <c r="X589" s="16">
        <v>2000</v>
      </c>
      <c r="Y589" s="16">
        <v>7000</v>
      </c>
      <c r="Z589" s="16">
        <v>14000</v>
      </c>
      <c r="AA589" s="12" t="str">
        <f t="shared" si="109"/>
        <v>1/60</v>
      </c>
      <c r="AB589" s="12" t="str">
        <f t="shared" si="110"/>
        <v>0,100,100,100,100,100</v>
      </c>
      <c r="AC589" s="12">
        <f t="shared" si="111"/>
        <v>5</v>
      </c>
      <c r="AD589" s="12" t="str">
        <f t="shared" si="112"/>
        <v>2000/7000/14000</v>
      </c>
      <c r="AE589" s="12" t="str">
        <f t="shared" si="113"/>
        <v/>
      </c>
      <c r="AF589" s="12" t="str">
        <f t="shared" si="114"/>
        <v/>
      </c>
      <c r="AG589" s="12" t="str">
        <f t="shared" si="115"/>
        <v/>
      </c>
      <c r="AH589" s="12" t="str">
        <f t="shared" si="116"/>
        <v/>
      </c>
      <c r="AI589" s="12" t="str">
        <f t="shared" si="117"/>
        <v>10/5</v>
      </c>
    </row>
    <row r="590" spans="1:35" s="8" customFormat="1" ht="21.95" customHeight="1">
      <c r="A590" s="9">
        <v>588</v>
      </c>
      <c r="B590" s="17">
        <v>588</v>
      </c>
      <c r="C590" s="6">
        <v>30</v>
      </c>
      <c r="D590" s="6">
        <v>0</v>
      </c>
      <c r="E590" s="5">
        <v>100</v>
      </c>
      <c r="F590" s="5">
        <v>0</v>
      </c>
      <c r="G590" s="5">
        <v>100</v>
      </c>
      <c r="H590" s="5">
        <v>100</v>
      </c>
      <c r="I590" s="5">
        <v>100</v>
      </c>
      <c r="J590" s="5">
        <v>100</v>
      </c>
      <c r="K590" s="15" t="s">
        <v>53</v>
      </c>
      <c r="L590" s="6">
        <v>3</v>
      </c>
      <c r="M590" s="6">
        <v>0</v>
      </c>
      <c r="N590" s="6">
        <v>0</v>
      </c>
      <c r="O590" s="5">
        <v>0</v>
      </c>
      <c r="P590" s="5">
        <v>0</v>
      </c>
      <c r="Q590" s="5">
        <v>20</v>
      </c>
      <c r="R590" s="5">
        <v>24</v>
      </c>
      <c r="S590" s="5">
        <v>0</v>
      </c>
      <c r="T590" s="5">
        <v>0</v>
      </c>
      <c r="U590" s="6">
        <v>0</v>
      </c>
      <c r="V590" s="5">
        <v>10</v>
      </c>
      <c r="W590" s="5">
        <v>5</v>
      </c>
      <c r="X590" s="16">
        <v>2000</v>
      </c>
      <c r="Y590" s="16">
        <v>7000</v>
      </c>
      <c r="Z590" s="16">
        <v>14000</v>
      </c>
      <c r="AA590" s="12" t="str">
        <f t="shared" si="109"/>
        <v>0/30</v>
      </c>
      <c r="AB590" s="12" t="str">
        <f t="shared" si="110"/>
        <v>100,0,100,100,100,100</v>
      </c>
      <c r="AC590" s="12">
        <f t="shared" si="111"/>
        <v>2</v>
      </c>
      <c r="AD590" s="12" t="str">
        <f t="shared" si="112"/>
        <v>2000/7000/14000</v>
      </c>
      <c r="AE590" s="12" t="str">
        <f t="shared" si="113"/>
        <v/>
      </c>
      <c r="AF590" s="12" t="str">
        <f t="shared" si="114"/>
        <v/>
      </c>
      <c r="AG590" s="12" t="str">
        <f t="shared" si="115"/>
        <v>2/3/</v>
      </c>
      <c r="AH590" s="12" t="str">
        <f t="shared" si="116"/>
        <v>20/24/</v>
      </c>
      <c r="AI590" s="12" t="str">
        <f t="shared" si="117"/>
        <v>10/5</v>
      </c>
    </row>
    <row r="591" spans="1:35" s="8" customFormat="1" ht="21.95" customHeight="1">
      <c r="A591" s="9">
        <v>589</v>
      </c>
      <c r="B591" s="17">
        <v>589</v>
      </c>
      <c r="C591" s="6">
        <v>30</v>
      </c>
      <c r="D591" s="6">
        <v>0</v>
      </c>
      <c r="E591" s="5">
        <v>100</v>
      </c>
      <c r="F591" s="5">
        <v>100</v>
      </c>
      <c r="G591" s="5">
        <v>0</v>
      </c>
      <c r="H591" s="5">
        <v>100</v>
      </c>
      <c r="I591" s="5">
        <v>100</v>
      </c>
      <c r="J591" s="5">
        <v>100</v>
      </c>
      <c r="K591" s="15" t="s">
        <v>53</v>
      </c>
      <c r="L591" s="6">
        <v>3</v>
      </c>
      <c r="M591" s="6">
        <v>0</v>
      </c>
      <c r="N591" s="6">
        <v>0</v>
      </c>
      <c r="O591" s="5">
        <v>0</v>
      </c>
      <c r="P591" s="5">
        <v>0</v>
      </c>
      <c r="Q591" s="5">
        <v>0</v>
      </c>
      <c r="R591" s="5">
        <v>18</v>
      </c>
      <c r="S591" s="5">
        <v>32</v>
      </c>
      <c r="T591" s="5">
        <v>0</v>
      </c>
      <c r="U591" s="6">
        <v>0</v>
      </c>
      <c r="V591" s="5">
        <v>10</v>
      </c>
      <c r="W591" s="5">
        <v>5</v>
      </c>
      <c r="X591" s="16">
        <v>2000</v>
      </c>
      <c r="Y591" s="16">
        <v>7000</v>
      </c>
      <c r="Z591" s="16">
        <v>14000</v>
      </c>
      <c r="AA591" s="12" t="str">
        <f t="shared" si="109"/>
        <v>0/30</v>
      </c>
      <c r="AB591" s="12" t="str">
        <f t="shared" si="110"/>
        <v>100,100,0,100,100,100</v>
      </c>
      <c r="AC591" s="12">
        <f t="shared" si="111"/>
        <v>2</v>
      </c>
      <c r="AD591" s="12" t="str">
        <f t="shared" si="112"/>
        <v>2000/7000/14000</v>
      </c>
      <c r="AE591" s="12" t="str">
        <f t="shared" si="113"/>
        <v/>
      </c>
      <c r="AF591" s="12" t="str">
        <f t="shared" si="114"/>
        <v/>
      </c>
      <c r="AG591" s="12" t="str">
        <f t="shared" si="115"/>
        <v>3/4/</v>
      </c>
      <c r="AH591" s="12" t="str">
        <f t="shared" si="116"/>
        <v>18/32/</v>
      </c>
      <c r="AI591" s="12" t="str">
        <f t="shared" si="117"/>
        <v>10/5</v>
      </c>
    </row>
    <row r="592" spans="1:35" s="8" customFormat="1" ht="21.95" customHeight="1">
      <c r="A592" s="9">
        <v>590</v>
      </c>
      <c r="B592" s="17">
        <v>590</v>
      </c>
      <c r="C592" s="6">
        <v>30</v>
      </c>
      <c r="D592" s="6">
        <v>0</v>
      </c>
      <c r="E592" s="5">
        <v>100</v>
      </c>
      <c r="F592" s="5">
        <v>100</v>
      </c>
      <c r="G592" s="5">
        <v>100</v>
      </c>
      <c r="H592" s="5">
        <v>0</v>
      </c>
      <c r="I592" s="5">
        <v>100</v>
      </c>
      <c r="J592" s="5">
        <v>100</v>
      </c>
      <c r="K592" s="15" t="s">
        <v>52</v>
      </c>
      <c r="L592" s="6">
        <v>3</v>
      </c>
      <c r="M592" s="6">
        <v>6</v>
      </c>
      <c r="N592" s="6">
        <v>0</v>
      </c>
      <c r="O592" s="5">
        <v>0</v>
      </c>
      <c r="P592" s="5">
        <v>0</v>
      </c>
      <c r="Q592" s="5">
        <v>0</v>
      </c>
      <c r="R592" s="5">
        <v>0</v>
      </c>
      <c r="S592" s="5">
        <v>0</v>
      </c>
      <c r="T592" s="5">
        <v>0</v>
      </c>
      <c r="U592" s="6">
        <v>0</v>
      </c>
      <c r="V592" s="5">
        <v>10</v>
      </c>
      <c r="W592" s="5">
        <v>5</v>
      </c>
      <c r="X592" s="16">
        <v>2000</v>
      </c>
      <c r="Y592" s="16">
        <v>7000</v>
      </c>
      <c r="Z592" s="16">
        <v>14000</v>
      </c>
      <c r="AA592" s="12" t="str">
        <f t="shared" si="109"/>
        <v>0/30</v>
      </c>
      <c r="AB592" s="12" t="str">
        <f t="shared" si="110"/>
        <v>100,100,100,0,100,100</v>
      </c>
      <c r="AC592" s="12">
        <f t="shared" si="111"/>
        <v>1</v>
      </c>
      <c r="AD592" s="12" t="str">
        <f t="shared" si="112"/>
        <v>2000/7000/14000</v>
      </c>
      <c r="AE592" s="12" t="str">
        <f t="shared" si="113"/>
        <v>0/</v>
      </c>
      <c r="AF592" s="12" t="str">
        <f t="shared" si="114"/>
        <v>6/</v>
      </c>
      <c r="AG592" s="12" t="str">
        <f t="shared" si="115"/>
        <v/>
      </c>
      <c r="AH592" s="12" t="str">
        <f t="shared" si="116"/>
        <v/>
      </c>
      <c r="AI592" s="12" t="str">
        <f t="shared" si="117"/>
        <v>10/5</v>
      </c>
    </row>
    <row r="593" spans="1:35" s="8" customFormat="1" ht="21.95" customHeight="1">
      <c r="A593" s="9">
        <v>591</v>
      </c>
      <c r="B593" s="17">
        <v>591</v>
      </c>
      <c r="C593" s="6">
        <v>30</v>
      </c>
      <c r="D593" s="6">
        <v>0</v>
      </c>
      <c r="E593" s="5">
        <v>100</v>
      </c>
      <c r="F593" s="5">
        <v>100</v>
      </c>
      <c r="G593" s="5">
        <v>100</v>
      </c>
      <c r="H593" s="5">
        <v>100</v>
      </c>
      <c r="I593" s="5">
        <v>0</v>
      </c>
      <c r="J593" s="5">
        <v>100</v>
      </c>
      <c r="K593" s="15" t="s">
        <v>52</v>
      </c>
      <c r="L593" s="6">
        <v>3</v>
      </c>
      <c r="M593" s="6">
        <v>2</v>
      </c>
      <c r="N593" s="6">
        <v>4</v>
      </c>
      <c r="O593" s="5">
        <v>0</v>
      </c>
      <c r="P593" s="5">
        <v>0</v>
      </c>
      <c r="Q593" s="5">
        <v>0</v>
      </c>
      <c r="R593" s="5">
        <v>0</v>
      </c>
      <c r="S593" s="5">
        <v>0</v>
      </c>
      <c r="T593" s="5">
        <v>0</v>
      </c>
      <c r="U593" s="6">
        <v>0</v>
      </c>
      <c r="V593" s="5">
        <v>10</v>
      </c>
      <c r="W593" s="5">
        <v>5</v>
      </c>
      <c r="X593" s="16">
        <v>2000</v>
      </c>
      <c r="Y593" s="16">
        <v>7000</v>
      </c>
      <c r="Z593" s="16">
        <v>14000</v>
      </c>
      <c r="AA593" s="12" t="str">
        <f t="shared" si="109"/>
        <v>0/30</v>
      </c>
      <c r="AB593" s="12" t="str">
        <f t="shared" si="110"/>
        <v>100,100,100,100,0,100</v>
      </c>
      <c r="AC593" s="12">
        <f t="shared" si="111"/>
        <v>1</v>
      </c>
      <c r="AD593" s="12" t="str">
        <f t="shared" si="112"/>
        <v>2000/7000/14000</v>
      </c>
      <c r="AE593" s="12" t="str">
        <f t="shared" si="113"/>
        <v>0/1/</v>
      </c>
      <c r="AF593" s="12" t="str">
        <f t="shared" si="114"/>
        <v>2/4/</v>
      </c>
      <c r="AG593" s="12" t="str">
        <f t="shared" si="115"/>
        <v/>
      </c>
      <c r="AH593" s="12" t="str">
        <f t="shared" si="116"/>
        <v/>
      </c>
      <c r="AI593" s="12" t="str">
        <f t="shared" si="117"/>
        <v>10/5</v>
      </c>
    </row>
    <row r="594" spans="1:35" s="8" customFormat="1" ht="21.95" customHeight="1">
      <c r="A594" s="9">
        <v>592</v>
      </c>
      <c r="B594" s="17">
        <v>592</v>
      </c>
      <c r="C594" s="6">
        <v>0</v>
      </c>
      <c r="D594" s="6">
        <v>60</v>
      </c>
      <c r="E594" s="5">
        <v>100</v>
      </c>
      <c r="F594" s="5">
        <v>100</v>
      </c>
      <c r="G594" s="5">
        <v>100</v>
      </c>
      <c r="H594" s="5">
        <v>100</v>
      </c>
      <c r="I594" s="5">
        <v>100</v>
      </c>
      <c r="J594" s="5">
        <v>0</v>
      </c>
      <c r="K594" s="15" t="s">
        <v>54</v>
      </c>
      <c r="L594" s="6">
        <v>3</v>
      </c>
      <c r="M594" s="6">
        <v>0</v>
      </c>
      <c r="N594" s="6">
        <v>0</v>
      </c>
      <c r="O594" s="5">
        <v>0</v>
      </c>
      <c r="P594" s="5">
        <v>0</v>
      </c>
      <c r="Q594" s="5">
        <v>0</v>
      </c>
      <c r="R594" s="5">
        <v>0</v>
      </c>
      <c r="S594" s="5">
        <v>0</v>
      </c>
      <c r="T594" s="5">
        <v>0</v>
      </c>
      <c r="U594" s="6">
        <v>0</v>
      </c>
      <c r="V594" s="5">
        <v>10</v>
      </c>
      <c r="W594" s="5">
        <v>5</v>
      </c>
      <c r="X594" s="16">
        <v>2000</v>
      </c>
      <c r="Y594" s="16">
        <v>7000</v>
      </c>
      <c r="Z594" s="16">
        <v>14000</v>
      </c>
      <c r="AA594" s="12" t="str">
        <f t="shared" si="109"/>
        <v>1/60</v>
      </c>
      <c r="AB594" s="12" t="str">
        <f t="shared" si="110"/>
        <v>100,100,100,100,100,0</v>
      </c>
      <c r="AC594" s="12">
        <f t="shared" si="111"/>
        <v>3</v>
      </c>
      <c r="AD594" s="12" t="str">
        <f t="shared" si="112"/>
        <v>2000/7000/14000</v>
      </c>
      <c r="AE594" s="12" t="str">
        <f t="shared" si="113"/>
        <v/>
      </c>
      <c r="AF594" s="12" t="str">
        <f t="shared" si="114"/>
        <v/>
      </c>
      <c r="AG594" s="12" t="str">
        <f t="shared" si="115"/>
        <v/>
      </c>
      <c r="AH594" s="12" t="str">
        <f t="shared" si="116"/>
        <v/>
      </c>
      <c r="AI594" s="12" t="str">
        <f t="shared" si="117"/>
        <v>10/5</v>
      </c>
    </row>
    <row r="595" spans="1:35" s="8" customFormat="1" ht="21.95" customHeight="1">
      <c r="A595" s="9">
        <v>593</v>
      </c>
      <c r="B595" s="17">
        <v>593</v>
      </c>
      <c r="C595" s="6">
        <v>0</v>
      </c>
      <c r="D595" s="6">
        <v>60</v>
      </c>
      <c r="E595" s="5">
        <v>0</v>
      </c>
      <c r="F595" s="5">
        <v>100</v>
      </c>
      <c r="G595" s="5">
        <v>100</v>
      </c>
      <c r="H595" s="5">
        <v>100</v>
      </c>
      <c r="I595" s="5">
        <v>100</v>
      </c>
      <c r="J595" s="5">
        <v>100</v>
      </c>
      <c r="K595" s="15" t="s">
        <v>54</v>
      </c>
      <c r="L595" s="6">
        <v>3</v>
      </c>
      <c r="M595" s="6">
        <v>0</v>
      </c>
      <c r="N595" s="6">
        <v>0</v>
      </c>
      <c r="O595" s="5">
        <v>0</v>
      </c>
      <c r="P595" s="5">
        <v>0</v>
      </c>
      <c r="Q595" s="5">
        <v>0</v>
      </c>
      <c r="R595" s="5">
        <v>0</v>
      </c>
      <c r="S595" s="5">
        <v>0</v>
      </c>
      <c r="T595" s="5">
        <v>0</v>
      </c>
      <c r="U595" s="6">
        <v>0</v>
      </c>
      <c r="V595" s="5">
        <v>10</v>
      </c>
      <c r="W595" s="5">
        <v>5</v>
      </c>
      <c r="X595" s="16">
        <v>2000</v>
      </c>
      <c r="Y595" s="16">
        <v>7000</v>
      </c>
      <c r="Z595" s="16">
        <v>14000</v>
      </c>
      <c r="AA595" s="12" t="str">
        <f t="shared" si="109"/>
        <v>1/60</v>
      </c>
      <c r="AB595" s="12" t="str">
        <f t="shared" si="110"/>
        <v>0,100,100,100,100,100</v>
      </c>
      <c r="AC595" s="12">
        <f t="shared" si="111"/>
        <v>3</v>
      </c>
      <c r="AD595" s="12" t="str">
        <f t="shared" si="112"/>
        <v>2000/7000/14000</v>
      </c>
      <c r="AE595" s="12" t="str">
        <f t="shared" si="113"/>
        <v/>
      </c>
      <c r="AF595" s="12" t="str">
        <f t="shared" si="114"/>
        <v/>
      </c>
      <c r="AG595" s="12" t="str">
        <f t="shared" si="115"/>
        <v/>
      </c>
      <c r="AH595" s="12" t="str">
        <f t="shared" si="116"/>
        <v/>
      </c>
      <c r="AI595" s="12" t="str">
        <f t="shared" si="117"/>
        <v>10/5</v>
      </c>
    </row>
    <row r="596" spans="1:35" s="8" customFormat="1" ht="21.95" customHeight="1">
      <c r="A596" s="9">
        <v>594</v>
      </c>
      <c r="B596" s="17">
        <v>594</v>
      </c>
      <c r="C596" s="6">
        <v>30</v>
      </c>
      <c r="D596" s="6">
        <v>0</v>
      </c>
      <c r="E596" s="5">
        <v>100</v>
      </c>
      <c r="F596" s="5">
        <v>0</v>
      </c>
      <c r="G596" s="5">
        <v>100</v>
      </c>
      <c r="H596" s="5">
        <v>100</v>
      </c>
      <c r="I596" s="5">
        <v>100</v>
      </c>
      <c r="J596" s="5">
        <v>100</v>
      </c>
      <c r="K596" s="15" t="s">
        <v>55</v>
      </c>
      <c r="L596" s="6">
        <v>3</v>
      </c>
      <c r="M596" s="6">
        <v>0</v>
      </c>
      <c r="N596" s="6">
        <v>0</v>
      </c>
      <c r="O596" s="5">
        <v>0</v>
      </c>
      <c r="P596" s="5">
        <v>0</v>
      </c>
      <c r="Q596" s="5">
        <v>0</v>
      </c>
      <c r="R596" s="5">
        <v>0</v>
      </c>
      <c r="S596" s="5">
        <v>0</v>
      </c>
      <c r="T596" s="5">
        <v>0</v>
      </c>
      <c r="U596" s="6">
        <v>5</v>
      </c>
      <c r="V596" s="5">
        <v>10</v>
      </c>
      <c r="W596" s="5">
        <v>5</v>
      </c>
      <c r="X596" s="16">
        <v>2000</v>
      </c>
      <c r="Y596" s="16">
        <v>7000</v>
      </c>
      <c r="Z596" s="16">
        <v>14000</v>
      </c>
      <c r="AA596" s="12" t="str">
        <f t="shared" si="109"/>
        <v>0/30</v>
      </c>
      <c r="AB596" s="12" t="str">
        <f t="shared" si="110"/>
        <v>100,0,100,100,100,100</v>
      </c>
      <c r="AC596" s="12">
        <f t="shared" si="111"/>
        <v>4</v>
      </c>
      <c r="AD596" s="12" t="str">
        <f t="shared" si="112"/>
        <v>2000/7000/14000</v>
      </c>
      <c r="AE596" s="12" t="str">
        <f t="shared" si="113"/>
        <v/>
      </c>
      <c r="AF596" s="12" t="str">
        <f t="shared" si="114"/>
        <v/>
      </c>
      <c r="AG596" s="12" t="str">
        <f t="shared" si="115"/>
        <v/>
      </c>
      <c r="AH596" s="12" t="str">
        <f t="shared" si="116"/>
        <v/>
      </c>
      <c r="AI596" s="12" t="str">
        <f t="shared" si="117"/>
        <v>10/5</v>
      </c>
    </row>
    <row r="597" spans="1:35" s="8" customFormat="1" ht="21.95" customHeight="1">
      <c r="A597" s="9">
        <v>595</v>
      </c>
      <c r="B597" s="17">
        <v>595</v>
      </c>
      <c r="C597" s="6">
        <v>30</v>
      </c>
      <c r="D597" s="6">
        <v>0</v>
      </c>
      <c r="E597" s="5">
        <v>100</v>
      </c>
      <c r="F597" s="5">
        <v>100</v>
      </c>
      <c r="G597" s="5">
        <v>0</v>
      </c>
      <c r="H597" s="5">
        <v>100</v>
      </c>
      <c r="I597" s="5">
        <v>100</v>
      </c>
      <c r="J597" s="5">
        <v>100</v>
      </c>
      <c r="K597" s="15" t="s">
        <v>55</v>
      </c>
      <c r="L597" s="6">
        <v>3</v>
      </c>
      <c r="M597" s="6">
        <v>0</v>
      </c>
      <c r="N597" s="6">
        <v>0</v>
      </c>
      <c r="O597" s="5">
        <v>0</v>
      </c>
      <c r="P597" s="5">
        <v>0</v>
      </c>
      <c r="Q597" s="5">
        <v>0</v>
      </c>
      <c r="R597" s="5">
        <v>0</v>
      </c>
      <c r="S597" s="5">
        <v>0</v>
      </c>
      <c r="T597" s="5">
        <v>0</v>
      </c>
      <c r="U597" s="6">
        <v>5</v>
      </c>
      <c r="V597" s="5">
        <v>10</v>
      </c>
      <c r="W597" s="5">
        <v>5</v>
      </c>
      <c r="X597" s="16">
        <v>2000</v>
      </c>
      <c r="Y597" s="16">
        <v>7000</v>
      </c>
      <c r="Z597" s="16">
        <v>14000</v>
      </c>
      <c r="AA597" s="12" t="str">
        <f t="shared" si="109"/>
        <v>0/30</v>
      </c>
      <c r="AB597" s="12" t="str">
        <f t="shared" si="110"/>
        <v>100,100,0,100,100,100</v>
      </c>
      <c r="AC597" s="12">
        <f t="shared" si="111"/>
        <v>4</v>
      </c>
      <c r="AD597" s="12" t="str">
        <f t="shared" si="112"/>
        <v>2000/7000/14000</v>
      </c>
      <c r="AE597" s="12" t="str">
        <f t="shared" si="113"/>
        <v/>
      </c>
      <c r="AF597" s="12" t="str">
        <f t="shared" si="114"/>
        <v/>
      </c>
      <c r="AG597" s="12" t="str">
        <f t="shared" si="115"/>
        <v/>
      </c>
      <c r="AH597" s="12" t="str">
        <f t="shared" si="116"/>
        <v/>
      </c>
      <c r="AI597" s="12" t="str">
        <f t="shared" si="117"/>
        <v>10/5</v>
      </c>
    </row>
    <row r="598" spans="1:35" s="8" customFormat="1" ht="21.95" customHeight="1">
      <c r="A598" s="9">
        <v>596</v>
      </c>
      <c r="B598" s="17">
        <v>596</v>
      </c>
      <c r="C598" s="6">
        <v>32</v>
      </c>
      <c r="D598" s="6">
        <v>0</v>
      </c>
      <c r="E598" s="5">
        <v>100</v>
      </c>
      <c r="F598" s="5">
        <v>100</v>
      </c>
      <c r="G598" s="5">
        <v>100</v>
      </c>
      <c r="H598" s="5">
        <v>0</v>
      </c>
      <c r="I598" s="5">
        <v>100</v>
      </c>
      <c r="J598" s="5">
        <v>100</v>
      </c>
      <c r="K598" s="15" t="s">
        <v>51</v>
      </c>
      <c r="L598" s="6">
        <v>3</v>
      </c>
      <c r="M598" s="6">
        <v>0</v>
      </c>
      <c r="N598" s="6">
        <v>0</v>
      </c>
      <c r="O598" s="5">
        <v>0</v>
      </c>
      <c r="P598" s="5">
        <v>0</v>
      </c>
      <c r="Q598" s="5">
        <v>0</v>
      </c>
      <c r="R598" s="5">
        <v>0</v>
      </c>
      <c r="S598" s="5">
        <v>0</v>
      </c>
      <c r="T598" s="5">
        <v>0</v>
      </c>
      <c r="U598" s="6">
        <v>0</v>
      </c>
      <c r="V598" s="5">
        <v>10</v>
      </c>
      <c r="W598" s="5">
        <v>5</v>
      </c>
      <c r="X598" s="16">
        <v>2000</v>
      </c>
      <c r="Y598" s="16">
        <v>7000</v>
      </c>
      <c r="Z598" s="16">
        <v>14000</v>
      </c>
      <c r="AA598" s="12" t="str">
        <f t="shared" si="109"/>
        <v>0/32</v>
      </c>
      <c r="AB598" s="12" t="str">
        <f t="shared" si="110"/>
        <v>100,100,100,0,100,100</v>
      </c>
      <c r="AC598" s="12">
        <f t="shared" si="111"/>
        <v>0</v>
      </c>
      <c r="AD598" s="12" t="str">
        <f t="shared" si="112"/>
        <v>2000/7000/14000</v>
      </c>
      <c r="AE598" s="12" t="str">
        <f t="shared" si="113"/>
        <v/>
      </c>
      <c r="AF598" s="12" t="str">
        <f t="shared" si="114"/>
        <v/>
      </c>
      <c r="AG598" s="12" t="str">
        <f t="shared" si="115"/>
        <v/>
      </c>
      <c r="AH598" s="12" t="str">
        <f t="shared" si="116"/>
        <v/>
      </c>
      <c r="AI598" s="12" t="str">
        <f t="shared" si="117"/>
        <v>10/5</v>
      </c>
    </row>
    <row r="599" spans="1:35" s="8" customFormat="1" ht="21.95" customHeight="1">
      <c r="A599" s="9">
        <v>597</v>
      </c>
      <c r="B599" s="17">
        <v>597</v>
      </c>
      <c r="C599" s="6">
        <v>30</v>
      </c>
      <c r="D599" s="6">
        <v>0</v>
      </c>
      <c r="E599" s="5">
        <v>100</v>
      </c>
      <c r="F599" s="5">
        <v>100</v>
      </c>
      <c r="G599" s="5">
        <v>100</v>
      </c>
      <c r="H599" s="5">
        <v>100</v>
      </c>
      <c r="I599" s="5">
        <v>0</v>
      </c>
      <c r="J599" s="5">
        <v>100</v>
      </c>
      <c r="K599" s="15" t="s">
        <v>53</v>
      </c>
      <c r="L599" s="6">
        <v>3</v>
      </c>
      <c r="M599" s="6">
        <v>0</v>
      </c>
      <c r="N599" s="6">
        <v>0</v>
      </c>
      <c r="O599" s="5">
        <v>16</v>
      </c>
      <c r="P599" s="5">
        <v>0</v>
      </c>
      <c r="Q599" s="5">
        <v>0</v>
      </c>
      <c r="R599" s="5">
        <v>0</v>
      </c>
      <c r="S599" s="5">
        <v>0</v>
      </c>
      <c r="T599" s="5">
        <v>18</v>
      </c>
      <c r="U599" s="6">
        <v>0</v>
      </c>
      <c r="V599" s="5">
        <v>10</v>
      </c>
      <c r="W599" s="5">
        <v>5</v>
      </c>
      <c r="X599" s="16">
        <v>2000</v>
      </c>
      <c r="Y599" s="16">
        <v>7000</v>
      </c>
      <c r="Z599" s="16">
        <v>14000</v>
      </c>
      <c r="AA599" s="12" t="str">
        <f t="shared" si="109"/>
        <v>0/30</v>
      </c>
      <c r="AB599" s="12" t="str">
        <f t="shared" si="110"/>
        <v>100,100,100,100,0,100</v>
      </c>
      <c r="AC599" s="12">
        <f t="shared" si="111"/>
        <v>2</v>
      </c>
      <c r="AD599" s="12" t="str">
        <f t="shared" si="112"/>
        <v>2000/7000/14000</v>
      </c>
      <c r="AE599" s="12" t="str">
        <f t="shared" si="113"/>
        <v/>
      </c>
      <c r="AF599" s="12" t="str">
        <f t="shared" si="114"/>
        <v/>
      </c>
      <c r="AG599" s="12" t="str">
        <f t="shared" si="115"/>
        <v>0/5/</v>
      </c>
      <c r="AH599" s="12" t="str">
        <f t="shared" si="116"/>
        <v>16/18/</v>
      </c>
      <c r="AI599" s="12" t="str">
        <f t="shared" si="117"/>
        <v>10/5</v>
      </c>
    </row>
    <row r="600" spans="1:35" s="8" customFormat="1" ht="21.95" customHeight="1">
      <c r="A600" s="9">
        <v>598</v>
      </c>
      <c r="B600" s="17">
        <v>598</v>
      </c>
      <c r="C600" s="6">
        <v>30</v>
      </c>
      <c r="D600" s="6">
        <v>0</v>
      </c>
      <c r="E600" s="5">
        <v>100</v>
      </c>
      <c r="F600" s="5">
        <v>100</v>
      </c>
      <c r="G600" s="5">
        <v>100</v>
      </c>
      <c r="H600" s="5">
        <v>100</v>
      </c>
      <c r="I600" s="5">
        <v>100</v>
      </c>
      <c r="J600" s="5">
        <v>0</v>
      </c>
      <c r="K600" s="15" t="s">
        <v>52</v>
      </c>
      <c r="L600" s="6">
        <v>3</v>
      </c>
      <c r="M600" s="6">
        <v>6</v>
      </c>
      <c r="N600" s="6">
        <v>0</v>
      </c>
      <c r="O600" s="5">
        <v>0</v>
      </c>
      <c r="P600" s="5">
        <v>0</v>
      </c>
      <c r="Q600" s="5">
        <v>0</v>
      </c>
      <c r="R600" s="5">
        <v>0</v>
      </c>
      <c r="S600" s="5">
        <v>0</v>
      </c>
      <c r="T600" s="5">
        <v>0</v>
      </c>
      <c r="U600" s="6">
        <v>0</v>
      </c>
      <c r="V600" s="5">
        <v>10</v>
      </c>
      <c r="W600" s="5">
        <v>5</v>
      </c>
      <c r="X600" s="16">
        <v>2000</v>
      </c>
      <c r="Y600" s="16">
        <v>7000</v>
      </c>
      <c r="Z600" s="16">
        <v>14000</v>
      </c>
      <c r="AA600" s="12" t="str">
        <f t="shared" si="109"/>
        <v>0/30</v>
      </c>
      <c r="AB600" s="12" t="str">
        <f t="shared" si="110"/>
        <v>100,100,100,100,100,0</v>
      </c>
      <c r="AC600" s="12">
        <f t="shared" si="111"/>
        <v>1</v>
      </c>
      <c r="AD600" s="12" t="str">
        <f t="shared" si="112"/>
        <v>2000/7000/14000</v>
      </c>
      <c r="AE600" s="12" t="str">
        <f t="shared" si="113"/>
        <v>0/</v>
      </c>
      <c r="AF600" s="12" t="str">
        <f t="shared" si="114"/>
        <v>6/</v>
      </c>
      <c r="AG600" s="12" t="str">
        <f t="shared" si="115"/>
        <v/>
      </c>
      <c r="AH600" s="12" t="str">
        <f t="shared" si="116"/>
        <v/>
      </c>
      <c r="AI600" s="12" t="str">
        <f t="shared" si="117"/>
        <v>10/5</v>
      </c>
    </row>
    <row r="601" spans="1:35" s="8" customFormat="1" ht="21.95" customHeight="1">
      <c r="A601" s="9">
        <v>599</v>
      </c>
      <c r="B601" s="17">
        <v>599</v>
      </c>
      <c r="C601" s="6">
        <v>30</v>
      </c>
      <c r="D601" s="6">
        <v>0</v>
      </c>
      <c r="E601" s="5">
        <v>0</v>
      </c>
      <c r="F601" s="5">
        <v>100</v>
      </c>
      <c r="G601" s="5">
        <v>100</v>
      </c>
      <c r="H601" s="5">
        <v>100</v>
      </c>
      <c r="I601" s="5">
        <v>100</v>
      </c>
      <c r="J601" s="5">
        <v>100</v>
      </c>
      <c r="K601" s="15" t="s">
        <v>52</v>
      </c>
      <c r="L601" s="6">
        <v>3</v>
      </c>
      <c r="M601" s="6">
        <v>0</v>
      </c>
      <c r="N601" s="6">
        <v>6</v>
      </c>
      <c r="O601" s="5">
        <v>0</v>
      </c>
      <c r="P601" s="5">
        <v>0</v>
      </c>
      <c r="Q601" s="5">
        <v>0</v>
      </c>
      <c r="R601" s="5">
        <v>0</v>
      </c>
      <c r="S601" s="5">
        <v>0</v>
      </c>
      <c r="T601" s="5">
        <v>0</v>
      </c>
      <c r="U601" s="6">
        <v>0</v>
      </c>
      <c r="V601" s="5">
        <v>10</v>
      </c>
      <c r="W601" s="5">
        <v>5</v>
      </c>
      <c r="X601" s="16">
        <v>2000</v>
      </c>
      <c r="Y601" s="16">
        <v>7000</v>
      </c>
      <c r="Z601" s="16">
        <v>14000</v>
      </c>
      <c r="AA601" s="12" t="str">
        <f t="shared" si="109"/>
        <v>0/30</v>
      </c>
      <c r="AB601" s="12" t="str">
        <f t="shared" si="110"/>
        <v>0,100,100,100,100,100</v>
      </c>
      <c r="AC601" s="12">
        <f t="shared" si="111"/>
        <v>1</v>
      </c>
      <c r="AD601" s="12" t="str">
        <f t="shared" si="112"/>
        <v>2000/7000/14000</v>
      </c>
      <c r="AE601" s="12" t="str">
        <f t="shared" si="113"/>
        <v>1/</v>
      </c>
      <c r="AF601" s="12" t="str">
        <f t="shared" si="114"/>
        <v>6/</v>
      </c>
      <c r="AG601" s="12" t="str">
        <f t="shared" si="115"/>
        <v/>
      </c>
      <c r="AH601" s="12" t="str">
        <f t="shared" si="116"/>
        <v/>
      </c>
      <c r="AI601" s="12" t="str">
        <f t="shared" si="117"/>
        <v>10/5</v>
      </c>
    </row>
    <row r="602" spans="1:35" s="8" customFormat="1" ht="21.95" customHeight="1">
      <c r="A602" s="9">
        <v>600</v>
      </c>
      <c r="B602" s="17">
        <v>600</v>
      </c>
      <c r="C602" s="6">
        <v>0</v>
      </c>
      <c r="D602" s="6">
        <v>60</v>
      </c>
      <c r="E602" s="5">
        <v>100</v>
      </c>
      <c r="F602" s="5">
        <v>0</v>
      </c>
      <c r="G602" s="5">
        <v>100</v>
      </c>
      <c r="H602" s="5">
        <v>100</v>
      </c>
      <c r="I602" s="5">
        <v>100</v>
      </c>
      <c r="J602" s="5">
        <v>100</v>
      </c>
      <c r="K602" s="15" t="s">
        <v>54</v>
      </c>
      <c r="L602" s="6">
        <v>3</v>
      </c>
      <c r="M602" s="6">
        <v>0</v>
      </c>
      <c r="N602" s="6">
        <v>0</v>
      </c>
      <c r="O602" s="5">
        <v>0</v>
      </c>
      <c r="P602" s="5">
        <v>0</v>
      </c>
      <c r="Q602" s="5">
        <v>0</v>
      </c>
      <c r="R602" s="5">
        <v>0</v>
      </c>
      <c r="S602" s="5">
        <v>0</v>
      </c>
      <c r="T602" s="5">
        <v>0</v>
      </c>
      <c r="U602" s="6">
        <v>0</v>
      </c>
      <c r="V602" s="5">
        <v>10</v>
      </c>
      <c r="W602" s="5">
        <v>5</v>
      </c>
      <c r="X602" s="16">
        <v>2000</v>
      </c>
      <c r="Y602" s="16">
        <v>7000</v>
      </c>
      <c r="Z602" s="16">
        <v>14000</v>
      </c>
      <c r="AA602" s="12" t="str">
        <f t="shared" si="109"/>
        <v>1/60</v>
      </c>
      <c r="AB602" s="12" t="str">
        <f t="shared" si="110"/>
        <v>100,0,100,100,100,100</v>
      </c>
      <c r="AC602" s="12">
        <f t="shared" si="111"/>
        <v>3</v>
      </c>
      <c r="AD602" s="12" t="str">
        <f t="shared" si="112"/>
        <v>2000/7000/14000</v>
      </c>
      <c r="AE602" s="12" t="str">
        <f t="shared" si="113"/>
        <v/>
      </c>
      <c r="AF602" s="12" t="str">
        <f t="shared" si="114"/>
        <v/>
      </c>
      <c r="AG602" s="12" t="str">
        <f t="shared" si="115"/>
        <v/>
      </c>
      <c r="AH602" s="12" t="str">
        <f t="shared" si="116"/>
        <v/>
      </c>
      <c r="AI602" s="12" t="str">
        <f t="shared" si="117"/>
        <v>10/5</v>
      </c>
    </row>
    <row r="603" spans="1:35" s="8" customFormat="1" ht="21.95" customHeight="1">
      <c r="A603" s="9">
        <v>601</v>
      </c>
      <c r="B603" s="17">
        <v>601</v>
      </c>
      <c r="C603" s="6">
        <v>0</v>
      </c>
      <c r="D603" s="6">
        <v>60</v>
      </c>
      <c r="E603" s="5">
        <v>100</v>
      </c>
      <c r="F603" s="5">
        <v>100</v>
      </c>
      <c r="G603" s="5">
        <v>0</v>
      </c>
      <c r="H603" s="5">
        <v>100</v>
      </c>
      <c r="I603" s="5">
        <v>100</v>
      </c>
      <c r="J603" s="5">
        <v>100</v>
      </c>
      <c r="K603" s="15" t="s">
        <v>54</v>
      </c>
      <c r="L603" s="6">
        <v>3</v>
      </c>
      <c r="M603" s="6">
        <v>0</v>
      </c>
      <c r="N603" s="6">
        <v>0</v>
      </c>
      <c r="O603" s="5">
        <v>0</v>
      </c>
      <c r="P603" s="5">
        <v>0</v>
      </c>
      <c r="Q603" s="5">
        <v>0</v>
      </c>
      <c r="R603" s="5">
        <v>0</v>
      </c>
      <c r="S603" s="5">
        <v>0</v>
      </c>
      <c r="T603" s="5">
        <v>0</v>
      </c>
      <c r="U603" s="6">
        <v>0</v>
      </c>
      <c r="V603" s="5">
        <v>10</v>
      </c>
      <c r="W603" s="5">
        <v>5</v>
      </c>
      <c r="X603" s="16">
        <v>2000</v>
      </c>
      <c r="Y603" s="16">
        <v>7000</v>
      </c>
      <c r="Z603" s="16">
        <v>14000</v>
      </c>
      <c r="AA603" s="12" t="str">
        <f t="shared" si="109"/>
        <v>1/60</v>
      </c>
      <c r="AB603" s="12" t="str">
        <f t="shared" si="110"/>
        <v>100,100,0,100,100,100</v>
      </c>
      <c r="AC603" s="12">
        <f t="shared" si="111"/>
        <v>3</v>
      </c>
      <c r="AD603" s="12" t="str">
        <f t="shared" si="112"/>
        <v>2000/7000/14000</v>
      </c>
      <c r="AE603" s="12" t="str">
        <f t="shared" si="113"/>
        <v/>
      </c>
      <c r="AF603" s="12" t="str">
        <f t="shared" si="114"/>
        <v/>
      </c>
      <c r="AG603" s="12" t="str">
        <f t="shared" si="115"/>
        <v/>
      </c>
      <c r="AH603" s="12" t="str">
        <f t="shared" si="116"/>
        <v/>
      </c>
      <c r="AI603" s="12" t="str">
        <f t="shared" si="117"/>
        <v>10/5</v>
      </c>
    </row>
    <row r="604" spans="1:35" s="8" customFormat="1" ht="21.95" customHeight="1">
      <c r="A604" s="9">
        <v>602</v>
      </c>
      <c r="B604" s="17">
        <v>602</v>
      </c>
      <c r="C604" s="6">
        <v>30</v>
      </c>
      <c r="D604" s="6">
        <v>0</v>
      </c>
      <c r="E604" s="5">
        <v>100</v>
      </c>
      <c r="F604" s="5">
        <v>100</v>
      </c>
      <c r="G604" s="5">
        <v>100</v>
      </c>
      <c r="H604" s="5">
        <v>0</v>
      </c>
      <c r="I604" s="5">
        <v>100</v>
      </c>
      <c r="J604" s="5">
        <v>100</v>
      </c>
      <c r="K604" s="15" t="s">
        <v>55</v>
      </c>
      <c r="L604" s="6">
        <v>3</v>
      </c>
      <c r="M604" s="6">
        <v>0</v>
      </c>
      <c r="N604" s="6">
        <v>0</v>
      </c>
      <c r="O604" s="5">
        <v>0</v>
      </c>
      <c r="P604" s="5">
        <v>0</v>
      </c>
      <c r="Q604" s="5">
        <v>0</v>
      </c>
      <c r="R604" s="5">
        <v>0</v>
      </c>
      <c r="S604" s="5">
        <v>0</v>
      </c>
      <c r="T604" s="5">
        <v>0</v>
      </c>
      <c r="U604" s="6">
        <v>5</v>
      </c>
      <c r="V604" s="5">
        <v>10</v>
      </c>
      <c r="W604" s="5">
        <v>5</v>
      </c>
      <c r="X604" s="16">
        <v>2000</v>
      </c>
      <c r="Y604" s="16">
        <v>7000</v>
      </c>
      <c r="Z604" s="16">
        <v>14000</v>
      </c>
      <c r="AA604" s="12" t="str">
        <f t="shared" si="109"/>
        <v>0/30</v>
      </c>
      <c r="AB604" s="12" t="str">
        <f t="shared" si="110"/>
        <v>100,100,100,0,100,100</v>
      </c>
      <c r="AC604" s="12">
        <f t="shared" si="111"/>
        <v>4</v>
      </c>
      <c r="AD604" s="12" t="str">
        <f t="shared" si="112"/>
        <v>2000/7000/14000</v>
      </c>
      <c r="AE604" s="12" t="str">
        <f t="shared" si="113"/>
        <v/>
      </c>
      <c r="AF604" s="12" t="str">
        <f t="shared" si="114"/>
        <v/>
      </c>
      <c r="AG604" s="12" t="str">
        <f t="shared" si="115"/>
        <v/>
      </c>
      <c r="AH604" s="12" t="str">
        <f t="shared" si="116"/>
        <v/>
      </c>
      <c r="AI604" s="12" t="str">
        <f t="shared" si="117"/>
        <v>10/5</v>
      </c>
    </row>
    <row r="605" spans="1:35" s="8" customFormat="1" ht="21.95" customHeight="1">
      <c r="A605" s="9">
        <v>603</v>
      </c>
      <c r="B605" s="17">
        <v>603</v>
      </c>
      <c r="C605" s="6">
        <v>30</v>
      </c>
      <c r="D605" s="6">
        <v>0</v>
      </c>
      <c r="E605" s="5">
        <v>100</v>
      </c>
      <c r="F605" s="5">
        <v>100</v>
      </c>
      <c r="G605" s="5">
        <v>100</v>
      </c>
      <c r="H605" s="5">
        <v>100</v>
      </c>
      <c r="I605" s="5">
        <v>0</v>
      </c>
      <c r="J605" s="5">
        <v>100</v>
      </c>
      <c r="K605" s="15" t="s">
        <v>55</v>
      </c>
      <c r="L605" s="6">
        <v>3</v>
      </c>
      <c r="M605" s="6">
        <v>0</v>
      </c>
      <c r="N605" s="6">
        <v>0</v>
      </c>
      <c r="O605" s="5">
        <v>0</v>
      </c>
      <c r="P605" s="5">
        <v>0</v>
      </c>
      <c r="Q605" s="5">
        <v>0</v>
      </c>
      <c r="R605" s="5">
        <v>0</v>
      </c>
      <c r="S605" s="5">
        <v>0</v>
      </c>
      <c r="T605" s="5">
        <v>0</v>
      </c>
      <c r="U605" s="6">
        <v>5</v>
      </c>
      <c r="V605" s="5">
        <v>10</v>
      </c>
      <c r="W605" s="5">
        <v>5</v>
      </c>
      <c r="X605" s="16">
        <v>2000</v>
      </c>
      <c r="Y605" s="16">
        <v>7000</v>
      </c>
      <c r="Z605" s="16">
        <v>14000</v>
      </c>
      <c r="AA605" s="12" t="str">
        <f t="shared" si="109"/>
        <v>0/30</v>
      </c>
      <c r="AB605" s="12" t="str">
        <f t="shared" si="110"/>
        <v>100,100,100,100,0,100</v>
      </c>
      <c r="AC605" s="12">
        <f t="shared" si="111"/>
        <v>4</v>
      </c>
      <c r="AD605" s="12" t="str">
        <f t="shared" si="112"/>
        <v>2000/7000/14000</v>
      </c>
      <c r="AE605" s="12" t="str">
        <f t="shared" si="113"/>
        <v/>
      </c>
      <c r="AF605" s="12" t="str">
        <f t="shared" si="114"/>
        <v/>
      </c>
      <c r="AG605" s="12" t="str">
        <f t="shared" si="115"/>
        <v/>
      </c>
      <c r="AH605" s="12" t="str">
        <f t="shared" si="116"/>
        <v/>
      </c>
      <c r="AI605" s="12" t="str">
        <f t="shared" si="117"/>
        <v>10/5</v>
      </c>
    </row>
    <row r="606" spans="1:35" s="8" customFormat="1" ht="21.95" customHeight="1">
      <c r="A606" s="9">
        <v>604</v>
      </c>
      <c r="B606" s="17">
        <v>604</v>
      </c>
      <c r="C606" s="6">
        <v>30</v>
      </c>
      <c r="D606" s="6">
        <v>0</v>
      </c>
      <c r="E606" s="5">
        <v>100</v>
      </c>
      <c r="F606" s="5">
        <v>100</v>
      </c>
      <c r="G606" s="5">
        <v>100</v>
      </c>
      <c r="H606" s="5">
        <v>100</v>
      </c>
      <c r="I606" s="5">
        <v>100</v>
      </c>
      <c r="J606" s="5">
        <v>0</v>
      </c>
      <c r="K606" s="15" t="s">
        <v>56</v>
      </c>
      <c r="L606" s="6">
        <v>3</v>
      </c>
      <c r="M606" s="6">
        <v>0</v>
      </c>
      <c r="N606" s="6">
        <v>0</v>
      </c>
      <c r="O606" s="5">
        <v>0</v>
      </c>
      <c r="P606" s="5">
        <v>0</v>
      </c>
      <c r="Q606" s="5">
        <v>0</v>
      </c>
      <c r="R606" s="5">
        <v>0</v>
      </c>
      <c r="S606" s="5">
        <v>0</v>
      </c>
      <c r="T606" s="5">
        <v>0</v>
      </c>
      <c r="U606" s="6">
        <v>0</v>
      </c>
      <c r="V606" s="5">
        <v>10</v>
      </c>
      <c r="W606" s="5">
        <v>5</v>
      </c>
      <c r="X606" s="16">
        <v>2000</v>
      </c>
      <c r="Y606" s="16">
        <v>7000</v>
      </c>
      <c r="Z606" s="16">
        <v>14000</v>
      </c>
      <c r="AA606" s="12" t="str">
        <f t="shared" si="109"/>
        <v>0/30</v>
      </c>
      <c r="AB606" s="12" t="str">
        <f t="shared" si="110"/>
        <v>100,100,100,100,100,0</v>
      </c>
      <c r="AC606" s="12">
        <f t="shared" si="111"/>
        <v>5</v>
      </c>
      <c r="AD606" s="12" t="str">
        <f t="shared" si="112"/>
        <v>2000/7000/14000</v>
      </c>
      <c r="AE606" s="12" t="str">
        <f t="shared" si="113"/>
        <v/>
      </c>
      <c r="AF606" s="12" t="str">
        <f t="shared" si="114"/>
        <v/>
      </c>
      <c r="AG606" s="12" t="str">
        <f t="shared" si="115"/>
        <v/>
      </c>
      <c r="AH606" s="12" t="str">
        <f t="shared" si="116"/>
        <v/>
      </c>
      <c r="AI606" s="12" t="str">
        <f t="shared" si="117"/>
        <v>10/5</v>
      </c>
    </row>
    <row r="607" spans="1:35" s="8" customFormat="1" ht="21.95" customHeight="1">
      <c r="A607" s="9">
        <v>605</v>
      </c>
      <c r="B607" s="17">
        <v>605</v>
      </c>
      <c r="C607" s="6">
        <v>0</v>
      </c>
      <c r="D607" s="6">
        <v>60</v>
      </c>
      <c r="E607" s="5">
        <v>0</v>
      </c>
      <c r="F607" s="5">
        <v>100</v>
      </c>
      <c r="G607" s="5">
        <v>100</v>
      </c>
      <c r="H607" s="5">
        <v>100</v>
      </c>
      <c r="I607" s="5">
        <v>100</v>
      </c>
      <c r="J607" s="5">
        <v>100</v>
      </c>
      <c r="K607" s="15" t="s">
        <v>56</v>
      </c>
      <c r="L607" s="6">
        <v>3</v>
      </c>
      <c r="M607" s="6">
        <v>0</v>
      </c>
      <c r="N607" s="6">
        <v>0</v>
      </c>
      <c r="O607" s="5">
        <v>0</v>
      </c>
      <c r="P607" s="5">
        <v>0</v>
      </c>
      <c r="Q607" s="5">
        <v>0</v>
      </c>
      <c r="R607" s="5">
        <v>0</v>
      </c>
      <c r="S607" s="5">
        <v>0</v>
      </c>
      <c r="T607" s="5">
        <v>0</v>
      </c>
      <c r="U607" s="6">
        <v>0</v>
      </c>
      <c r="V607" s="5">
        <v>10</v>
      </c>
      <c r="W607" s="5">
        <v>5</v>
      </c>
      <c r="X607" s="16">
        <v>2000</v>
      </c>
      <c r="Y607" s="16">
        <v>7000</v>
      </c>
      <c r="Z607" s="16">
        <v>14000</v>
      </c>
      <c r="AA607" s="12" t="str">
        <f t="shared" si="109"/>
        <v>1/60</v>
      </c>
      <c r="AB607" s="12" t="str">
        <f t="shared" si="110"/>
        <v>0,100,100,100,100,100</v>
      </c>
      <c r="AC607" s="12">
        <f t="shared" si="111"/>
        <v>5</v>
      </c>
      <c r="AD607" s="12" t="str">
        <f t="shared" si="112"/>
        <v>2000/7000/14000</v>
      </c>
      <c r="AE607" s="12" t="str">
        <f t="shared" si="113"/>
        <v/>
      </c>
      <c r="AF607" s="12" t="str">
        <f t="shared" si="114"/>
        <v/>
      </c>
      <c r="AG607" s="12" t="str">
        <f t="shared" si="115"/>
        <v/>
      </c>
      <c r="AH607" s="12" t="str">
        <f t="shared" si="116"/>
        <v/>
      </c>
      <c r="AI607" s="12" t="str">
        <f t="shared" si="117"/>
        <v>10/5</v>
      </c>
    </row>
    <row r="608" spans="1:35" s="8" customFormat="1" ht="21.95" customHeight="1">
      <c r="A608" s="9">
        <v>606</v>
      </c>
      <c r="B608" s="17">
        <v>606</v>
      </c>
      <c r="C608" s="6">
        <v>0</v>
      </c>
      <c r="D608" s="6">
        <v>60</v>
      </c>
      <c r="E608" s="5">
        <v>0</v>
      </c>
      <c r="F608" s="5">
        <v>100</v>
      </c>
      <c r="G608" s="5">
        <v>100</v>
      </c>
      <c r="H608" s="5">
        <v>100</v>
      </c>
      <c r="I608" s="5">
        <v>100</v>
      </c>
      <c r="J608" s="5">
        <v>100</v>
      </c>
      <c r="K608" s="15" t="s">
        <v>56</v>
      </c>
      <c r="L608" s="6">
        <v>3</v>
      </c>
      <c r="M608" s="6">
        <v>0</v>
      </c>
      <c r="N608" s="6">
        <v>0</v>
      </c>
      <c r="O608" s="5">
        <v>0</v>
      </c>
      <c r="P608" s="5">
        <v>0</v>
      </c>
      <c r="Q608" s="5">
        <v>0</v>
      </c>
      <c r="R608" s="5">
        <v>0</v>
      </c>
      <c r="S608" s="5">
        <v>0</v>
      </c>
      <c r="T608" s="5">
        <v>0</v>
      </c>
      <c r="U608" s="6">
        <v>0</v>
      </c>
      <c r="V608" s="5">
        <v>10</v>
      </c>
      <c r="W608" s="5">
        <v>5</v>
      </c>
      <c r="X608" s="16">
        <v>2000</v>
      </c>
      <c r="Y608" s="16">
        <v>7000</v>
      </c>
      <c r="Z608" s="16">
        <v>14000</v>
      </c>
      <c r="AA608" s="12" t="str">
        <f t="shared" si="109"/>
        <v>1/60</v>
      </c>
      <c r="AB608" s="12" t="str">
        <f t="shared" si="110"/>
        <v>0,100,100,100,100,100</v>
      </c>
      <c r="AC608" s="12">
        <f t="shared" si="111"/>
        <v>5</v>
      </c>
      <c r="AD608" s="12" t="str">
        <f t="shared" si="112"/>
        <v>2000/7000/14000</v>
      </c>
      <c r="AE608" s="12" t="str">
        <f t="shared" si="113"/>
        <v/>
      </c>
      <c r="AF608" s="12" t="str">
        <f t="shared" si="114"/>
        <v/>
      </c>
      <c r="AG608" s="12" t="str">
        <f t="shared" si="115"/>
        <v/>
      </c>
      <c r="AH608" s="12" t="str">
        <f t="shared" si="116"/>
        <v/>
      </c>
      <c r="AI608" s="12" t="str">
        <f t="shared" si="117"/>
        <v>10/5</v>
      </c>
    </row>
    <row r="609" spans="1:35" s="8" customFormat="1" ht="21.95" customHeight="1">
      <c r="A609" s="9">
        <v>607</v>
      </c>
      <c r="B609" s="17">
        <v>607</v>
      </c>
      <c r="C609" s="6">
        <v>30</v>
      </c>
      <c r="D609" s="6">
        <v>0</v>
      </c>
      <c r="E609" s="5">
        <v>100</v>
      </c>
      <c r="F609" s="5">
        <v>0</v>
      </c>
      <c r="G609" s="5">
        <v>100</v>
      </c>
      <c r="H609" s="5">
        <v>100</v>
      </c>
      <c r="I609" s="5">
        <v>100</v>
      </c>
      <c r="J609" s="5">
        <v>100</v>
      </c>
      <c r="K609" s="15" t="s">
        <v>53</v>
      </c>
      <c r="L609" s="6">
        <v>3</v>
      </c>
      <c r="M609" s="6">
        <v>0</v>
      </c>
      <c r="N609" s="6">
        <v>0</v>
      </c>
      <c r="O609" s="5">
        <v>0</v>
      </c>
      <c r="P609" s="5">
        <v>0</v>
      </c>
      <c r="Q609" s="5">
        <v>20</v>
      </c>
      <c r="R609" s="5">
        <v>24</v>
      </c>
      <c r="S609" s="5">
        <v>0</v>
      </c>
      <c r="T609" s="5">
        <v>0</v>
      </c>
      <c r="U609" s="6">
        <v>0</v>
      </c>
      <c r="V609" s="5">
        <v>10</v>
      </c>
      <c r="W609" s="5">
        <v>5</v>
      </c>
      <c r="X609" s="16">
        <v>2000</v>
      </c>
      <c r="Y609" s="16">
        <v>7000</v>
      </c>
      <c r="Z609" s="16">
        <v>14000</v>
      </c>
      <c r="AA609" s="12" t="str">
        <f t="shared" si="109"/>
        <v>0/30</v>
      </c>
      <c r="AB609" s="12" t="str">
        <f t="shared" si="110"/>
        <v>100,0,100,100,100,100</v>
      </c>
      <c r="AC609" s="12">
        <f t="shared" si="111"/>
        <v>2</v>
      </c>
      <c r="AD609" s="12" t="str">
        <f t="shared" si="112"/>
        <v>2000/7000/14000</v>
      </c>
      <c r="AE609" s="12" t="str">
        <f t="shared" si="113"/>
        <v/>
      </c>
      <c r="AF609" s="12" t="str">
        <f t="shared" si="114"/>
        <v/>
      </c>
      <c r="AG609" s="12" t="str">
        <f t="shared" si="115"/>
        <v>2/3/</v>
      </c>
      <c r="AH609" s="12" t="str">
        <f t="shared" si="116"/>
        <v>20/24/</v>
      </c>
      <c r="AI609" s="12" t="str">
        <f t="shared" si="117"/>
        <v>10/5</v>
      </c>
    </row>
    <row r="610" spans="1:35" s="8" customFormat="1" ht="21.95" customHeight="1">
      <c r="A610" s="9">
        <v>608</v>
      </c>
      <c r="B610" s="17">
        <v>608</v>
      </c>
      <c r="C610" s="6">
        <v>30</v>
      </c>
      <c r="D610" s="6">
        <v>0</v>
      </c>
      <c r="E610" s="5">
        <v>100</v>
      </c>
      <c r="F610" s="5">
        <v>100</v>
      </c>
      <c r="G610" s="5">
        <v>0</v>
      </c>
      <c r="H610" s="5">
        <v>100</v>
      </c>
      <c r="I610" s="5">
        <v>100</v>
      </c>
      <c r="J610" s="5">
        <v>100</v>
      </c>
      <c r="K610" s="15" t="s">
        <v>53</v>
      </c>
      <c r="L610" s="6">
        <v>3</v>
      </c>
      <c r="M610" s="6">
        <v>0</v>
      </c>
      <c r="N610" s="6">
        <v>0</v>
      </c>
      <c r="O610" s="5">
        <v>0</v>
      </c>
      <c r="P610" s="5">
        <v>0</v>
      </c>
      <c r="Q610" s="5">
        <v>0</v>
      </c>
      <c r="R610" s="5">
        <v>18</v>
      </c>
      <c r="S610" s="5">
        <v>32</v>
      </c>
      <c r="T610" s="5">
        <v>0</v>
      </c>
      <c r="U610" s="6">
        <v>0</v>
      </c>
      <c r="V610" s="5">
        <v>10</v>
      </c>
      <c r="W610" s="5">
        <v>5</v>
      </c>
      <c r="X610" s="16">
        <v>2000</v>
      </c>
      <c r="Y610" s="16">
        <v>7000</v>
      </c>
      <c r="Z610" s="16">
        <v>14000</v>
      </c>
      <c r="AA610" s="12" t="str">
        <f t="shared" ref="AA610:AA673" si="118">IF(C610=0,CONCATENATE("1/",D610),CONCATENATE("0/",C610))</f>
        <v>0/30</v>
      </c>
      <c r="AB610" s="12" t="str">
        <f t="shared" ref="AB610:AB673" si="119">CONCATENATE(E610,",",F610,",",G610,",",H610,",",I610,",",J610)</f>
        <v>100,100,0,100,100,100</v>
      </c>
      <c r="AC610" s="12">
        <f t="shared" ref="AC610:AC673" si="120">VLOOKUP(K610,$I$1005:$J$1012,2,FALSE)</f>
        <v>2</v>
      </c>
      <c r="AD610" s="12" t="str">
        <f t="shared" ref="AD610:AD673" si="121">CONCATENATE(X610,"/",Y610,"/",Z610)</f>
        <v>2000/7000/14000</v>
      </c>
      <c r="AE610" s="12" t="str">
        <f t="shared" ref="AE610:AE673" si="122">CONCATENATE(IF(M610=0,"","0/"),IF(N610=0,"","1/"))</f>
        <v/>
      </c>
      <c r="AF610" s="12" t="str">
        <f t="shared" ref="AF610:AF673" si="123">CONCATENATE(IF(M610=0,"",CONCATENATE(M610,"/")),IF(N610=0,"",CONCATENATE(N610,"/")))</f>
        <v/>
      </c>
      <c r="AG610" s="12" t="str">
        <f t="shared" ref="AG610:AG673" si="124">CONCATENATE(IF(O610=0,"","0/"),IF(P610=0,"","1/"),IF(Q610=0,"","2/"),IF(R610=0,"","3/"),IF(S610=0,"","4/"),IF(T610=0,"","5/"))</f>
        <v>3/4/</v>
      </c>
      <c r="AH610" s="12" t="str">
        <f t="shared" ref="AH610:AH673" si="125">CONCATENATE(IF(O610=0,"",CONCATENATE(O610,"/")),IF(P610=0,"",CONCATENATE(P610,"/")),IF(Q610=0,"",CONCATENATE(Q610,"/")),IF(R610=0,"",CONCATENATE(R610,"/")),IF(S610=0,"",CONCATENATE(S610,"/")),IF(T610=0,"",CONCATENATE(T610,"/")))</f>
        <v>18/32/</v>
      </c>
      <c r="AI610" s="12" t="str">
        <f t="shared" ref="AI610:AI673" si="126">CONCATENATE(V610,"/",W610)</f>
        <v>10/5</v>
      </c>
    </row>
    <row r="611" spans="1:35" s="8" customFormat="1" ht="21.95" customHeight="1">
      <c r="A611" s="9">
        <v>609</v>
      </c>
      <c r="B611" s="17">
        <v>609</v>
      </c>
      <c r="C611" s="6">
        <v>30</v>
      </c>
      <c r="D611" s="6">
        <v>0</v>
      </c>
      <c r="E611" s="5">
        <v>100</v>
      </c>
      <c r="F611" s="5">
        <v>100</v>
      </c>
      <c r="G611" s="5">
        <v>100</v>
      </c>
      <c r="H611" s="5">
        <v>0</v>
      </c>
      <c r="I611" s="5">
        <v>100</v>
      </c>
      <c r="J611" s="5">
        <v>100</v>
      </c>
      <c r="K611" s="15" t="s">
        <v>52</v>
      </c>
      <c r="L611" s="6">
        <v>3</v>
      </c>
      <c r="M611" s="6">
        <v>6</v>
      </c>
      <c r="N611" s="6">
        <v>0</v>
      </c>
      <c r="O611" s="5">
        <v>0</v>
      </c>
      <c r="P611" s="5">
        <v>0</v>
      </c>
      <c r="Q611" s="5">
        <v>0</v>
      </c>
      <c r="R611" s="5">
        <v>0</v>
      </c>
      <c r="S611" s="5">
        <v>0</v>
      </c>
      <c r="T611" s="5">
        <v>0</v>
      </c>
      <c r="U611" s="6">
        <v>0</v>
      </c>
      <c r="V611" s="5">
        <v>10</v>
      </c>
      <c r="W611" s="5">
        <v>5</v>
      </c>
      <c r="X611" s="16">
        <v>2000</v>
      </c>
      <c r="Y611" s="16">
        <v>7000</v>
      </c>
      <c r="Z611" s="16">
        <v>14000</v>
      </c>
      <c r="AA611" s="12" t="str">
        <f t="shared" si="118"/>
        <v>0/30</v>
      </c>
      <c r="AB611" s="12" t="str">
        <f t="shared" si="119"/>
        <v>100,100,100,0,100,100</v>
      </c>
      <c r="AC611" s="12">
        <f t="shared" si="120"/>
        <v>1</v>
      </c>
      <c r="AD611" s="12" t="str">
        <f t="shared" si="121"/>
        <v>2000/7000/14000</v>
      </c>
      <c r="AE611" s="12" t="str">
        <f t="shared" si="122"/>
        <v>0/</v>
      </c>
      <c r="AF611" s="12" t="str">
        <f t="shared" si="123"/>
        <v>6/</v>
      </c>
      <c r="AG611" s="12" t="str">
        <f t="shared" si="124"/>
        <v/>
      </c>
      <c r="AH611" s="12" t="str">
        <f t="shared" si="125"/>
        <v/>
      </c>
      <c r="AI611" s="12" t="str">
        <f t="shared" si="126"/>
        <v>10/5</v>
      </c>
    </row>
    <row r="612" spans="1:35" s="8" customFormat="1" ht="21.95" customHeight="1">
      <c r="A612" s="9">
        <v>610</v>
      </c>
      <c r="B612" s="17">
        <v>610</v>
      </c>
      <c r="C612" s="6">
        <v>30</v>
      </c>
      <c r="D612" s="6">
        <v>0</v>
      </c>
      <c r="E612" s="5">
        <v>100</v>
      </c>
      <c r="F612" s="5">
        <v>100</v>
      </c>
      <c r="G612" s="5">
        <v>100</v>
      </c>
      <c r="H612" s="5">
        <v>100</v>
      </c>
      <c r="I612" s="5">
        <v>0</v>
      </c>
      <c r="J612" s="5">
        <v>100</v>
      </c>
      <c r="K612" s="15" t="s">
        <v>52</v>
      </c>
      <c r="L612" s="6">
        <v>3</v>
      </c>
      <c r="M612" s="6">
        <v>2</v>
      </c>
      <c r="N612" s="6">
        <v>4</v>
      </c>
      <c r="O612" s="5">
        <v>0</v>
      </c>
      <c r="P612" s="5">
        <v>0</v>
      </c>
      <c r="Q612" s="5">
        <v>0</v>
      </c>
      <c r="R612" s="5">
        <v>0</v>
      </c>
      <c r="S612" s="5">
        <v>0</v>
      </c>
      <c r="T612" s="5">
        <v>0</v>
      </c>
      <c r="U612" s="6">
        <v>0</v>
      </c>
      <c r="V612" s="5">
        <v>10</v>
      </c>
      <c r="W612" s="5">
        <v>5</v>
      </c>
      <c r="X612" s="16">
        <v>2000</v>
      </c>
      <c r="Y612" s="16">
        <v>7000</v>
      </c>
      <c r="Z612" s="16">
        <v>14000</v>
      </c>
      <c r="AA612" s="12" t="str">
        <f t="shared" si="118"/>
        <v>0/30</v>
      </c>
      <c r="AB612" s="12" t="str">
        <f t="shared" si="119"/>
        <v>100,100,100,100,0,100</v>
      </c>
      <c r="AC612" s="12">
        <f t="shared" si="120"/>
        <v>1</v>
      </c>
      <c r="AD612" s="12" t="str">
        <f t="shared" si="121"/>
        <v>2000/7000/14000</v>
      </c>
      <c r="AE612" s="12" t="str">
        <f t="shared" si="122"/>
        <v>0/1/</v>
      </c>
      <c r="AF612" s="12" t="str">
        <f t="shared" si="123"/>
        <v>2/4/</v>
      </c>
      <c r="AG612" s="12" t="str">
        <f t="shared" si="124"/>
        <v/>
      </c>
      <c r="AH612" s="12" t="str">
        <f t="shared" si="125"/>
        <v/>
      </c>
      <c r="AI612" s="12" t="str">
        <f t="shared" si="126"/>
        <v>10/5</v>
      </c>
    </row>
    <row r="613" spans="1:35" s="8" customFormat="1" ht="21.95" customHeight="1">
      <c r="A613" s="9">
        <v>611</v>
      </c>
      <c r="B613" s="17">
        <v>611</v>
      </c>
      <c r="C613" s="6">
        <v>0</v>
      </c>
      <c r="D613" s="6">
        <v>60</v>
      </c>
      <c r="E613" s="5">
        <v>100</v>
      </c>
      <c r="F613" s="5">
        <v>100</v>
      </c>
      <c r="G613" s="5">
        <v>100</v>
      </c>
      <c r="H613" s="5">
        <v>100</v>
      </c>
      <c r="I613" s="5">
        <v>100</v>
      </c>
      <c r="J613" s="5">
        <v>0</v>
      </c>
      <c r="K613" s="15" t="s">
        <v>54</v>
      </c>
      <c r="L613" s="6">
        <v>3</v>
      </c>
      <c r="M613" s="6">
        <v>0</v>
      </c>
      <c r="N613" s="6">
        <v>0</v>
      </c>
      <c r="O613" s="5">
        <v>0</v>
      </c>
      <c r="P613" s="5">
        <v>0</v>
      </c>
      <c r="Q613" s="5">
        <v>0</v>
      </c>
      <c r="R613" s="5">
        <v>0</v>
      </c>
      <c r="S613" s="5">
        <v>0</v>
      </c>
      <c r="T613" s="5">
        <v>0</v>
      </c>
      <c r="U613" s="6">
        <v>0</v>
      </c>
      <c r="V613" s="5">
        <v>10</v>
      </c>
      <c r="W613" s="5">
        <v>5</v>
      </c>
      <c r="X613" s="16">
        <v>2000</v>
      </c>
      <c r="Y613" s="16">
        <v>7000</v>
      </c>
      <c r="Z613" s="16">
        <v>14000</v>
      </c>
      <c r="AA613" s="12" t="str">
        <f t="shared" si="118"/>
        <v>1/60</v>
      </c>
      <c r="AB613" s="12" t="str">
        <f t="shared" si="119"/>
        <v>100,100,100,100,100,0</v>
      </c>
      <c r="AC613" s="12">
        <f t="shared" si="120"/>
        <v>3</v>
      </c>
      <c r="AD613" s="12" t="str">
        <f t="shared" si="121"/>
        <v>2000/7000/14000</v>
      </c>
      <c r="AE613" s="12" t="str">
        <f t="shared" si="122"/>
        <v/>
      </c>
      <c r="AF613" s="12" t="str">
        <f t="shared" si="123"/>
        <v/>
      </c>
      <c r="AG613" s="12" t="str">
        <f t="shared" si="124"/>
        <v/>
      </c>
      <c r="AH613" s="12" t="str">
        <f t="shared" si="125"/>
        <v/>
      </c>
      <c r="AI613" s="12" t="str">
        <f t="shared" si="126"/>
        <v>10/5</v>
      </c>
    </row>
    <row r="614" spans="1:35" s="8" customFormat="1" ht="21.95" customHeight="1">
      <c r="A614" s="9">
        <v>612</v>
      </c>
      <c r="B614" s="17">
        <v>612</v>
      </c>
      <c r="C614" s="6">
        <v>0</v>
      </c>
      <c r="D614" s="6">
        <v>60</v>
      </c>
      <c r="E614" s="5">
        <v>0</v>
      </c>
      <c r="F614" s="5">
        <v>100</v>
      </c>
      <c r="G614" s="5">
        <v>100</v>
      </c>
      <c r="H614" s="5">
        <v>100</v>
      </c>
      <c r="I614" s="5">
        <v>100</v>
      </c>
      <c r="J614" s="5">
        <v>100</v>
      </c>
      <c r="K614" s="15" t="s">
        <v>54</v>
      </c>
      <c r="L614" s="6">
        <v>3</v>
      </c>
      <c r="M614" s="6">
        <v>0</v>
      </c>
      <c r="N614" s="6">
        <v>0</v>
      </c>
      <c r="O614" s="5">
        <v>0</v>
      </c>
      <c r="P614" s="5">
        <v>0</v>
      </c>
      <c r="Q614" s="5">
        <v>0</v>
      </c>
      <c r="R614" s="5">
        <v>0</v>
      </c>
      <c r="S614" s="5">
        <v>0</v>
      </c>
      <c r="T614" s="5">
        <v>0</v>
      </c>
      <c r="U614" s="6">
        <v>0</v>
      </c>
      <c r="V614" s="5">
        <v>10</v>
      </c>
      <c r="W614" s="5">
        <v>5</v>
      </c>
      <c r="X614" s="16">
        <v>2000</v>
      </c>
      <c r="Y614" s="16">
        <v>7000</v>
      </c>
      <c r="Z614" s="16">
        <v>14000</v>
      </c>
      <c r="AA614" s="12" t="str">
        <f t="shared" si="118"/>
        <v>1/60</v>
      </c>
      <c r="AB614" s="12" t="str">
        <f t="shared" si="119"/>
        <v>0,100,100,100,100,100</v>
      </c>
      <c r="AC614" s="12">
        <f t="shared" si="120"/>
        <v>3</v>
      </c>
      <c r="AD614" s="12" t="str">
        <f t="shared" si="121"/>
        <v>2000/7000/14000</v>
      </c>
      <c r="AE614" s="12" t="str">
        <f t="shared" si="122"/>
        <v/>
      </c>
      <c r="AF614" s="12" t="str">
        <f t="shared" si="123"/>
        <v/>
      </c>
      <c r="AG614" s="12" t="str">
        <f t="shared" si="124"/>
        <v/>
      </c>
      <c r="AH614" s="12" t="str">
        <f t="shared" si="125"/>
        <v/>
      </c>
      <c r="AI614" s="12" t="str">
        <f t="shared" si="126"/>
        <v>10/5</v>
      </c>
    </row>
    <row r="615" spans="1:35" s="8" customFormat="1" ht="21.95" customHeight="1">
      <c r="A615" s="9">
        <v>613</v>
      </c>
      <c r="B615" s="17">
        <v>613</v>
      </c>
      <c r="C615" s="6">
        <v>30</v>
      </c>
      <c r="D615" s="6">
        <v>0</v>
      </c>
      <c r="E615" s="5">
        <v>100</v>
      </c>
      <c r="F615" s="5">
        <v>0</v>
      </c>
      <c r="G615" s="5">
        <v>100</v>
      </c>
      <c r="H615" s="5">
        <v>100</v>
      </c>
      <c r="I615" s="5">
        <v>100</v>
      </c>
      <c r="J615" s="5">
        <v>100</v>
      </c>
      <c r="K615" s="15" t="s">
        <v>55</v>
      </c>
      <c r="L615" s="6">
        <v>3</v>
      </c>
      <c r="M615" s="6">
        <v>0</v>
      </c>
      <c r="N615" s="6">
        <v>0</v>
      </c>
      <c r="O615" s="5">
        <v>0</v>
      </c>
      <c r="P615" s="5">
        <v>0</v>
      </c>
      <c r="Q615" s="5">
        <v>0</v>
      </c>
      <c r="R615" s="5">
        <v>0</v>
      </c>
      <c r="S615" s="5">
        <v>0</v>
      </c>
      <c r="T615" s="5">
        <v>0</v>
      </c>
      <c r="U615" s="6">
        <v>5</v>
      </c>
      <c r="V615" s="5">
        <v>10</v>
      </c>
      <c r="W615" s="5">
        <v>5</v>
      </c>
      <c r="X615" s="16">
        <v>2000</v>
      </c>
      <c r="Y615" s="16">
        <v>7000</v>
      </c>
      <c r="Z615" s="16">
        <v>14000</v>
      </c>
      <c r="AA615" s="12" t="str">
        <f t="shared" si="118"/>
        <v>0/30</v>
      </c>
      <c r="AB615" s="12" t="str">
        <f t="shared" si="119"/>
        <v>100,0,100,100,100,100</v>
      </c>
      <c r="AC615" s="12">
        <f t="shared" si="120"/>
        <v>4</v>
      </c>
      <c r="AD615" s="12" t="str">
        <f t="shared" si="121"/>
        <v>2000/7000/14000</v>
      </c>
      <c r="AE615" s="12" t="str">
        <f t="shared" si="122"/>
        <v/>
      </c>
      <c r="AF615" s="12" t="str">
        <f t="shared" si="123"/>
        <v/>
      </c>
      <c r="AG615" s="12" t="str">
        <f t="shared" si="124"/>
        <v/>
      </c>
      <c r="AH615" s="12" t="str">
        <f t="shared" si="125"/>
        <v/>
      </c>
      <c r="AI615" s="12" t="str">
        <f t="shared" si="126"/>
        <v>10/5</v>
      </c>
    </row>
    <row r="616" spans="1:35" s="8" customFormat="1" ht="21.95" customHeight="1">
      <c r="A616" s="9">
        <v>614</v>
      </c>
      <c r="B616" s="17">
        <v>614</v>
      </c>
      <c r="C616" s="6">
        <v>30</v>
      </c>
      <c r="D616" s="6">
        <v>0</v>
      </c>
      <c r="E616" s="5">
        <v>100</v>
      </c>
      <c r="F616" s="5">
        <v>100</v>
      </c>
      <c r="G616" s="5">
        <v>0</v>
      </c>
      <c r="H616" s="5">
        <v>100</v>
      </c>
      <c r="I616" s="5">
        <v>100</v>
      </c>
      <c r="J616" s="5">
        <v>100</v>
      </c>
      <c r="K616" s="15" t="s">
        <v>55</v>
      </c>
      <c r="L616" s="6">
        <v>3</v>
      </c>
      <c r="M616" s="6">
        <v>0</v>
      </c>
      <c r="N616" s="6">
        <v>0</v>
      </c>
      <c r="O616" s="5">
        <v>0</v>
      </c>
      <c r="P616" s="5">
        <v>0</v>
      </c>
      <c r="Q616" s="5">
        <v>0</v>
      </c>
      <c r="R616" s="5">
        <v>0</v>
      </c>
      <c r="S616" s="5">
        <v>0</v>
      </c>
      <c r="T616" s="5">
        <v>0</v>
      </c>
      <c r="U616" s="6">
        <v>5</v>
      </c>
      <c r="V616" s="5">
        <v>10</v>
      </c>
      <c r="W616" s="5">
        <v>5</v>
      </c>
      <c r="X616" s="16">
        <v>2000</v>
      </c>
      <c r="Y616" s="16">
        <v>7000</v>
      </c>
      <c r="Z616" s="16">
        <v>14000</v>
      </c>
      <c r="AA616" s="12" t="str">
        <f t="shared" si="118"/>
        <v>0/30</v>
      </c>
      <c r="AB616" s="12" t="str">
        <f t="shared" si="119"/>
        <v>100,100,0,100,100,100</v>
      </c>
      <c r="AC616" s="12">
        <f t="shared" si="120"/>
        <v>4</v>
      </c>
      <c r="AD616" s="12" t="str">
        <f t="shared" si="121"/>
        <v>2000/7000/14000</v>
      </c>
      <c r="AE616" s="12" t="str">
        <f t="shared" si="122"/>
        <v/>
      </c>
      <c r="AF616" s="12" t="str">
        <f t="shared" si="123"/>
        <v/>
      </c>
      <c r="AG616" s="12" t="str">
        <f t="shared" si="124"/>
        <v/>
      </c>
      <c r="AH616" s="12" t="str">
        <f t="shared" si="125"/>
        <v/>
      </c>
      <c r="AI616" s="12" t="str">
        <f t="shared" si="126"/>
        <v>10/5</v>
      </c>
    </row>
    <row r="617" spans="1:35" s="8" customFormat="1" ht="21.95" customHeight="1">
      <c r="A617" s="9">
        <v>615</v>
      </c>
      <c r="B617" s="17">
        <v>615</v>
      </c>
      <c r="C617" s="6">
        <v>32</v>
      </c>
      <c r="D617" s="6">
        <v>0</v>
      </c>
      <c r="E617" s="5">
        <v>100</v>
      </c>
      <c r="F617" s="5">
        <v>100</v>
      </c>
      <c r="G617" s="5">
        <v>100</v>
      </c>
      <c r="H617" s="5">
        <v>0</v>
      </c>
      <c r="I617" s="5">
        <v>100</v>
      </c>
      <c r="J617" s="5">
        <v>100</v>
      </c>
      <c r="K617" s="15" t="s">
        <v>51</v>
      </c>
      <c r="L617" s="6">
        <v>3</v>
      </c>
      <c r="M617" s="6">
        <v>0</v>
      </c>
      <c r="N617" s="6">
        <v>0</v>
      </c>
      <c r="O617" s="5">
        <v>0</v>
      </c>
      <c r="P617" s="5">
        <v>0</v>
      </c>
      <c r="Q617" s="5">
        <v>0</v>
      </c>
      <c r="R617" s="5">
        <v>0</v>
      </c>
      <c r="S617" s="5">
        <v>0</v>
      </c>
      <c r="T617" s="5">
        <v>0</v>
      </c>
      <c r="U617" s="6">
        <v>0</v>
      </c>
      <c r="V617" s="5">
        <v>10</v>
      </c>
      <c r="W617" s="5">
        <v>5</v>
      </c>
      <c r="X617" s="16">
        <v>2000</v>
      </c>
      <c r="Y617" s="16">
        <v>7000</v>
      </c>
      <c r="Z617" s="16">
        <v>14000</v>
      </c>
      <c r="AA617" s="12" t="str">
        <f t="shared" si="118"/>
        <v>0/32</v>
      </c>
      <c r="AB617" s="12" t="str">
        <f t="shared" si="119"/>
        <v>100,100,100,0,100,100</v>
      </c>
      <c r="AC617" s="12">
        <f t="shared" si="120"/>
        <v>0</v>
      </c>
      <c r="AD617" s="12" t="str">
        <f t="shared" si="121"/>
        <v>2000/7000/14000</v>
      </c>
      <c r="AE617" s="12" t="str">
        <f t="shared" si="122"/>
        <v/>
      </c>
      <c r="AF617" s="12" t="str">
        <f t="shared" si="123"/>
        <v/>
      </c>
      <c r="AG617" s="12" t="str">
        <f t="shared" si="124"/>
        <v/>
      </c>
      <c r="AH617" s="12" t="str">
        <f t="shared" si="125"/>
        <v/>
      </c>
      <c r="AI617" s="12" t="str">
        <f t="shared" si="126"/>
        <v>10/5</v>
      </c>
    </row>
    <row r="618" spans="1:35" s="8" customFormat="1" ht="21.95" customHeight="1">
      <c r="A618" s="9">
        <v>616</v>
      </c>
      <c r="B618" s="17">
        <v>616</v>
      </c>
      <c r="C618" s="6">
        <v>30</v>
      </c>
      <c r="D618" s="6">
        <v>0</v>
      </c>
      <c r="E618" s="5">
        <v>100</v>
      </c>
      <c r="F618" s="5">
        <v>100</v>
      </c>
      <c r="G618" s="5">
        <v>100</v>
      </c>
      <c r="H618" s="5">
        <v>100</v>
      </c>
      <c r="I618" s="5">
        <v>0</v>
      </c>
      <c r="J618" s="5">
        <v>100</v>
      </c>
      <c r="K618" s="15" t="s">
        <v>53</v>
      </c>
      <c r="L618" s="6">
        <v>3</v>
      </c>
      <c r="M618" s="6">
        <v>0</v>
      </c>
      <c r="N618" s="6">
        <v>0</v>
      </c>
      <c r="O618" s="5">
        <v>16</v>
      </c>
      <c r="P618" s="5">
        <v>0</v>
      </c>
      <c r="Q618" s="5">
        <v>0</v>
      </c>
      <c r="R618" s="5">
        <v>0</v>
      </c>
      <c r="S618" s="5">
        <v>0</v>
      </c>
      <c r="T618" s="5">
        <v>18</v>
      </c>
      <c r="U618" s="6">
        <v>0</v>
      </c>
      <c r="V618" s="5">
        <v>10</v>
      </c>
      <c r="W618" s="5">
        <v>5</v>
      </c>
      <c r="X618" s="16">
        <v>2000</v>
      </c>
      <c r="Y618" s="16">
        <v>7000</v>
      </c>
      <c r="Z618" s="16">
        <v>14000</v>
      </c>
      <c r="AA618" s="12" t="str">
        <f t="shared" si="118"/>
        <v>0/30</v>
      </c>
      <c r="AB618" s="12" t="str">
        <f t="shared" si="119"/>
        <v>100,100,100,100,0,100</v>
      </c>
      <c r="AC618" s="12">
        <f t="shared" si="120"/>
        <v>2</v>
      </c>
      <c r="AD618" s="12" t="str">
        <f t="shared" si="121"/>
        <v>2000/7000/14000</v>
      </c>
      <c r="AE618" s="12" t="str">
        <f t="shared" si="122"/>
        <v/>
      </c>
      <c r="AF618" s="12" t="str">
        <f t="shared" si="123"/>
        <v/>
      </c>
      <c r="AG618" s="12" t="str">
        <f t="shared" si="124"/>
        <v>0/5/</v>
      </c>
      <c r="AH618" s="12" t="str">
        <f t="shared" si="125"/>
        <v>16/18/</v>
      </c>
      <c r="AI618" s="12" t="str">
        <f t="shared" si="126"/>
        <v>10/5</v>
      </c>
    </row>
    <row r="619" spans="1:35" s="8" customFormat="1" ht="21.95" customHeight="1">
      <c r="A619" s="9">
        <v>617</v>
      </c>
      <c r="B619" s="17">
        <v>617</v>
      </c>
      <c r="C619" s="6">
        <v>30</v>
      </c>
      <c r="D619" s="6">
        <v>0</v>
      </c>
      <c r="E619" s="5">
        <v>100</v>
      </c>
      <c r="F619" s="5">
        <v>100</v>
      </c>
      <c r="G619" s="5">
        <v>100</v>
      </c>
      <c r="H619" s="5">
        <v>100</v>
      </c>
      <c r="I619" s="5">
        <v>100</v>
      </c>
      <c r="J619" s="5">
        <v>0</v>
      </c>
      <c r="K619" s="15" t="s">
        <v>52</v>
      </c>
      <c r="L619" s="6">
        <v>3</v>
      </c>
      <c r="M619" s="6">
        <v>6</v>
      </c>
      <c r="N619" s="6">
        <v>0</v>
      </c>
      <c r="O619" s="5">
        <v>0</v>
      </c>
      <c r="P619" s="5">
        <v>0</v>
      </c>
      <c r="Q619" s="5">
        <v>0</v>
      </c>
      <c r="R619" s="5">
        <v>0</v>
      </c>
      <c r="S619" s="5">
        <v>0</v>
      </c>
      <c r="T619" s="5">
        <v>0</v>
      </c>
      <c r="U619" s="6">
        <v>0</v>
      </c>
      <c r="V619" s="5">
        <v>10</v>
      </c>
      <c r="W619" s="5">
        <v>5</v>
      </c>
      <c r="X619" s="16">
        <v>2000</v>
      </c>
      <c r="Y619" s="16">
        <v>7000</v>
      </c>
      <c r="Z619" s="16">
        <v>14000</v>
      </c>
      <c r="AA619" s="12" t="str">
        <f t="shared" si="118"/>
        <v>0/30</v>
      </c>
      <c r="AB619" s="12" t="str">
        <f t="shared" si="119"/>
        <v>100,100,100,100,100,0</v>
      </c>
      <c r="AC619" s="12">
        <f t="shared" si="120"/>
        <v>1</v>
      </c>
      <c r="AD619" s="12" t="str">
        <f t="shared" si="121"/>
        <v>2000/7000/14000</v>
      </c>
      <c r="AE619" s="12" t="str">
        <f t="shared" si="122"/>
        <v>0/</v>
      </c>
      <c r="AF619" s="12" t="str">
        <f t="shared" si="123"/>
        <v>6/</v>
      </c>
      <c r="AG619" s="12" t="str">
        <f t="shared" si="124"/>
        <v/>
      </c>
      <c r="AH619" s="12" t="str">
        <f t="shared" si="125"/>
        <v/>
      </c>
      <c r="AI619" s="12" t="str">
        <f t="shared" si="126"/>
        <v>10/5</v>
      </c>
    </row>
    <row r="620" spans="1:35" s="8" customFormat="1" ht="21.95" customHeight="1">
      <c r="A620" s="9">
        <v>618</v>
      </c>
      <c r="B620" s="17">
        <v>618</v>
      </c>
      <c r="C620" s="6">
        <v>30</v>
      </c>
      <c r="D620" s="6">
        <v>0</v>
      </c>
      <c r="E620" s="5">
        <v>0</v>
      </c>
      <c r="F620" s="5">
        <v>100</v>
      </c>
      <c r="G620" s="5">
        <v>100</v>
      </c>
      <c r="H620" s="5">
        <v>100</v>
      </c>
      <c r="I620" s="5">
        <v>100</v>
      </c>
      <c r="J620" s="5">
        <v>100</v>
      </c>
      <c r="K620" s="15" t="s">
        <v>52</v>
      </c>
      <c r="L620" s="6">
        <v>3</v>
      </c>
      <c r="M620" s="6">
        <v>0</v>
      </c>
      <c r="N620" s="6">
        <v>6</v>
      </c>
      <c r="O620" s="5">
        <v>0</v>
      </c>
      <c r="P620" s="5">
        <v>0</v>
      </c>
      <c r="Q620" s="5">
        <v>0</v>
      </c>
      <c r="R620" s="5">
        <v>0</v>
      </c>
      <c r="S620" s="5">
        <v>0</v>
      </c>
      <c r="T620" s="5">
        <v>0</v>
      </c>
      <c r="U620" s="6">
        <v>0</v>
      </c>
      <c r="V620" s="5">
        <v>10</v>
      </c>
      <c r="W620" s="5">
        <v>5</v>
      </c>
      <c r="X620" s="16">
        <v>2000</v>
      </c>
      <c r="Y620" s="16">
        <v>7000</v>
      </c>
      <c r="Z620" s="16">
        <v>14000</v>
      </c>
      <c r="AA620" s="12" t="str">
        <f t="shared" si="118"/>
        <v>0/30</v>
      </c>
      <c r="AB620" s="12" t="str">
        <f t="shared" si="119"/>
        <v>0,100,100,100,100,100</v>
      </c>
      <c r="AC620" s="12">
        <f t="shared" si="120"/>
        <v>1</v>
      </c>
      <c r="AD620" s="12" t="str">
        <f t="shared" si="121"/>
        <v>2000/7000/14000</v>
      </c>
      <c r="AE620" s="12" t="str">
        <f t="shared" si="122"/>
        <v>1/</v>
      </c>
      <c r="AF620" s="12" t="str">
        <f t="shared" si="123"/>
        <v>6/</v>
      </c>
      <c r="AG620" s="12" t="str">
        <f t="shared" si="124"/>
        <v/>
      </c>
      <c r="AH620" s="12" t="str">
        <f t="shared" si="125"/>
        <v/>
      </c>
      <c r="AI620" s="12" t="str">
        <f t="shared" si="126"/>
        <v>10/5</v>
      </c>
    </row>
    <row r="621" spans="1:35" s="8" customFormat="1" ht="21.95" customHeight="1">
      <c r="A621" s="9">
        <v>619</v>
      </c>
      <c r="B621" s="17">
        <v>619</v>
      </c>
      <c r="C621" s="6">
        <v>0</v>
      </c>
      <c r="D621" s="6">
        <v>60</v>
      </c>
      <c r="E621" s="5">
        <v>100</v>
      </c>
      <c r="F621" s="5">
        <v>0</v>
      </c>
      <c r="G621" s="5">
        <v>100</v>
      </c>
      <c r="H621" s="5">
        <v>100</v>
      </c>
      <c r="I621" s="5">
        <v>100</v>
      </c>
      <c r="J621" s="5">
        <v>100</v>
      </c>
      <c r="K621" s="15" t="s">
        <v>54</v>
      </c>
      <c r="L621" s="6">
        <v>3</v>
      </c>
      <c r="M621" s="6">
        <v>0</v>
      </c>
      <c r="N621" s="6">
        <v>0</v>
      </c>
      <c r="O621" s="5">
        <v>0</v>
      </c>
      <c r="P621" s="5">
        <v>0</v>
      </c>
      <c r="Q621" s="5">
        <v>0</v>
      </c>
      <c r="R621" s="5">
        <v>0</v>
      </c>
      <c r="S621" s="5">
        <v>0</v>
      </c>
      <c r="T621" s="5">
        <v>0</v>
      </c>
      <c r="U621" s="6">
        <v>0</v>
      </c>
      <c r="V621" s="5">
        <v>10</v>
      </c>
      <c r="W621" s="5">
        <v>5</v>
      </c>
      <c r="X621" s="16">
        <v>2000</v>
      </c>
      <c r="Y621" s="16">
        <v>7000</v>
      </c>
      <c r="Z621" s="16">
        <v>14000</v>
      </c>
      <c r="AA621" s="12" t="str">
        <f t="shared" si="118"/>
        <v>1/60</v>
      </c>
      <c r="AB621" s="12" t="str">
        <f t="shared" si="119"/>
        <v>100,0,100,100,100,100</v>
      </c>
      <c r="AC621" s="12">
        <f t="shared" si="120"/>
        <v>3</v>
      </c>
      <c r="AD621" s="12" t="str">
        <f t="shared" si="121"/>
        <v>2000/7000/14000</v>
      </c>
      <c r="AE621" s="12" t="str">
        <f t="shared" si="122"/>
        <v/>
      </c>
      <c r="AF621" s="12" t="str">
        <f t="shared" si="123"/>
        <v/>
      </c>
      <c r="AG621" s="12" t="str">
        <f t="shared" si="124"/>
        <v/>
      </c>
      <c r="AH621" s="12" t="str">
        <f t="shared" si="125"/>
        <v/>
      </c>
      <c r="AI621" s="12" t="str">
        <f t="shared" si="126"/>
        <v>10/5</v>
      </c>
    </row>
    <row r="622" spans="1:35" s="8" customFormat="1" ht="21.95" customHeight="1">
      <c r="A622" s="9">
        <v>620</v>
      </c>
      <c r="B622" s="17">
        <v>620</v>
      </c>
      <c r="C622" s="6">
        <v>0</v>
      </c>
      <c r="D622" s="6">
        <v>60</v>
      </c>
      <c r="E622" s="5">
        <v>100</v>
      </c>
      <c r="F622" s="5">
        <v>100</v>
      </c>
      <c r="G622" s="5">
        <v>0</v>
      </c>
      <c r="H622" s="5">
        <v>100</v>
      </c>
      <c r="I622" s="5">
        <v>100</v>
      </c>
      <c r="J622" s="5">
        <v>100</v>
      </c>
      <c r="K622" s="15" t="s">
        <v>54</v>
      </c>
      <c r="L622" s="6">
        <v>3</v>
      </c>
      <c r="M622" s="6">
        <v>0</v>
      </c>
      <c r="N622" s="6">
        <v>0</v>
      </c>
      <c r="O622" s="5">
        <v>0</v>
      </c>
      <c r="P622" s="5">
        <v>0</v>
      </c>
      <c r="Q622" s="5">
        <v>0</v>
      </c>
      <c r="R622" s="5">
        <v>0</v>
      </c>
      <c r="S622" s="5">
        <v>0</v>
      </c>
      <c r="T622" s="5">
        <v>0</v>
      </c>
      <c r="U622" s="6">
        <v>0</v>
      </c>
      <c r="V622" s="5">
        <v>10</v>
      </c>
      <c r="W622" s="5">
        <v>5</v>
      </c>
      <c r="X622" s="16">
        <v>2000</v>
      </c>
      <c r="Y622" s="16">
        <v>7000</v>
      </c>
      <c r="Z622" s="16">
        <v>14000</v>
      </c>
      <c r="AA622" s="12" t="str">
        <f t="shared" si="118"/>
        <v>1/60</v>
      </c>
      <c r="AB622" s="12" t="str">
        <f t="shared" si="119"/>
        <v>100,100,0,100,100,100</v>
      </c>
      <c r="AC622" s="12">
        <f t="shared" si="120"/>
        <v>3</v>
      </c>
      <c r="AD622" s="12" t="str">
        <f t="shared" si="121"/>
        <v>2000/7000/14000</v>
      </c>
      <c r="AE622" s="12" t="str">
        <f t="shared" si="122"/>
        <v/>
      </c>
      <c r="AF622" s="12" t="str">
        <f t="shared" si="123"/>
        <v/>
      </c>
      <c r="AG622" s="12" t="str">
        <f t="shared" si="124"/>
        <v/>
      </c>
      <c r="AH622" s="12" t="str">
        <f t="shared" si="125"/>
        <v/>
      </c>
      <c r="AI622" s="12" t="str">
        <f t="shared" si="126"/>
        <v>10/5</v>
      </c>
    </row>
    <row r="623" spans="1:35" s="8" customFormat="1" ht="21.95" customHeight="1">
      <c r="A623" s="9">
        <v>621</v>
      </c>
      <c r="B623" s="17">
        <v>621</v>
      </c>
      <c r="C623" s="6">
        <v>0</v>
      </c>
      <c r="D623" s="6">
        <v>60</v>
      </c>
      <c r="E623" s="5">
        <v>100</v>
      </c>
      <c r="F623" s="5">
        <v>100</v>
      </c>
      <c r="G623" s="5">
        <v>100</v>
      </c>
      <c r="H623" s="5">
        <v>100</v>
      </c>
      <c r="I623" s="5">
        <v>0</v>
      </c>
      <c r="J623" s="5">
        <v>100</v>
      </c>
      <c r="K623" s="15" t="s">
        <v>52</v>
      </c>
      <c r="L623" s="6">
        <v>3</v>
      </c>
      <c r="M623" s="6">
        <v>2</v>
      </c>
      <c r="N623" s="6">
        <v>4</v>
      </c>
      <c r="O623" s="5">
        <v>0</v>
      </c>
      <c r="P623" s="5">
        <v>0</v>
      </c>
      <c r="Q623" s="5">
        <v>0</v>
      </c>
      <c r="R623" s="5">
        <v>0</v>
      </c>
      <c r="S623" s="5">
        <v>0</v>
      </c>
      <c r="T623" s="5">
        <v>0</v>
      </c>
      <c r="U623" s="6">
        <v>0</v>
      </c>
      <c r="V623" s="5">
        <v>10</v>
      </c>
      <c r="W623" s="5">
        <v>5</v>
      </c>
      <c r="X623" s="16">
        <v>2000</v>
      </c>
      <c r="Y623" s="16">
        <v>7000</v>
      </c>
      <c r="Z623" s="16">
        <v>14000</v>
      </c>
      <c r="AA623" s="12" t="str">
        <f t="shared" si="118"/>
        <v>1/60</v>
      </c>
      <c r="AB623" s="12" t="str">
        <f t="shared" si="119"/>
        <v>100,100,100,100,0,100</v>
      </c>
      <c r="AC623" s="12">
        <f t="shared" si="120"/>
        <v>1</v>
      </c>
      <c r="AD623" s="12" t="str">
        <f t="shared" si="121"/>
        <v>2000/7000/14000</v>
      </c>
      <c r="AE623" s="12" t="str">
        <f t="shared" si="122"/>
        <v>0/1/</v>
      </c>
      <c r="AF623" s="12" t="str">
        <f t="shared" si="123"/>
        <v>2/4/</v>
      </c>
      <c r="AG623" s="12" t="str">
        <f t="shared" si="124"/>
        <v/>
      </c>
      <c r="AH623" s="12" t="str">
        <f t="shared" si="125"/>
        <v/>
      </c>
      <c r="AI623" s="12" t="str">
        <f t="shared" si="126"/>
        <v>10/5</v>
      </c>
    </row>
    <row r="624" spans="1:35" s="8" customFormat="1" ht="21.95" customHeight="1">
      <c r="A624" s="9">
        <v>622</v>
      </c>
      <c r="B624" s="17">
        <v>622</v>
      </c>
      <c r="C624" s="6">
        <v>30</v>
      </c>
      <c r="D624" s="6">
        <v>0</v>
      </c>
      <c r="E624" s="5">
        <v>100</v>
      </c>
      <c r="F624" s="5">
        <v>100</v>
      </c>
      <c r="G624" s="5">
        <v>100</v>
      </c>
      <c r="H624" s="5">
        <v>100</v>
      </c>
      <c r="I624" s="5">
        <v>100</v>
      </c>
      <c r="J624" s="5">
        <v>0</v>
      </c>
      <c r="K624" s="15" t="s">
        <v>54</v>
      </c>
      <c r="L624" s="6">
        <v>3</v>
      </c>
      <c r="M624" s="6">
        <v>0</v>
      </c>
      <c r="N624" s="6">
        <v>0</v>
      </c>
      <c r="O624" s="5">
        <v>0</v>
      </c>
      <c r="P624" s="5">
        <v>0</v>
      </c>
      <c r="Q624" s="5">
        <v>0</v>
      </c>
      <c r="R624" s="5">
        <v>0</v>
      </c>
      <c r="S624" s="5">
        <v>0</v>
      </c>
      <c r="T624" s="5">
        <v>0</v>
      </c>
      <c r="U624" s="6">
        <v>0</v>
      </c>
      <c r="V624" s="5">
        <v>10</v>
      </c>
      <c r="W624" s="5">
        <v>5</v>
      </c>
      <c r="X624" s="16">
        <v>2000</v>
      </c>
      <c r="Y624" s="16">
        <v>7000</v>
      </c>
      <c r="Z624" s="16">
        <v>14000</v>
      </c>
      <c r="AA624" s="12" t="str">
        <f t="shared" si="118"/>
        <v>0/30</v>
      </c>
      <c r="AB624" s="12" t="str">
        <f t="shared" si="119"/>
        <v>100,100,100,100,100,0</v>
      </c>
      <c r="AC624" s="12">
        <f t="shared" si="120"/>
        <v>3</v>
      </c>
      <c r="AD624" s="12" t="str">
        <f t="shared" si="121"/>
        <v>2000/7000/14000</v>
      </c>
      <c r="AE624" s="12" t="str">
        <f t="shared" si="122"/>
        <v/>
      </c>
      <c r="AF624" s="12" t="str">
        <f t="shared" si="123"/>
        <v/>
      </c>
      <c r="AG624" s="12" t="str">
        <f t="shared" si="124"/>
        <v/>
      </c>
      <c r="AH624" s="12" t="str">
        <f t="shared" si="125"/>
        <v/>
      </c>
      <c r="AI624" s="12" t="str">
        <f t="shared" si="126"/>
        <v>10/5</v>
      </c>
    </row>
    <row r="625" spans="1:35" s="8" customFormat="1" ht="21.95" customHeight="1">
      <c r="A625" s="9">
        <v>623</v>
      </c>
      <c r="B625" s="17">
        <v>623</v>
      </c>
      <c r="C625" s="6">
        <v>30</v>
      </c>
      <c r="D625" s="6">
        <v>0</v>
      </c>
      <c r="E625" s="5">
        <v>0</v>
      </c>
      <c r="F625" s="5">
        <v>100</v>
      </c>
      <c r="G625" s="5">
        <v>100</v>
      </c>
      <c r="H625" s="5">
        <v>100</v>
      </c>
      <c r="I625" s="5">
        <v>100</v>
      </c>
      <c r="J625" s="5">
        <v>100</v>
      </c>
      <c r="K625" s="15" t="s">
        <v>54</v>
      </c>
      <c r="L625" s="6">
        <v>3</v>
      </c>
      <c r="M625" s="6">
        <v>0</v>
      </c>
      <c r="N625" s="6">
        <v>0</v>
      </c>
      <c r="O625" s="5">
        <v>0</v>
      </c>
      <c r="P625" s="5">
        <v>0</v>
      </c>
      <c r="Q625" s="5">
        <v>0</v>
      </c>
      <c r="R625" s="5">
        <v>0</v>
      </c>
      <c r="S625" s="5">
        <v>0</v>
      </c>
      <c r="T625" s="5">
        <v>0</v>
      </c>
      <c r="U625" s="6">
        <v>0</v>
      </c>
      <c r="V625" s="5">
        <v>10</v>
      </c>
      <c r="W625" s="5">
        <v>5</v>
      </c>
      <c r="X625" s="16">
        <v>2000</v>
      </c>
      <c r="Y625" s="16">
        <v>7000</v>
      </c>
      <c r="Z625" s="16">
        <v>14000</v>
      </c>
      <c r="AA625" s="12" t="str">
        <f t="shared" si="118"/>
        <v>0/30</v>
      </c>
      <c r="AB625" s="12" t="str">
        <f t="shared" si="119"/>
        <v>0,100,100,100,100,100</v>
      </c>
      <c r="AC625" s="12">
        <f t="shared" si="120"/>
        <v>3</v>
      </c>
      <c r="AD625" s="12" t="str">
        <f t="shared" si="121"/>
        <v>2000/7000/14000</v>
      </c>
      <c r="AE625" s="12" t="str">
        <f t="shared" si="122"/>
        <v/>
      </c>
      <c r="AF625" s="12" t="str">
        <f t="shared" si="123"/>
        <v/>
      </c>
      <c r="AG625" s="12" t="str">
        <f t="shared" si="124"/>
        <v/>
      </c>
      <c r="AH625" s="12" t="str">
        <f t="shared" si="125"/>
        <v/>
      </c>
      <c r="AI625" s="12" t="str">
        <f t="shared" si="126"/>
        <v>10/5</v>
      </c>
    </row>
    <row r="626" spans="1:35" s="8" customFormat="1" ht="21.95" customHeight="1">
      <c r="A626" s="9">
        <v>624</v>
      </c>
      <c r="B626" s="17">
        <v>624</v>
      </c>
      <c r="C626" s="6">
        <v>30</v>
      </c>
      <c r="D626" s="6">
        <v>0</v>
      </c>
      <c r="E626" s="5">
        <v>100</v>
      </c>
      <c r="F626" s="5">
        <v>0</v>
      </c>
      <c r="G626" s="5">
        <v>100</v>
      </c>
      <c r="H626" s="5">
        <v>100</v>
      </c>
      <c r="I626" s="5">
        <v>100</v>
      </c>
      <c r="J626" s="5">
        <v>100</v>
      </c>
      <c r="K626" s="15" t="s">
        <v>55</v>
      </c>
      <c r="L626" s="6">
        <v>3</v>
      </c>
      <c r="M626" s="6">
        <v>0</v>
      </c>
      <c r="N626" s="6">
        <v>0</v>
      </c>
      <c r="O626" s="5">
        <v>0</v>
      </c>
      <c r="P626" s="5">
        <v>0</v>
      </c>
      <c r="Q626" s="5">
        <v>0</v>
      </c>
      <c r="R626" s="5">
        <v>0</v>
      </c>
      <c r="S626" s="5">
        <v>0</v>
      </c>
      <c r="T626" s="5">
        <v>0</v>
      </c>
      <c r="U626" s="6">
        <v>5</v>
      </c>
      <c r="V626" s="5">
        <v>10</v>
      </c>
      <c r="W626" s="5">
        <v>5</v>
      </c>
      <c r="X626" s="16">
        <v>2000</v>
      </c>
      <c r="Y626" s="16">
        <v>7000</v>
      </c>
      <c r="Z626" s="16">
        <v>14000</v>
      </c>
      <c r="AA626" s="12" t="str">
        <f t="shared" si="118"/>
        <v>0/30</v>
      </c>
      <c r="AB626" s="12" t="str">
        <f t="shared" si="119"/>
        <v>100,0,100,100,100,100</v>
      </c>
      <c r="AC626" s="12">
        <f t="shared" si="120"/>
        <v>4</v>
      </c>
      <c r="AD626" s="12" t="str">
        <f t="shared" si="121"/>
        <v>2000/7000/14000</v>
      </c>
      <c r="AE626" s="12" t="str">
        <f t="shared" si="122"/>
        <v/>
      </c>
      <c r="AF626" s="12" t="str">
        <f t="shared" si="123"/>
        <v/>
      </c>
      <c r="AG626" s="12" t="str">
        <f t="shared" si="124"/>
        <v/>
      </c>
      <c r="AH626" s="12" t="str">
        <f t="shared" si="125"/>
        <v/>
      </c>
      <c r="AI626" s="12" t="str">
        <f t="shared" si="126"/>
        <v>10/5</v>
      </c>
    </row>
    <row r="627" spans="1:35" s="8" customFormat="1" ht="21.95" customHeight="1">
      <c r="A627" s="9">
        <v>625</v>
      </c>
      <c r="B627" s="17">
        <v>625</v>
      </c>
      <c r="C627" s="6">
        <v>30</v>
      </c>
      <c r="D627" s="6">
        <v>0</v>
      </c>
      <c r="E627" s="5">
        <v>100</v>
      </c>
      <c r="F627" s="5">
        <v>100</v>
      </c>
      <c r="G627" s="5">
        <v>0</v>
      </c>
      <c r="H627" s="5">
        <v>100</v>
      </c>
      <c r="I627" s="5">
        <v>100</v>
      </c>
      <c r="J627" s="5">
        <v>100</v>
      </c>
      <c r="K627" s="15" t="s">
        <v>55</v>
      </c>
      <c r="L627" s="6">
        <v>3</v>
      </c>
      <c r="M627" s="6">
        <v>0</v>
      </c>
      <c r="N627" s="6">
        <v>0</v>
      </c>
      <c r="O627" s="5">
        <v>0</v>
      </c>
      <c r="P627" s="5">
        <v>0</v>
      </c>
      <c r="Q627" s="5">
        <v>0</v>
      </c>
      <c r="R627" s="5">
        <v>0</v>
      </c>
      <c r="S627" s="5">
        <v>0</v>
      </c>
      <c r="T627" s="5">
        <v>0</v>
      </c>
      <c r="U627" s="6">
        <v>5</v>
      </c>
      <c r="V627" s="5">
        <v>10</v>
      </c>
      <c r="W627" s="5">
        <v>5</v>
      </c>
      <c r="X627" s="16">
        <v>2000</v>
      </c>
      <c r="Y627" s="16">
        <v>7000</v>
      </c>
      <c r="Z627" s="16">
        <v>14000</v>
      </c>
      <c r="AA627" s="12" t="str">
        <f t="shared" si="118"/>
        <v>0/30</v>
      </c>
      <c r="AB627" s="12" t="str">
        <f t="shared" si="119"/>
        <v>100,100,0,100,100,100</v>
      </c>
      <c r="AC627" s="12">
        <f t="shared" si="120"/>
        <v>4</v>
      </c>
      <c r="AD627" s="12" t="str">
        <f t="shared" si="121"/>
        <v>2000/7000/14000</v>
      </c>
      <c r="AE627" s="12" t="str">
        <f t="shared" si="122"/>
        <v/>
      </c>
      <c r="AF627" s="12" t="str">
        <f t="shared" si="123"/>
        <v/>
      </c>
      <c r="AG627" s="12" t="str">
        <f t="shared" si="124"/>
        <v/>
      </c>
      <c r="AH627" s="12" t="str">
        <f t="shared" si="125"/>
        <v/>
      </c>
      <c r="AI627" s="12" t="str">
        <f t="shared" si="126"/>
        <v>10/5</v>
      </c>
    </row>
    <row r="628" spans="1:35" s="8" customFormat="1" ht="21.95" customHeight="1">
      <c r="A628" s="9">
        <v>626</v>
      </c>
      <c r="B628" s="17">
        <v>626</v>
      </c>
      <c r="C628" s="6">
        <v>32</v>
      </c>
      <c r="D628" s="6">
        <v>0</v>
      </c>
      <c r="E628" s="5">
        <v>100</v>
      </c>
      <c r="F628" s="5">
        <v>100</v>
      </c>
      <c r="G628" s="5">
        <v>100</v>
      </c>
      <c r="H628" s="5">
        <v>0</v>
      </c>
      <c r="I628" s="5">
        <v>100</v>
      </c>
      <c r="J628" s="5">
        <v>100</v>
      </c>
      <c r="K628" s="15" t="s">
        <v>51</v>
      </c>
      <c r="L628" s="6">
        <v>3</v>
      </c>
      <c r="M628" s="6">
        <v>0</v>
      </c>
      <c r="N628" s="6">
        <v>0</v>
      </c>
      <c r="O628" s="5">
        <v>0</v>
      </c>
      <c r="P628" s="5">
        <v>0</v>
      </c>
      <c r="Q628" s="5">
        <v>0</v>
      </c>
      <c r="R628" s="5">
        <v>0</v>
      </c>
      <c r="S628" s="5">
        <v>0</v>
      </c>
      <c r="T628" s="5">
        <v>0</v>
      </c>
      <c r="U628" s="6">
        <v>0</v>
      </c>
      <c r="V628" s="5">
        <v>10</v>
      </c>
      <c r="W628" s="5">
        <v>5</v>
      </c>
      <c r="X628" s="16">
        <v>2000</v>
      </c>
      <c r="Y628" s="16">
        <v>7000</v>
      </c>
      <c r="Z628" s="16">
        <v>14000</v>
      </c>
      <c r="AA628" s="12" t="str">
        <f t="shared" si="118"/>
        <v>0/32</v>
      </c>
      <c r="AB628" s="12" t="str">
        <f t="shared" si="119"/>
        <v>100,100,100,0,100,100</v>
      </c>
      <c r="AC628" s="12">
        <f t="shared" si="120"/>
        <v>0</v>
      </c>
      <c r="AD628" s="12" t="str">
        <f t="shared" si="121"/>
        <v>2000/7000/14000</v>
      </c>
      <c r="AE628" s="12" t="str">
        <f t="shared" si="122"/>
        <v/>
      </c>
      <c r="AF628" s="12" t="str">
        <f t="shared" si="123"/>
        <v/>
      </c>
      <c r="AG628" s="12" t="str">
        <f t="shared" si="124"/>
        <v/>
      </c>
      <c r="AH628" s="12" t="str">
        <f t="shared" si="125"/>
        <v/>
      </c>
      <c r="AI628" s="12" t="str">
        <f t="shared" si="126"/>
        <v>10/5</v>
      </c>
    </row>
    <row r="629" spans="1:35" s="8" customFormat="1" ht="21.95" customHeight="1">
      <c r="A629" s="9">
        <v>627</v>
      </c>
      <c r="B629" s="17">
        <v>627</v>
      </c>
      <c r="C629" s="6">
        <v>30</v>
      </c>
      <c r="D629" s="6">
        <v>0</v>
      </c>
      <c r="E629" s="5">
        <v>100</v>
      </c>
      <c r="F629" s="5">
        <v>100</v>
      </c>
      <c r="G629" s="5">
        <v>0</v>
      </c>
      <c r="H629" s="5">
        <v>100</v>
      </c>
      <c r="I629" s="5">
        <v>100</v>
      </c>
      <c r="J629" s="5">
        <v>100</v>
      </c>
      <c r="K629" s="15" t="s">
        <v>56</v>
      </c>
      <c r="L629" s="6">
        <v>3</v>
      </c>
      <c r="M629" s="6">
        <v>0</v>
      </c>
      <c r="N629" s="6">
        <v>0</v>
      </c>
      <c r="O629" s="5">
        <v>0</v>
      </c>
      <c r="P629" s="5">
        <v>0</v>
      </c>
      <c r="Q629" s="5">
        <v>0</v>
      </c>
      <c r="R629" s="5">
        <v>0</v>
      </c>
      <c r="S629" s="5">
        <v>0</v>
      </c>
      <c r="T629" s="5">
        <v>0</v>
      </c>
      <c r="U629" s="6">
        <v>0</v>
      </c>
      <c r="V629" s="5">
        <v>10</v>
      </c>
      <c r="W629" s="5">
        <v>5</v>
      </c>
      <c r="X629" s="16">
        <v>2000</v>
      </c>
      <c r="Y629" s="16">
        <v>7000</v>
      </c>
      <c r="Z629" s="16">
        <v>14000</v>
      </c>
      <c r="AA629" s="12" t="str">
        <f t="shared" si="118"/>
        <v>0/30</v>
      </c>
      <c r="AB629" s="12" t="str">
        <f t="shared" si="119"/>
        <v>100,100,0,100,100,100</v>
      </c>
      <c r="AC629" s="12">
        <f t="shared" si="120"/>
        <v>5</v>
      </c>
      <c r="AD629" s="12" t="str">
        <f t="shared" si="121"/>
        <v>2000/7000/14000</v>
      </c>
      <c r="AE629" s="12" t="str">
        <f t="shared" si="122"/>
        <v/>
      </c>
      <c r="AF629" s="12" t="str">
        <f t="shared" si="123"/>
        <v/>
      </c>
      <c r="AG629" s="12" t="str">
        <f t="shared" si="124"/>
        <v/>
      </c>
      <c r="AH629" s="12" t="str">
        <f t="shared" si="125"/>
        <v/>
      </c>
      <c r="AI629" s="12" t="str">
        <f t="shared" si="126"/>
        <v>10/5</v>
      </c>
    </row>
    <row r="630" spans="1:35" s="8" customFormat="1" ht="21.95" customHeight="1">
      <c r="A630" s="9">
        <v>628</v>
      </c>
      <c r="B630" s="17">
        <v>628</v>
      </c>
      <c r="C630" s="6">
        <v>30</v>
      </c>
      <c r="D630" s="6">
        <v>0</v>
      </c>
      <c r="E630" s="5">
        <v>100</v>
      </c>
      <c r="F630" s="5">
        <v>100</v>
      </c>
      <c r="G630" s="5">
        <v>100</v>
      </c>
      <c r="H630" s="5">
        <v>0</v>
      </c>
      <c r="I630" s="5">
        <v>100</v>
      </c>
      <c r="J630" s="5">
        <v>100</v>
      </c>
      <c r="K630" s="15" t="s">
        <v>53</v>
      </c>
      <c r="L630" s="6">
        <v>3</v>
      </c>
      <c r="M630" s="6">
        <v>0</v>
      </c>
      <c r="N630" s="6">
        <v>0</v>
      </c>
      <c r="O630" s="5">
        <v>0</v>
      </c>
      <c r="P630" s="5">
        <v>0</v>
      </c>
      <c r="Q630" s="5">
        <v>0</v>
      </c>
      <c r="R630" s="5">
        <v>0</v>
      </c>
      <c r="S630" s="5">
        <v>18</v>
      </c>
      <c r="T630" s="5">
        <v>16</v>
      </c>
      <c r="U630" s="6">
        <v>0</v>
      </c>
      <c r="V630" s="5">
        <v>10</v>
      </c>
      <c r="W630" s="5">
        <v>5</v>
      </c>
      <c r="X630" s="16">
        <v>2000</v>
      </c>
      <c r="Y630" s="16">
        <v>7000</v>
      </c>
      <c r="Z630" s="16">
        <v>14000</v>
      </c>
      <c r="AA630" s="12" t="str">
        <f t="shared" si="118"/>
        <v>0/30</v>
      </c>
      <c r="AB630" s="12" t="str">
        <f t="shared" si="119"/>
        <v>100,100,100,0,100,100</v>
      </c>
      <c r="AC630" s="12">
        <f t="shared" si="120"/>
        <v>2</v>
      </c>
      <c r="AD630" s="12" t="str">
        <f t="shared" si="121"/>
        <v>2000/7000/14000</v>
      </c>
      <c r="AE630" s="12" t="str">
        <f t="shared" si="122"/>
        <v/>
      </c>
      <c r="AF630" s="12" t="str">
        <f t="shared" si="123"/>
        <v/>
      </c>
      <c r="AG630" s="12" t="str">
        <f t="shared" si="124"/>
        <v>4/5/</v>
      </c>
      <c r="AH630" s="12" t="str">
        <f t="shared" si="125"/>
        <v>18/16/</v>
      </c>
      <c r="AI630" s="12" t="str">
        <f t="shared" si="126"/>
        <v>10/5</v>
      </c>
    </row>
    <row r="631" spans="1:35" s="8" customFormat="1" ht="21.95" customHeight="1">
      <c r="A631" s="9">
        <v>629</v>
      </c>
      <c r="B631" s="17">
        <v>629</v>
      </c>
      <c r="C631" s="6">
        <v>30</v>
      </c>
      <c r="D631" s="6">
        <v>0</v>
      </c>
      <c r="E631" s="5">
        <v>100</v>
      </c>
      <c r="F631" s="5">
        <v>100</v>
      </c>
      <c r="G631" s="5">
        <v>100</v>
      </c>
      <c r="H631" s="5">
        <v>100</v>
      </c>
      <c r="I631" s="5">
        <v>0</v>
      </c>
      <c r="J631" s="5">
        <v>100</v>
      </c>
      <c r="K631" s="15" t="s">
        <v>53</v>
      </c>
      <c r="L631" s="6">
        <v>3</v>
      </c>
      <c r="M631" s="6">
        <v>0</v>
      </c>
      <c r="N631" s="6">
        <v>0</v>
      </c>
      <c r="O631" s="5">
        <v>16</v>
      </c>
      <c r="P631" s="5">
        <v>0</v>
      </c>
      <c r="Q631" s="5">
        <v>0</v>
      </c>
      <c r="R631" s="5">
        <v>0</v>
      </c>
      <c r="S631" s="5">
        <v>0</v>
      </c>
      <c r="T631" s="5">
        <v>18</v>
      </c>
      <c r="U631" s="6">
        <v>0</v>
      </c>
      <c r="V631" s="5">
        <v>10</v>
      </c>
      <c r="W631" s="5">
        <v>5</v>
      </c>
      <c r="X631" s="16">
        <v>2000</v>
      </c>
      <c r="Y631" s="16">
        <v>7000</v>
      </c>
      <c r="Z631" s="16">
        <v>14000</v>
      </c>
      <c r="AA631" s="12" t="str">
        <f t="shared" si="118"/>
        <v>0/30</v>
      </c>
      <c r="AB631" s="12" t="str">
        <f t="shared" si="119"/>
        <v>100,100,100,100,0,100</v>
      </c>
      <c r="AC631" s="12">
        <f t="shared" si="120"/>
        <v>2</v>
      </c>
      <c r="AD631" s="12" t="str">
        <f t="shared" si="121"/>
        <v>2000/7000/14000</v>
      </c>
      <c r="AE631" s="12" t="str">
        <f t="shared" si="122"/>
        <v/>
      </c>
      <c r="AF631" s="12" t="str">
        <f t="shared" si="123"/>
        <v/>
      </c>
      <c r="AG631" s="12" t="str">
        <f t="shared" si="124"/>
        <v>0/5/</v>
      </c>
      <c r="AH631" s="12" t="str">
        <f t="shared" si="125"/>
        <v>16/18/</v>
      </c>
      <c r="AI631" s="12" t="str">
        <f t="shared" si="126"/>
        <v>10/5</v>
      </c>
    </row>
    <row r="632" spans="1:35" s="8" customFormat="1" ht="21.95" customHeight="1">
      <c r="A632" s="9">
        <v>630</v>
      </c>
      <c r="B632" s="17">
        <v>630</v>
      </c>
      <c r="C632" s="6">
        <v>30</v>
      </c>
      <c r="D632" s="6">
        <v>0</v>
      </c>
      <c r="E632" s="5">
        <v>100</v>
      </c>
      <c r="F632" s="5">
        <v>100</v>
      </c>
      <c r="G632" s="5">
        <v>100</v>
      </c>
      <c r="H632" s="5">
        <v>100</v>
      </c>
      <c r="I632" s="5">
        <v>100</v>
      </c>
      <c r="J632" s="5">
        <v>0</v>
      </c>
      <c r="K632" s="15" t="s">
        <v>52</v>
      </c>
      <c r="L632" s="6">
        <v>3</v>
      </c>
      <c r="M632" s="6">
        <v>6</v>
      </c>
      <c r="N632" s="6">
        <v>0</v>
      </c>
      <c r="O632" s="5">
        <v>0</v>
      </c>
      <c r="P632" s="5">
        <v>0</v>
      </c>
      <c r="Q632" s="5">
        <v>0</v>
      </c>
      <c r="R632" s="5">
        <v>0</v>
      </c>
      <c r="S632" s="5">
        <v>0</v>
      </c>
      <c r="T632" s="5">
        <v>0</v>
      </c>
      <c r="U632" s="6">
        <v>0</v>
      </c>
      <c r="V632" s="5">
        <v>10</v>
      </c>
      <c r="W632" s="5">
        <v>5</v>
      </c>
      <c r="X632" s="16">
        <v>2000</v>
      </c>
      <c r="Y632" s="16">
        <v>7000</v>
      </c>
      <c r="Z632" s="16">
        <v>14000</v>
      </c>
      <c r="AA632" s="12" t="str">
        <f t="shared" si="118"/>
        <v>0/30</v>
      </c>
      <c r="AB632" s="12" t="str">
        <f t="shared" si="119"/>
        <v>100,100,100,100,100,0</v>
      </c>
      <c r="AC632" s="12">
        <f t="shared" si="120"/>
        <v>1</v>
      </c>
      <c r="AD632" s="12" t="str">
        <f t="shared" si="121"/>
        <v>2000/7000/14000</v>
      </c>
      <c r="AE632" s="12" t="str">
        <f t="shared" si="122"/>
        <v>0/</v>
      </c>
      <c r="AF632" s="12" t="str">
        <f t="shared" si="123"/>
        <v>6/</v>
      </c>
      <c r="AG632" s="12" t="str">
        <f t="shared" si="124"/>
        <v/>
      </c>
      <c r="AH632" s="12" t="str">
        <f t="shared" si="125"/>
        <v/>
      </c>
      <c r="AI632" s="12" t="str">
        <f t="shared" si="126"/>
        <v>10/5</v>
      </c>
    </row>
    <row r="633" spans="1:35" s="8" customFormat="1" ht="21.95" customHeight="1">
      <c r="A633" s="9">
        <v>631</v>
      </c>
      <c r="B633" s="17">
        <v>631</v>
      </c>
      <c r="C633" s="6">
        <v>30</v>
      </c>
      <c r="D633" s="6">
        <v>0</v>
      </c>
      <c r="E633" s="5">
        <v>0</v>
      </c>
      <c r="F633" s="5">
        <v>100</v>
      </c>
      <c r="G633" s="5">
        <v>100</v>
      </c>
      <c r="H633" s="5">
        <v>100</v>
      </c>
      <c r="I633" s="5">
        <v>100</v>
      </c>
      <c r="J633" s="5">
        <v>100</v>
      </c>
      <c r="K633" s="15" t="s">
        <v>52</v>
      </c>
      <c r="L633" s="6">
        <v>3</v>
      </c>
      <c r="M633" s="6">
        <v>0</v>
      </c>
      <c r="N633" s="6">
        <v>6</v>
      </c>
      <c r="O633" s="5">
        <v>0</v>
      </c>
      <c r="P633" s="5">
        <v>0</v>
      </c>
      <c r="Q633" s="5">
        <v>0</v>
      </c>
      <c r="R633" s="5">
        <v>0</v>
      </c>
      <c r="S633" s="5">
        <v>0</v>
      </c>
      <c r="T633" s="5">
        <v>0</v>
      </c>
      <c r="U633" s="6">
        <v>0</v>
      </c>
      <c r="V633" s="5">
        <v>10</v>
      </c>
      <c r="W633" s="5">
        <v>5</v>
      </c>
      <c r="X633" s="16">
        <v>2000</v>
      </c>
      <c r="Y633" s="16">
        <v>7000</v>
      </c>
      <c r="Z633" s="16">
        <v>14000</v>
      </c>
      <c r="AA633" s="12" t="str">
        <f t="shared" si="118"/>
        <v>0/30</v>
      </c>
      <c r="AB633" s="12" t="str">
        <f t="shared" si="119"/>
        <v>0,100,100,100,100,100</v>
      </c>
      <c r="AC633" s="12">
        <f t="shared" si="120"/>
        <v>1</v>
      </c>
      <c r="AD633" s="12" t="str">
        <f t="shared" si="121"/>
        <v>2000/7000/14000</v>
      </c>
      <c r="AE633" s="12" t="str">
        <f t="shared" si="122"/>
        <v>1/</v>
      </c>
      <c r="AF633" s="12" t="str">
        <f t="shared" si="123"/>
        <v>6/</v>
      </c>
      <c r="AG633" s="12" t="str">
        <f t="shared" si="124"/>
        <v/>
      </c>
      <c r="AH633" s="12" t="str">
        <f t="shared" si="125"/>
        <v/>
      </c>
      <c r="AI633" s="12" t="str">
        <f t="shared" si="126"/>
        <v>10/5</v>
      </c>
    </row>
    <row r="634" spans="1:35" s="8" customFormat="1" ht="21.95" customHeight="1">
      <c r="A634" s="9">
        <v>632</v>
      </c>
      <c r="B634" s="17">
        <v>632</v>
      </c>
      <c r="C634" s="6">
        <v>0</v>
      </c>
      <c r="D634" s="6">
        <v>60</v>
      </c>
      <c r="E634" s="5">
        <v>100</v>
      </c>
      <c r="F634" s="5">
        <v>0</v>
      </c>
      <c r="G634" s="5">
        <v>100</v>
      </c>
      <c r="H634" s="5">
        <v>100</v>
      </c>
      <c r="I634" s="5">
        <v>100</v>
      </c>
      <c r="J634" s="5">
        <v>100</v>
      </c>
      <c r="K634" s="15" t="s">
        <v>54</v>
      </c>
      <c r="L634" s="6">
        <v>3</v>
      </c>
      <c r="M634" s="6">
        <v>0</v>
      </c>
      <c r="N634" s="6">
        <v>0</v>
      </c>
      <c r="O634" s="5">
        <v>0</v>
      </c>
      <c r="P634" s="5">
        <v>0</v>
      </c>
      <c r="Q634" s="5">
        <v>0</v>
      </c>
      <c r="R634" s="5">
        <v>0</v>
      </c>
      <c r="S634" s="5">
        <v>0</v>
      </c>
      <c r="T634" s="5">
        <v>0</v>
      </c>
      <c r="U634" s="6">
        <v>0</v>
      </c>
      <c r="V634" s="5">
        <v>10</v>
      </c>
      <c r="W634" s="5">
        <v>5</v>
      </c>
      <c r="X634" s="16">
        <v>2000</v>
      </c>
      <c r="Y634" s="16">
        <v>7000</v>
      </c>
      <c r="Z634" s="16">
        <v>14000</v>
      </c>
      <c r="AA634" s="12" t="str">
        <f t="shared" si="118"/>
        <v>1/60</v>
      </c>
      <c r="AB634" s="12" t="str">
        <f t="shared" si="119"/>
        <v>100,0,100,100,100,100</v>
      </c>
      <c r="AC634" s="12">
        <f t="shared" si="120"/>
        <v>3</v>
      </c>
      <c r="AD634" s="12" t="str">
        <f t="shared" si="121"/>
        <v>2000/7000/14000</v>
      </c>
      <c r="AE634" s="12" t="str">
        <f t="shared" si="122"/>
        <v/>
      </c>
      <c r="AF634" s="12" t="str">
        <f t="shared" si="123"/>
        <v/>
      </c>
      <c r="AG634" s="12" t="str">
        <f t="shared" si="124"/>
        <v/>
      </c>
      <c r="AH634" s="12" t="str">
        <f t="shared" si="125"/>
        <v/>
      </c>
      <c r="AI634" s="12" t="str">
        <f t="shared" si="126"/>
        <v>10/5</v>
      </c>
    </row>
    <row r="635" spans="1:35" s="8" customFormat="1" ht="21.95" customHeight="1">
      <c r="A635" s="9">
        <v>633</v>
      </c>
      <c r="B635" s="17">
        <v>633</v>
      </c>
      <c r="C635" s="6">
        <v>0</v>
      </c>
      <c r="D635" s="6">
        <v>60</v>
      </c>
      <c r="E635" s="5">
        <v>100</v>
      </c>
      <c r="F635" s="5">
        <v>100</v>
      </c>
      <c r="G635" s="5">
        <v>0</v>
      </c>
      <c r="H635" s="5">
        <v>100</v>
      </c>
      <c r="I635" s="5">
        <v>100</v>
      </c>
      <c r="J635" s="5">
        <v>100</v>
      </c>
      <c r="K635" s="15" t="s">
        <v>56</v>
      </c>
      <c r="L635" s="6">
        <v>3</v>
      </c>
      <c r="M635" s="6">
        <v>0</v>
      </c>
      <c r="N635" s="6">
        <v>0</v>
      </c>
      <c r="O635" s="5">
        <v>0</v>
      </c>
      <c r="P635" s="5">
        <v>0</v>
      </c>
      <c r="Q635" s="5">
        <v>0</v>
      </c>
      <c r="R635" s="5">
        <v>0</v>
      </c>
      <c r="S635" s="5">
        <v>0</v>
      </c>
      <c r="T635" s="5">
        <v>0</v>
      </c>
      <c r="U635" s="6">
        <v>0</v>
      </c>
      <c r="V635" s="5">
        <v>10</v>
      </c>
      <c r="W635" s="5">
        <v>5</v>
      </c>
      <c r="X635" s="16">
        <v>2000</v>
      </c>
      <c r="Y635" s="16">
        <v>7000</v>
      </c>
      <c r="Z635" s="16">
        <v>14000</v>
      </c>
      <c r="AA635" s="12" t="str">
        <f t="shared" si="118"/>
        <v>1/60</v>
      </c>
      <c r="AB635" s="12" t="str">
        <f t="shared" si="119"/>
        <v>100,100,0,100,100,100</v>
      </c>
      <c r="AC635" s="12">
        <f t="shared" si="120"/>
        <v>5</v>
      </c>
      <c r="AD635" s="12" t="str">
        <f t="shared" si="121"/>
        <v>2000/7000/14000</v>
      </c>
      <c r="AE635" s="12" t="str">
        <f t="shared" si="122"/>
        <v/>
      </c>
      <c r="AF635" s="12" t="str">
        <f t="shared" si="123"/>
        <v/>
      </c>
      <c r="AG635" s="12" t="str">
        <f t="shared" si="124"/>
        <v/>
      </c>
      <c r="AH635" s="12" t="str">
        <f t="shared" si="125"/>
        <v/>
      </c>
      <c r="AI635" s="12" t="str">
        <f t="shared" si="126"/>
        <v>10/5</v>
      </c>
    </row>
    <row r="636" spans="1:35" s="8" customFormat="1" ht="21.95" customHeight="1">
      <c r="A636" s="9">
        <v>634</v>
      </c>
      <c r="B636" s="17">
        <v>634</v>
      </c>
      <c r="C636" s="6">
        <v>0</v>
      </c>
      <c r="D636" s="6">
        <v>60</v>
      </c>
      <c r="E636" s="5">
        <v>100</v>
      </c>
      <c r="F636" s="5">
        <v>100</v>
      </c>
      <c r="G636" s="5">
        <v>100</v>
      </c>
      <c r="H636" s="5">
        <v>0</v>
      </c>
      <c r="I636" s="5">
        <v>100</v>
      </c>
      <c r="J636" s="5">
        <v>100</v>
      </c>
      <c r="K636" s="15" t="s">
        <v>53</v>
      </c>
      <c r="L636" s="6">
        <v>3</v>
      </c>
      <c r="M636" s="6">
        <v>0</v>
      </c>
      <c r="N636" s="6">
        <v>0</v>
      </c>
      <c r="O636" s="5">
        <v>0</v>
      </c>
      <c r="P636" s="5">
        <v>0</v>
      </c>
      <c r="Q636" s="5">
        <v>0</v>
      </c>
      <c r="R636" s="5">
        <v>0</v>
      </c>
      <c r="S636" s="5">
        <v>18</v>
      </c>
      <c r="T636" s="5">
        <v>16</v>
      </c>
      <c r="U636" s="6">
        <v>0</v>
      </c>
      <c r="V636" s="5">
        <v>10</v>
      </c>
      <c r="W636" s="5">
        <v>5</v>
      </c>
      <c r="X636" s="16">
        <v>2000</v>
      </c>
      <c r="Y636" s="16">
        <v>7000</v>
      </c>
      <c r="Z636" s="16">
        <v>14000</v>
      </c>
      <c r="AA636" s="12" t="str">
        <f t="shared" si="118"/>
        <v>1/60</v>
      </c>
      <c r="AB636" s="12" t="str">
        <f t="shared" si="119"/>
        <v>100,100,100,0,100,100</v>
      </c>
      <c r="AC636" s="12">
        <f t="shared" si="120"/>
        <v>2</v>
      </c>
      <c r="AD636" s="12" t="str">
        <f t="shared" si="121"/>
        <v>2000/7000/14000</v>
      </c>
      <c r="AE636" s="12" t="str">
        <f t="shared" si="122"/>
        <v/>
      </c>
      <c r="AF636" s="12" t="str">
        <f t="shared" si="123"/>
        <v/>
      </c>
      <c r="AG636" s="12" t="str">
        <f t="shared" si="124"/>
        <v>4/5/</v>
      </c>
      <c r="AH636" s="12" t="str">
        <f t="shared" si="125"/>
        <v>18/16/</v>
      </c>
      <c r="AI636" s="12" t="str">
        <f t="shared" si="126"/>
        <v>10/5</v>
      </c>
    </row>
    <row r="637" spans="1:35" s="8" customFormat="1" ht="21.95" customHeight="1">
      <c r="A637" s="9">
        <v>635</v>
      </c>
      <c r="B637" s="17">
        <v>635</v>
      </c>
      <c r="C637" s="6">
        <v>30</v>
      </c>
      <c r="D637" s="6">
        <v>0</v>
      </c>
      <c r="E637" s="5">
        <v>100</v>
      </c>
      <c r="F637" s="5">
        <v>100</v>
      </c>
      <c r="G637" s="5">
        <v>100</v>
      </c>
      <c r="H637" s="5">
        <v>100</v>
      </c>
      <c r="I637" s="5">
        <v>0</v>
      </c>
      <c r="J637" s="5">
        <v>100</v>
      </c>
      <c r="K637" s="15" t="s">
        <v>53</v>
      </c>
      <c r="L637" s="6">
        <v>3</v>
      </c>
      <c r="M637" s="6">
        <v>0</v>
      </c>
      <c r="N637" s="6">
        <v>0</v>
      </c>
      <c r="O637" s="5">
        <v>16</v>
      </c>
      <c r="P637" s="5">
        <v>0</v>
      </c>
      <c r="Q637" s="5">
        <v>0</v>
      </c>
      <c r="R637" s="5">
        <v>0</v>
      </c>
      <c r="S637" s="5">
        <v>0</v>
      </c>
      <c r="T637" s="5">
        <v>18</v>
      </c>
      <c r="U637" s="6">
        <v>0</v>
      </c>
      <c r="V637" s="5">
        <v>10</v>
      </c>
      <c r="W637" s="5">
        <v>5</v>
      </c>
      <c r="X637" s="16">
        <v>2000</v>
      </c>
      <c r="Y637" s="16">
        <v>7000</v>
      </c>
      <c r="Z637" s="16">
        <v>14000</v>
      </c>
      <c r="AA637" s="12" t="str">
        <f t="shared" si="118"/>
        <v>0/30</v>
      </c>
      <c r="AB637" s="12" t="str">
        <f t="shared" si="119"/>
        <v>100,100,100,100,0,100</v>
      </c>
      <c r="AC637" s="12">
        <f t="shared" si="120"/>
        <v>2</v>
      </c>
      <c r="AD637" s="12" t="str">
        <f t="shared" si="121"/>
        <v>2000/7000/14000</v>
      </c>
      <c r="AE637" s="12" t="str">
        <f t="shared" si="122"/>
        <v/>
      </c>
      <c r="AF637" s="12" t="str">
        <f t="shared" si="123"/>
        <v/>
      </c>
      <c r="AG637" s="12" t="str">
        <f t="shared" si="124"/>
        <v>0/5/</v>
      </c>
      <c r="AH637" s="12" t="str">
        <f t="shared" si="125"/>
        <v>16/18/</v>
      </c>
      <c r="AI637" s="12" t="str">
        <f t="shared" si="126"/>
        <v>10/5</v>
      </c>
    </row>
    <row r="638" spans="1:35" s="8" customFormat="1" ht="21.95" customHeight="1">
      <c r="A638" s="9">
        <v>636</v>
      </c>
      <c r="B638" s="17">
        <v>636</v>
      </c>
      <c r="C638" s="6">
        <v>30</v>
      </c>
      <c r="D638" s="6">
        <v>0</v>
      </c>
      <c r="E638" s="5">
        <v>100</v>
      </c>
      <c r="F638" s="5">
        <v>100</v>
      </c>
      <c r="G638" s="5">
        <v>100</v>
      </c>
      <c r="H638" s="5">
        <v>100</v>
      </c>
      <c r="I638" s="5">
        <v>100</v>
      </c>
      <c r="J638" s="5">
        <v>0</v>
      </c>
      <c r="K638" s="15" t="s">
        <v>52</v>
      </c>
      <c r="L638" s="6">
        <v>3</v>
      </c>
      <c r="M638" s="6">
        <v>6</v>
      </c>
      <c r="N638" s="6">
        <v>0</v>
      </c>
      <c r="O638" s="5">
        <v>0</v>
      </c>
      <c r="P638" s="5">
        <v>0</v>
      </c>
      <c r="Q638" s="5">
        <v>0</v>
      </c>
      <c r="R638" s="5">
        <v>0</v>
      </c>
      <c r="S638" s="5">
        <v>0</v>
      </c>
      <c r="T638" s="5">
        <v>0</v>
      </c>
      <c r="U638" s="6">
        <v>0</v>
      </c>
      <c r="V638" s="5">
        <v>10</v>
      </c>
      <c r="W638" s="5">
        <v>5</v>
      </c>
      <c r="X638" s="16">
        <v>2000</v>
      </c>
      <c r="Y638" s="16">
        <v>7000</v>
      </c>
      <c r="Z638" s="16">
        <v>14000</v>
      </c>
      <c r="AA638" s="12" t="str">
        <f t="shared" si="118"/>
        <v>0/30</v>
      </c>
      <c r="AB638" s="12" t="str">
        <f t="shared" si="119"/>
        <v>100,100,100,100,100,0</v>
      </c>
      <c r="AC638" s="12">
        <f t="shared" si="120"/>
        <v>1</v>
      </c>
      <c r="AD638" s="12" t="str">
        <f t="shared" si="121"/>
        <v>2000/7000/14000</v>
      </c>
      <c r="AE638" s="12" t="str">
        <f t="shared" si="122"/>
        <v>0/</v>
      </c>
      <c r="AF638" s="12" t="str">
        <f t="shared" si="123"/>
        <v>6/</v>
      </c>
      <c r="AG638" s="12" t="str">
        <f t="shared" si="124"/>
        <v/>
      </c>
      <c r="AH638" s="12" t="str">
        <f t="shared" si="125"/>
        <v/>
      </c>
      <c r="AI638" s="12" t="str">
        <f t="shared" si="126"/>
        <v>10/5</v>
      </c>
    </row>
    <row r="639" spans="1:35" s="8" customFormat="1" ht="21.95" customHeight="1">
      <c r="A639" s="9">
        <v>637</v>
      </c>
      <c r="B639" s="17">
        <v>637</v>
      </c>
      <c r="C639" s="6">
        <v>30</v>
      </c>
      <c r="D639" s="6">
        <v>0</v>
      </c>
      <c r="E639" s="5">
        <v>0</v>
      </c>
      <c r="F639" s="5">
        <v>100</v>
      </c>
      <c r="G639" s="5">
        <v>100</v>
      </c>
      <c r="H639" s="5">
        <v>100</v>
      </c>
      <c r="I639" s="5">
        <v>100</v>
      </c>
      <c r="J639" s="5">
        <v>100</v>
      </c>
      <c r="K639" s="15" t="s">
        <v>52</v>
      </c>
      <c r="L639" s="6">
        <v>3</v>
      </c>
      <c r="M639" s="6">
        <v>0</v>
      </c>
      <c r="N639" s="6">
        <v>6</v>
      </c>
      <c r="O639" s="5">
        <v>0</v>
      </c>
      <c r="P639" s="5">
        <v>0</v>
      </c>
      <c r="Q639" s="5">
        <v>0</v>
      </c>
      <c r="R639" s="5">
        <v>0</v>
      </c>
      <c r="S639" s="5">
        <v>0</v>
      </c>
      <c r="T639" s="5">
        <v>0</v>
      </c>
      <c r="U639" s="6">
        <v>0</v>
      </c>
      <c r="V639" s="5">
        <v>10</v>
      </c>
      <c r="W639" s="5">
        <v>5</v>
      </c>
      <c r="X639" s="16">
        <v>2000</v>
      </c>
      <c r="Y639" s="16">
        <v>7000</v>
      </c>
      <c r="Z639" s="16">
        <v>14000</v>
      </c>
      <c r="AA639" s="12" t="str">
        <f t="shared" si="118"/>
        <v>0/30</v>
      </c>
      <c r="AB639" s="12" t="str">
        <f t="shared" si="119"/>
        <v>0,100,100,100,100,100</v>
      </c>
      <c r="AC639" s="12">
        <f t="shared" si="120"/>
        <v>1</v>
      </c>
      <c r="AD639" s="12" t="str">
        <f t="shared" si="121"/>
        <v>2000/7000/14000</v>
      </c>
      <c r="AE639" s="12" t="str">
        <f t="shared" si="122"/>
        <v>1/</v>
      </c>
      <c r="AF639" s="12" t="str">
        <f t="shared" si="123"/>
        <v>6/</v>
      </c>
      <c r="AG639" s="12" t="str">
        <f t="shared" si="124"/>
        <v/>
      </c>
      <c r="AH639" s="12" t="str">
        <f t="shared" si="125"/>
        <v/>
      </c>
      <c r="AI639" s="12" t="str">
        <f t="shared" si="126"/>
        <v>10/5</v>
      </c>
    </row>
    <row r="640" spans="1:35" s="8" customFormat="1" ht="21.95" customHeight="1">
      <c r="A640" s="9">
        <v>638</v>
      </c>
      <c r="B640" s="17">
        <v>638</v>
      </c>
      <c r="C640" s="6">
        <v>0</v>
      </c>
      <c r="D640" s="6">
        <v>60</v>
      </c>
      <c r="E640" s="5">
        <v>100</v>
      </c>
      <c r="F640" s="5">
        <v>0</v>
      </c>
      <c r="G640" s="5">
        <v>100</v>
      </c>
      <c r="H640" s="5">
        <v>100</v>
      </c>
      <c r="I640" s="5">
        <v>100</v>
      </c>
      <c r="J640" s="5">
        <v>100</v>
      </c>
      <c r="K640" s="15" t="s">
        <v>54</v>
      </c>
      <c r="L640" s="6">
        <v>3</v>
      </c>
      <c r="M640" s="6">
        <v>0</v>
      </c>
      <c r="N640" s="6">
        <v>0</v>
      </c>
      <c r="O640" s="5">
        <v>0</v>
      </c>
      <c r="P640" s="5">
        <v>0</v>
      </c>
      <c r="Q640" s="5">
        <v>0</v>
      </c>
      <c r="R640" s="5">
        <v>0</v>
      </c>
      <c r="S640" s="5">
        <v>0</v>
      </c>
      <c r="T640" s="5">
        <v>0</v>
      </c>
      <c r="U640" s="6">
        <v>0</v>
      </c>
      <c r="V640" s="5">
        <v>10</v>
      </c>
      <c r="W640" s="5">
        <v>5</v>
      </c>
      <c r="X640" s="16">
        <v>2000</v>
      </c>
      <c r="Y640" s="16">
        <v>7000</v>
      </c>
      <c r="Z640" s="16">
        <v>14000</v>
      </c>
      <c r="AA640" s="12" t="str">
        <f t="shared" si="118"/>
        <v>1/60</v>
      </c>
      <c r="AB640" s="12" t="str">
        <f t="shared" si="119"/>
        <v>100,0,100,100,100,100</v>
      </c>
      <c r="AC640" s="12">
        <f t="shared" si="120"/>
        <v>3</v>
      </c>
      <c r="AD640" s="12" t="str">
        <f t="shared" si="121"/>
        <v>2000/7000/14000</v>
      </c>
      <c r="AE640" s="12" t="str">
        <f t="shared" si="122"/>
        <v/>
      </c>
      <c r="AF640" s="12" t="str">
        <f t="shared" si="123"/>
        <v/>
      </c>
      <c r="AG640" s="12" t="str">
        <f t="shared" si="124"/>
        <v/>
      </c>
      <c r="AH640" s="12" t="str">
        <f t="shared" si="125"/>
        <v/>
      </c>
      <c r="AI640" s="12" t="str">
        <f t="shared" si="126"/>
        <v>10/5</v>
      </c>
    </row>
    <row r="641" spans="1:35" s="8" customFormat="1" ht="21.95" customHeight="1">
      <c r="A641" s="9">
        <v>639</v>
      </c>
      <c r="B641" s="17">
        <v>639</v>
      </c>
      <c r="C641" s="6">
        <v>0</v>
      </c>
      <c r="D641" s="6">
        <v>60</v>
      </c>
      <c r="E641" s="5">
        <v>100</v>
      </c>
      <c r="F641" s="5">
        <v>100</v>
      </c>
      <c r="G641" s="5">
        <v>0</v>
      </c>
      <c r="H641" s="5">
        <v>100</v>
      </c>
      <c r="I641" s="5">
        <v>100</v>
      </c>
      <c r="J641" s="5">
        <v>100</v>
      </c>
      <c r="K641" s="15" t="s">
        <v>54</v>
      </c>
      <c r="L641" s="6">
        <v>3</v>
      </c>
      <c r="M641" s="6">
        <v>0</v>
      </c>
      <c r="N641" s="6">
        <v>0</v>
      </c>
      <c r="O641" s="5">
        <v>0</v>
      </c>
      <c r="P641" s="5">
        <v>0</v>
      </c>
      <c r="Q641" s="5">
        <v>0</v>
      </c>
      <c r="R641" s="5">
        <v>0</v>
      </c>
      <c r="S641" s="5">
        <v>0</v>
      </c>
      <c r="T641" s="5">
        <v>0</v>
      </c>
      <c r="U641" s="6">
        <v>0</v>
      </c>
      <c r="V641" s="5">
        <v>10</v>
      </c>
      <c r="W641" s="5">
        <v>5</v>
      </c>
      <c r="X641" s="16">
        <v>2000</v>
      </c>
      <c r="Y641" s="16">
        <v>7000</v>
      </c>
      <c r="Z641" s="16">
        <v>14000</v>
      </c>
      <c r="AA641" s="12" t="str">
        <f t="shared" si="118"/>
        <v>1/60</v>
      </c>
      <c r="AB641" s="12" t="str">
        <f t="shared" si="119"/>
        <v>100,100,0,100,100,100</v>
      </c>
      <c r="AC641" s="12">
        <f t="shared" si="120"/>
        <v>3</v>
      </c>
      <c r="AD641" s="12" t="str">
        <f t="shared" si="121"/>
        <v>2000/7000/14000</v>
      </c>
      <c r="AE641" s="12" t="str">
        <f t="shared" si="122"/>
        <v/>
      </c>
      <c r="AF641" s="12" t="str">
        <f t="shared" si="123"/>
        <v/>
      </c>
      <c r="AG641" s="12" t="str">
        <f t="shared" si="124"/>
        <v/>
      </c>
      <c r="AH641" s="12" t="str">
        <f t="shared" si="125"/>
        <v/>
      </c>
      <c r="AI641" s="12" t="str">
        <f t="shared" si="126"/>
        <v>10/5</v>
      </c>
    </row>
    <row r="642" spans="1:35" s="8" customFormat="1" ht="21.95" customHeight="1">
      <c r="A642" s="9">
        <v>640</v>
      </c>
      <c r="B642" s="17">
        <v>640</v>
      </c>
      <c r="C642" s="6">
        <v>30</v>
      </c>
      <c r="D642" s="6">
        <v>0</v>
      </c>
      <c r="E642" s="5">
        <v>100</v>
      </c>
      <c r="F642" s="5">
        <v>100</v>
      </c>
      <c r="G642" s="5">
        <v>100</v>
      </c>
      <c r="H642" s="5">
        <v>0</v>
      </c>
      <c r="I642" s="5">
        <v>100</v>
      </c>
      <c r="J642" s="5">
        <v>100</v>
      </c>
      <c r="K642" s="15" t="s">
        <v>55</v>
      </c>
      <c r="L642" s="6">
        <v>3</v>
      </c>
      <c r="M642" s="6">
        <v>0</v>
      </c>
      <c r="N642" s="6">
        <v>0</v>
      </c>
      <c r="O642" s="5">
        <v>0</v>
      </c>
      <c r="P642" s="5">
        <v>0</v>
      </c>
      <c r="Q642" s="5">
        <v>0</v>
      </c>
      <c r="R642" s="5">
        <v>0</v>
      </c>
      <c r="S642" s="5">
        <v>0</v>
      </c>
      <c r="T642" s="5">
        <v>0</v>
      </c>
      <c r="U642" s="6">
        <v>5</v>
      </c>
      <c r="V642" s="5">
        <v>10</v>
      </c>
      <c r="W642" s="5">
        <v>5</v>
      </c>
      <c r="X642" s="16">
        <v>2000</v>
      </c>
      <c r="Y642" s="16">
        <v>7000</v>
      </c>
      <c r="Z642" s="16">
        <v>14000</v>
      </c>
      <c r="AA642" s="12" t="str">
        <f t="shared" si="118"/>
        <v>0/30</v>
      </c>
      <c r="AB642" s="12" t="str">
        <f t="shared" si="119"/>
        <v>100,100,100,0,100,100</v>
      </c>
      <c r="AC642" s="12">
        <f t="shared" si="120"/>
        <v>4</v>
      </c>
      <c r="AD642" s="12" t="str">
        <f t="shared" si="121"/>
        <v>2000/7000/14000</v>
      </c>
      <c r="AE642" s="12" t="str">
        <f t="shared" si="122"/>
        <v/>
      </c>
      <c r="AF642" s="12" t="str">
        <f t="shared" si="123"/>
        <v/>
      </c>
      <c r="AG642" s="12" t="str">
        <f t="shared" si="124"/>
        <v/>
      </c>
      <c r="AH642" s="12" t="str">
        <f t="shared" si="125"/>
        <v/>
      </c>
      <c r="AI642" s="12" t="str">
        <f t="shared" si="126"/>
        <v>10/5</v>
      </c>
    </row>
    <row r="643" spans="1:35" s="8" customFormat="1" ht="21.95" customHeight="1">
      <c r="A643" s="9">
        <v>641</v>
      </c>
      <c r="B643" s="17">
        <v>641</v>
      </c>
      <c r="C643" s="6">
        <v>30</v>
      </c>
      <c r="D643" s="6">
        <v>0</v>
      </c>
      <c r="E643" s="5">
        <v>100</v>
      </c>
      <c r="F643" s="5">
        <v>100</v>
      </c>
      <c r="G643" s="5">
        <v>100</v>
      </c>
      <c r="H643" s="5">
        <v>100</v>
      </c>
      <c r="I643" s="5">
        <v>0</v>
      </c>
      <c r="J643" s="5">
        <v>100</v>
      </c>
      <c r="K643" s="15" t="s">
        <v>55</v>
      </c>
      <c r="L643" s="6">
        <v>3</v>
      </c>
      <c r="M643" s="6">
        <v>0</v>
      </c>
      <c r="N643" s="6">
        <v>0</v>
      </c>
      <c r="O643" s="5">
        <v>0</v>
      </c>
      <c r="P643" s="5">
        <v>0</v>
      </c>
      <c r="Q643" s="5">
        <v>0</v>
      </c>
      <c r="R643" s="5">
        <v>0</v>
      </c>
      <c r="S643" s="5">
        <v>0</v>
      </c>
      <c r="T643" s="5">
        <v>0</v>
      </c>
      <c r="U643" s="6">
        <v>5</v>
      </c>
      <c r="V643" s="5">
        <v>10</v>
      </c>
      <c r="W643" s="5">
        <v>5</v>
      </c>
      <c r="X643" s="16">
        <v>2000</v>
      </c>
      <c r="Y643" s="16">
        <v>7000</v>
      </c>
      <c r="Z643" s="16">
        <v>14000</v>
      </c>
      <c r="AA643" s="12" t="str">
        <f t="shared" si="118"/>
        <v>0/30</v>
      </c>
      <c r="AB643" s="12" t="str">
        <f t="shared" si="119"/>
        <v>100,100,100,100,0,100</v>
      </c>
      <c r="AC643" s="12">
        <f t="shared" si="120"/>
        <v>4</v>
      </c>
      <c r="AD643" s="12" t="str">
        <f t="shared" si="121"/>
        <v>2000/7000/14000</v>
      </c>
      <c r="AE643" s="12" t="str">
        <f t="shared" si="122"/>
        <v/>
      </c>
      <c r="AF643" s="12" t="str">
        <f t="shared" si="123"/>
        <v/>
      </c>
      <c r="AG643" s="12" t="str">
        <f t="shared" si="124"/>
        <v/>
      </c>
      <c r="AH643" s="12" t="str">
        <f t="shared" si="125"/>
        <v/>
      </c>
      <c r="AI643" s="12" t="str">
        <f t="shared" si="126"/>
        <v>10/5</v>
      </c>
    </row>
    <row r="644" spans="1:35" s="8" customFormat="1" ht="21.95" customHeight="1">
      <c r="A644" s="9">
        <v>642</v>
      </c>
      <c r="B644" s="17">
        <v>642</v>
      </c>
      <c r="C644" s="6">
        <v>30</v>
      </c>
      <c r="D644" s="6">
        <v>0</v>
      </c>
      <c r="E644" s="5">
        <v>100</v>
      </c>
      <c r="F644" s="5">
        <v>100</v>
      </c>
      <c r="G644" s="5">
        <v>100</v>
      </c>
      <c r="H644" s="5">
        <v>100</v>
      </c>
      <c r="I644" s="5">
        <v>100</v>
      </c>
      <c r="J644" s="5">
        <v>0</v>
      </c>
      <c r="K644" s="15" t="s">
        <v>56</v>
      </c>
      <c r="L644" s="6">
        <v>3</v>
      </c>
      <c r="M644" s="6">
        <v>0</v>
      </c>
      <c r="N644" s="6">
        <v>0</v>
      </c>
      <c r="O644" s="5">
        <v>0</v>
      </c>
      <c r="P644" s="5">
        <v>0</v>
      </c>
      <c r="Q644" s="5">
        <v>0</v>
      </c>
      <c r="R644" s="5">
        <v>0</v>
      </c>
      <c r="S644" s="5">
        <v>0</v>
      </c>
      <c r="T644" s="5">
        <v>0</v>
      </c>
      <c r="U644" s="6">
        <v>0</v>
      </c>
      <c r="V644" s="5">
        <v>10</v>
      </c>
      <c r="W644" s="5">
        <v>5</v>
      </c>
      <c r="X644" s="16">
        <v>2000</v>
      </c>
      <c r="Y644" s="16">
        <v>7000</v>
      </c>
      <c r="Z644" s="16">
        <v>14000</v>
      </c>
      <c r="AA644" s="12" t="str">
        <f t="shared" si="118"/>
        <v>0/30</v>
      </c>
      <c r="AB644" s="12" t="str">
        <f t="shared" si="119"/>
        <v>100,100,100,100,100,0</v>
      </c>
      <c r="AC644" s="12">
        <f t="shared" si="120"/>
        <v>5</v>
      </c>
      <c r="AD644" s="12" t="str">
        <f t="shared" si="121"/>
        <v>2000/7000/14000</v>
      </c>
      <c r="AE644" s="12" t="str">
        <f t="shared" si="122"/>
        <v/>
      </c>
      <c r="AF644" s="12" t="str">
        <f t="shared" si="123"/>
        <v/>
      </c>
      <c r="AG644" s="12" t="str">
        <f t="shared" si="124"/>
        <v/>
      </c>
      <c r="AH644" s="12" t="str">
        <f t="shared" si="125"/>
        <v/>
      </c>
      <c r="AI644" s="12" t="str">
        <f t="shared" si="126"/>
        <v>10/5</v>
      </c>
    </row>
    <row r="645" spans="1:35" s="8" customFormat="1" ht="21.95" customHeight="1">
      <c r="A645" s="9">
        <v>643</v>
      </c>
      <c r="B645" s="17">
        <v>643</v>
      </c>
      <c r="C645" s="6">
        <v>30</v>
      </c>
      <c r="D645" s="6">
        <v>0</v>
      </c>
      <c r="E645" s="5">
        <v>0</v>
      </c>
      <c r="F645" s="5">
        <v>100</v>
      </c>
      <c r="G645" s="5">
        <v>100</v>
      </c>
      <c r="H645" s="5">
        <v>100</v>
      </c>
      <c r="I645" s="5">
        <v>100</v>
      </c>
      <c r="J645" s="5">
        <v>100</v>
      </c>
      <c r="K645" s="15" t="s">
        <v>56</v>
      </c>
      <c r="L645" s="6">
        <v>3</v>
      </c>
      <c r="M645" s="6">
        <v>0</v>
      </c>
      <c r="N645" s="6">
        <v>0</v>
      </c>
      <c r="O645" s="5">
        <v>0</v>
      </c>
      <c r="P645" s="5">
        <v>0</v>
      </c>
      <c r="Q645" s="5">
        <v>0</v>
      </c>
      <c r="R645" s="5">
        <v>0</v>
      </c>
      <c r="S645" s="5">
        <v>0</v>
      </c>
      <c r="T645" s="5">
        <v>0</v>
      </c>
      <c r="U645" s="6">
        <v>0</v>
      </c>
      <c r="V645" s="5">
        <v>10</v>
      </c>
      <c r="W645" s="5">
        <v>5</v>
      </c>
      <c r="X645" s="16">
        <v>2000</v>
      </c>
      <c r="Y645" s="16">
        <v>7000</v>
      </c>
      <c r="Z645" s="16">
        <v>14000</v>
      </c>
      <c r="AA645" s="12" t="str">
        <f t="shared" si="118"/>
        <v>0/30</v>
      </c>
      <c r="AB645" s="12" t="str">
        <f t="shared" si="119"/>
        <v>0,100,100,100,100,100</v>
      </c>
      <c r="AC645" s="12">
        <f t="shared" si="120"/>
        <v>5</v>
      </c>
      <c r="AD645" s="12" t="str">
        <f t="shared" si="121"/>
        <v>2000/7000/14000</v>
      </c>
      <c r="AE645" s="12" t="str">
        <f t="shared" si="122"/>
        <v/>
      </c>
      <c r="AF645" s="12" t="str">
        <f t="shared" si="123"/>
        <v/>
      </c>
      <c r="AG645" s="12" t="str">
        <f t="shared" si="124"/>
        <v/>
      </c>
      <c r="AH645" s="12" t="str">
        <f t="shared" si="125"/>
        <v/>
      </c>
      <c r="AI645" s="12" t="str">
        <f t="shared" si="126"/>
        <v>10/5</v>
      </c>
    </row>
    <row r="646" spans="1:35" s="8" customFormat="1" ht="21.95" customHeight="1">
      <c r="A646" s="9">
        <v>644</v>
      </c>
      <c r="B646" s="17">
        <v>644</v>
      </c>
      <c r="C646" s="6">
        <v>30</v>
      </c>
      <c r="D646" s="6">
        <v>0</v>
      </c>
      <c r="E646" s="5">
        <v>100</v>
      </c>
      <c r="F646" s="5">
        <v>0</v>
      </c>
      <c r="G646" s="5">
        <v>100</v>
      </c>
      <c r="H646" s="5">
        <v>100</v>
      </c>
      <c r="I646" s="5">
        <v>100</v>
      </c>
      <c r="J646" s="5">
        <v>100</v>
      </c>
      <c r="K646" s="15" t="s">
        <v>53</v>
      </c>
      <c r="L646" s="6">
        <v>3</v>
      </c>
      <c r="M646" s="6">
        <v>0</v>
      </c>
      <c r="N646" s="6">
        <v>0</v>
      </c>
      <c r="O646" s="5">
        <v>0</v>
      </c>
      <c r="P646" s="5">
        <v>0</v>
      </c>
      <c r="Q646" s="5">
        <v>20</v>
      </c>
      <c r="R646" s="5">
        <v>24</v>
      </c>
      <c r="S646" s="5">
        <v>0</v>
      </c>
      <c r="T646" s="5">
        <v>0</v>
      </c>
      <c r="U646" s="6">
        <v>0</v>
      </c>
      <c r="V646" s="5">
        <v>10</v>
      </c>
      <c r="W646" s="5">
        <v>5</v>
      </c>
      <c r="X646" s="16">
        <v>2000</v>
      </c>
      <c r="Y646" s="16">
        <v>7000</v>
      </c>
      <c r="Z646" s="16">
        <v>14000</v>
      </c>
      <c r="AA646" s="12" t="str">
        <f t="shared" si="118"/>
        <v>0/30</v>
      </c>
      <c r="AB646" s="12" t="str">
        <f t="shared" si="119"/>
        <v>100,0,100,100,100,100</v>
      </c>
      <c r="AC646" s="12">
        <f t="shared" si="120"/>
        <v>2</v>
      </c>
      <c r="AD646" s="12" t="str">
        <f t="shared" si="121"/>
        <v>2000/7000/14000</v>
      </c>
      <c r="AE646" s="12" t="str">
        <f t="shared" si="122"/>
        <v/>
      </c>
      <c r="AF646" s="12" t="str">
        <f t="shared" si="123"/>
        <v/>
      </c>
      <c r="AG646" s="12" t="str">
        <f t="shared" si="124"/>
        <v>2/3/</v>
      </c>
      <c r="AH646" s="12" t="str">
        <f t="shared" si="125"/>
        <v>20/24/</v>
      </c>
      <c r="AI646" s="12" t="str">
        <f t="shared" si="126"/>
        <v>10/5</v>
      </c>
    </row>
    <row r="647" spans="1:35" s="8" customFormat="1" ht="21.95" customHeight="1">
      <c r="A647" s="9">
        <v>645</v>
      </c>
      <c r="B647" s="17">
        <v>645</v>
      </c>
      <c r="C647" s="6">
        <v>30</v>
      </c>
      <c r="D647" s="6">
        <v>0</v>
      </c>
      <c r="E647" s="5">
        <v>100</v>
      </c>
      <c r="F647" s="5">
        <v>100</v>
      </c>
      <c r="G647" s="5">
        <v>0</v>
      </c>
      <c r="H647" s="5">
        <v>100</v>
      </c>
      <c r="I647" s="5">
        <v>100</v>
      </c>
      <c r="J647" s="5">
        <v>100</v>
      </c>
      <c r="K647" s="15" t="s">
        <v>53</v>
      </c>
      <c r="L647" s="6">
        <v>3</v>
      </c>
      <c r="M647" s="6">
        <v>0</v>
      </c>
      <c r="N647" s="6">
        <v>0</v>
      </c>
      <c r="O647" s="5">
        <v>0</v>
      </c>
      <c r="P647" s="5">
        <v>0</v>
      </c>
      <c r="Q647" s="5">
        <v>0</v>
      </c>
      <c r="R647" s="5">
        <v>18</v>
      </c>
      <c r="S647" s="5">
        <v>32</v>
      </c>
      <c r="T647" s="5">
        <v>0</v>
      </c>
      <c r="U647" s="6">
        <v>0</v>
      </c>
      <c r="V647" s="5">
        <v>10</v>
      </c>
      <c r="W647" s="5">
        <v>5</v>
      </c>
      <c r="X647" s="16">
        <v>2000</v>
      </c>
      <c r="Y647" s="16">
        <v>7000</v>
      </c>
      <c r="Z647" s="16">
        <v>14000</v>
      </c>
      <c r="AA647" s="12" t="str">
        <f t="shared" si="118"/>
        <v>0/30</v>
      </c>
      <c r="AB647" s="12" t="str">
        <f t="shared" si="119"/>
        <v>100,100,0,100,100,100</v>
      </c>
      <c r="AC647" s="12">
        <f t="shared" si="120"/>
        <v>2</v>
      </c>
      <c r="AD647" s="12" t="str">
        <f t="shared" si="121"/>
        <v>2000/7000/14000</v>
      </c>
      <c r="AE647" s="12" t="str">
        <f t="shared" si="122"/>
        <v/>
      </c>
      <c r="AF647" s="12" t="str">
        <f t="shared" si="123"/>
        <v/>
      </c>
      <c r="AG647" s="12" t="str">
        <f t="shared" si="124"/>
        <v>3/4/</v>
      </c>
      <c r="AH647" s="12" t="str">
        <f t="shared" si="125"/>
        <v>18/32/</v>
      </c>
      <c r="AI647" s="12" t="str">
        <f t="shared" si="126"/>
        <v>10/5</v>
      </c>
    </row>
    <row r="648" spans="1:35" s="8" customFormat="1" ht="21.95" customHeight="1">
      <c r="A648" s="9">
        <v>646</v>
      </c>
      <c r="B648" s="17">
        <v>646</v>
      </c>
      <c r="C648" s="6">
        <v>0</v>
      </c>
      <c r="D648" s="6">
        <v>60</v>
      </c>
      <c r="E648" s="5">
        <v>100</v>
      </c>
      <c r="F648" s="5">
        <v>100</v>
      </c>
      <c r="G648" s="5">
        <v>100</v>
      </c>
      <c r="H648" s="5">
        <v>0</v>
      </c>
      <c r="I648" s="5">
        <v>100</v>
      </c>
      <c r="J648" s="5">
        <v>100</v>
      </c>
      <c r="K648" s="15" t="s">
        <v>52</v>
      </c>
      <c r="L648" s="6">
        <v>3</v>
      </c>
      <c r="M648" s="6">
        <v>6</v>
      </c>
      <c r="N648" s="6">
        <v>0</v>
      </c>
      <c r="O648" s="5">
        <v>0</v>
      </c>
      <c r="P648" s="5">
        <v>0</v>
      </c>
      <c r="Q648" s="5">
        <v>0</v>
      </c>
      <c r="R648" s="5">
        <v>0</v>
      </c>
      <c r="S648" s="5">
        <v>0</v>
      </c>
      <c r="T648" s="5">
        <v>0</v>
      </c>
      <c r="U648" s="6">
        <v>0</v>
      </c>
      <c r="V648" s="5">
        <v>10</v>
      </c>
      <c r="W648" s="5">
        <v>5</v>
      </c>
      <c r="X648" s="16">
        <v>2000</v>
      </c>
      <c r="Y648" s="16">
        <v>7000</v>
      </c>
      <c r="Z648" s="16">
        <v>14000</v>
      </c>
      <c r="AA648" s="12" t="str">
        <f t="shared" si="118"/>
        <v>1/60</v>
      </c>
      <c r="AB648" s="12" t="str">
        <f t="shared" si="119"/>
        <v>100,100,100,0,100,100</v>
      </c>
      <c r="AC648" s="12">
        <f t="shared" si="120"/>
        <v>1</v>
      </c>
      <c r="AD648" s="12" t="str">
        <f t="shared" si="121"/>
        <v>2000/7000/14000</v>
      </c>
      <c r="AE648" s="12" t="str">
        <f t="shared" si="122"/>
        <v>0/</v>
      </c>
      <c r="AF648" s="12" t="str">
        <f t="shared" si="123"/>
        <v>6/</v>
      </c>
      <c r="AG648" s="12" t="str">
        <f t="shared" si="124"/>
        <v/>
      </c>
      <c r="AH648" s="12" t="str">
        <f t="shared" si="125"/>
        <v/>
      </c>
      <c r="AI648" s="12" t="str">
        <f t="shared" si="126"/>
        <v>10/5</v>
      </c>
    </row>
    <row r="649" spans="1:35" s="8" customFormat="1" ht="21.95" customHeight="1">
      <c r="A649" s="9">
        <v>647</v>
      </c>
      <c r="B649" s="17">
        <v>647</v>
      </c>
      <c r="C649" s="6">
        <v>0</v>
      </c>
      <c r="D649" s="6">
        <v>60</v>
      </c>
      <c r="E649" s="5">
        <v>100</v>
      </c>
      <c r="F649" s="5">
        <v>100</v>
      </c>
      <c r="G649" s="5">
        <v>100</v>
      </c>
      <c r="H649" s="5">
        <v>100</v>
      </c>
      <c r="I649" s="5">
        <v>0</v>
      </c>
      <c r="J649" s="5">
        <v>100</v>
      </c>
      <c r="K649" s="15" t="s">
        <v>52</v>
      </c>
      <c r="L649" s="6">
        <v>3</v>
      </c>
      <c r="M649" s="6">
        <v>2</v>
      </c>
      <c r="N649" s="6">
        <v>4</v>
      </c>
      <c r="O649" s="5">
        <v>0</v>
      </c>
      <c r="P649" s="5">
        <v>0</v>
      </c>
      <c r="Q649" s="5">
        <v>0</v>
      </c>
      <c r="R649" s="5">
        <v>0</v>
      </c>
      <c r="S649" s="5">
        <v>0</v>
      </c>
      <c r="T649" s="5">
        <v>0</v>
      </c>
      <c r="U649" s="6">
        <v>0</v>
      </c>
      <c r="V649" s="5">
        <v>10</v>
      </c>
      <c r="W649" s="5">
        <v>5</v>
      </c>
      <c r="X649" s="16">
        <v>2000</v>
      </c>
      <c r="Y649" s="16">
        <v>7000</v>
      </c>
      <c r="Z649" s="16">
        <v>14000</v>
      </c>
      <c r="AA649" s="12" t="str">
        <f t="shared" si="118"/>
        <v>1/60</v>
      </c>
      <c r="AB649" s="12" t="str">
        <f t="shared" si="119"/>
        <v>100,100,100,100,0,100</v>
      </c>
      <c r="AC649" s="12">
        <f t="shared" si="120"/>
        <v>1</v>
      </c>
      <c r="AD649" s="12" t="str">
        <f t="shared" si="121"/>
        <v>2000/7000/14000</v>
      </c>
      <c r="AE649" s="12" t="str">
        <f t="shared" si="122"/>
        <v>0/1/</v>
      </c>
      <c r="AF649" s="12" t="str">
        <f t="shared" si="123"/>
        <v>2/4/</v>
      </c>
      <c r="AG649" s="12" t="str">
        <f t="shared" si="124"/>
        <v/>
      </c>
      <c r="AH649" s="12" t="str">
        <f t="shared" si="125"/>
        <v/>
      </c>
      <c r="AI649" s="12" t="str">
        <f t="shared" si="126"/>
        <v>10/5</v>
      </c>
    </row>
    <row r="650" spans="1:35" s="8" customFormat="1" ht="21.95" customHeight="1">
      <c r="A650" s="9">
        <v>648</v>
      </c>
      <c r="B650" s="17">
        <v>648</v>
      </c>
      <c r="C650" s="6">
        <v>30</v>
      </c>
      <c r="D650" s="6">
        <v>0</v>
      </c>
      <c r="E650" s="5">
        <v>100</v>
      </c>
      <c r="F650" s="5">
        <v>100</v>
      </c>
      <c r="G650" s="5">
        <v>100</v>
      </c>
      <c r="H650" s="5">
        <v>100</v>
      </c>
      <c r="I650" s="5">
        <v>100</v>
      </c>
      <c r="J650" s="5">
        <v>0</v>
      </c>
      <c r="K650" s="15" t="s">
        <v>54</v>
      </c>
      <c r="L650" s="6">
        <v>3</v>
      </c>
      <c r="M650" s="6">
        <v>0</v>
      </c>
      <c r="N650" s="6">
        <v>0</v>
      </c>
      <c r="O650" s="5">
        <v>0</v>
      </c>
      <c r="P650" s="5">
        <v>0</v>
      </c>
      <c r="Q650" s="5">
        <v>0</v>
      </c>
      <c r="R650" s="5">
        <v>0</v>
      </c>
      <c r="S650" s="5">
        <v>0</v>
      </c>
      <c r="T650" s="5">
        <v>0</v>
      </c>
      <c r="U650" s="6">
        <v>0</v>
      </c>
      <c r="V650" s="5">
        <v>10</v>
      </c>
      <c r="W650" s="5">
        <v>5</v>
      </c>
      <c r="X650" s="16">
        <v>2000</v>
      </c>
      <c r="Y650" s="16">
        <v>7000</v>
      </c>
      <c r="Z650" s="16">
        <v>14000</v>
      </c>
      <c r="AA650" s="12" t="str">
        <f t="shared" si="118"/>
        <v>0/30</v>
      </c>
      <c r="AB650" s="12" t="str">
        <f t="shared" si="119"/>
        <v>100,100,100,100,100,0</v>
      </c>
      <c r="AC650" s="12">
        <f t="shared" si="120"/>
        <v>3</v>
      </c>
      <c r="AD650" s="12" t="str">
        <f t="shared" si="121"/>
        <v>2000/7000/14000</v>
      </c>
      <c r="AE650" s="12" t="str">
        <f t="shared" si="122"/>
        <v/>
      </c>
      <c r="AF650" s="12" t="str">
        <f t="shared" si="123"/>
        <v/>
      </c>
      <c r="AG650" s="12" t="str">
        <f t="shared" si="124"/>
        <v/>
      </c>
      <c r="AH650" s="12" t="str">
        <f t="shared" si="125"/>
        <v/>
      </c>
      <c r="AI650" s="12" t="str">
        <f t="shared" si="126"/>
        <v>10/5</v>
      </c>
    </row>
    <row r="651" spans="1:35" s="8" customFormat="1" ht="21.95" customHeight="1">
      <c r="A651" s="9">
        <v>649</v>
      </c>
      <c r="B651" s="17">
        <v>649</v>
      </c>
      <c r="C651" s="6">
        <v>30</v>
      </c>
      <c r="D651" s="6">
        <v>0</v>
      </c>
      <c r="E651" s="5">
        <v>0</v>
      </c>
      <c r="F651" s="5">
        <v>100</v>
      </c>
      <c r="G651" s="5">
        <v>100</v>
      </c>
      <c r="H651" s="5">
        <v>100</v>
      </c>
      <c r="I651" s="5">
        <v>100</v>
      </c>
      <c r="J651" s="5">
        <v>100</v>
      </c>
      <c r="K651" s="15" t="s">
        <v>54</v>
      </c>
      <c r="L651" s="6">
        <v>3</v>
      </c>
      <c r="M651" s="6">
        <v>0</v>
      </c>
      <c r="N651" s="6">
        <v>0</v>
      </c>
      <c r="O651" s="5">
        <v>0</v>
      </c>
      <c r="P651" s="5">
        <v>0</v>
      </c>
      <c r="Q651" s="5">
        <v>0</v>
      </c>
      <c r="R651" s="5">
        <v>0</v>
      </c>
      <c r="S651" s="5">
        <v>0</v>
      </c>
      <c r="T651" s="5">
        <v>0</v>
      </c>
      <c r="U651" s="6">
        <v>0</v>
      </c>
      <c r="V651" s="5">
        <v>10</v>
      </c>
      <c r="W651" s="5">
        <v>5</v>
      </c>
      <c r="X651" s="16">
        <v>2000</v>
      </c>
      <c r="Y651" s="16">
        <v>7000</v>
      </c>
      <c r="Z651" s="16">
        <v>14000</v>
      </c>
      <c r="AA651" s="12" t="str">
        <f t="shared" si="118"/>
        <v>0/30</v>
      </c>
      <c r="AB651" s="12" t="str">
        <f t="shared" si="119"/>
        <v>0,100,100,100,100,100</v>
      </c>
      <c r="AC651" s="12">
        <f t="shared" si="120"/>
        <v>3</v>
      </c>
      <c r="AD651" s="12" t="str">
        <f t="shared" si="121"/>
        <v>2000/7000/14000</v>
      </c>
      <c r="AE651" s="12" t="str">
        <f t="shared" si="122"/>
        <v/>
      </c>
      <c r="AF651" s="12" t="str">
        <f t="shared" si="123"/>
        <v/>
      </c>
      <c r="AG651" s="12" t="str">
        <f t="shared" si="124"/>
        <v/>
      </c>
      <c r="AH651" s="12" t="str">
        <f t="shared" si="125"/>
        <v/>
      </c>
      <c r="AI651" s="12" t="str">
        <f t="shared" si="126"/>
        <v>10/5</v>
      </c>
    </row>
    <row r="652" spans="1:35" s="8" customFormat="1" ht="21.95" customHeight="1">
      <c r="A652" s="9">
        <v>650</v>
      </c>
      <c r="B652" s="17">
        <v>650</v>
      </c>
      <c r="C652" s="6">
        <v>30</v>
      </c>
      <c r="D652" s="6">
        <v>0</v>
      </c>
      <c r="E652" s="5">
        <v>100</v>
      </c>
      <c r="F652" s="5">
        <v>0</v>
      </c>
      <c r="G652" s="5">
        <v>100</v>
      </c>
      <c r="H652" s="5">
        <v>100</v>
      </c>
      <c r="I652" s="5">
        <v>100</v>
      </c>
      <c r="J652" s="5">
        <v>100</v>
      </c>
      <c r="K652" s="15" t="s">
        <v>55</v>
      </c>
      <c r="L652" s="6">
        <v>3</v>
      </c>
      <c r="M652" s="6">
        <v>0</v>
      </c>
      <c r="N652" s="6">
        <v>0</v>
      </c>
      <c r="O652" s="5">
        <v>0</v>
      </c>
      <c r="P652" s="5">
        <v>0</v>
      </c>
      <c r="Q652" s="5">
        <v>0</v>
      </c>
      <c r="R652" s="5">
        <v>0</v>
      </c>
      <c r="S652" s="5">
        <v>0</v>
      </c>
      <c r="T652" s="5">
        <v>0</v>
      </c>
      <c r="U652" s="6">
        <v>5</v>
      </c>
      <c r="V652" s="5">
        <v>10</v>
      </c>
      <c r="W652" s="5">
        <v>5</v>
      </c>
      <c r="X652" s="16">
        <v>2000</v>
      </c>
      <c r="Y652" s="16">
        <v>7000</v>
      </c>
      <c r="Z652" s="16">
        <v>14000</v>
      </c>
      <c r="AA652" s="12" t="str">
        <f t="shared" si="118"/>
        <v>0/30</v>
      </c>
      <c r="AB652" s="12" t="str">
        <f t="shared" si="119"/>
        <v>100,0,100,100,100,100</v>
      </c>
      <c r="AC652" s="12">
        <f t="shared" si="120"/>
        <v>4</v>
      </c>
      <c r="AD652" s="12" t="str">
        <f t="shared" si="121"/>
        <v>2000/7000/14000</v>
      </c>
      <c r="AE652" s="12" t="str">
        <f t="shared" si="122"/>
        <v/>
      </c>
      <c r="AF652" s="12" t="str">
        <f t="shared" si="123"/>
        <v/>
      </c>
      <c r="AG652" s="12" t="str">
        <f t="shared" si="124"/>
        <v/>
      </c>
      <c r="AH652" s="12" t="str">
        <f t="shared" si="125"/>
        <v/>
      </c>
      <c r="AI652" s="12" t="str">
        <f t="shared" si="126"/>
        <v>10/5</v>
      </c>
    </row>
    <row r="653" spans="1:35" s="8" customFormat="1" ht="21.95" customHeight="1">
      <c r="A653" s="9">
        <v>651</v>
      </c>
      <c r="B653" s="17">
        <v>651</v>
      </c>
      <c r="C653" s="6">
        <v>30</v>
      </c>
      <c r="D653" s="6">
        <v>0</v>
      </c>
      <c r="E653" s="5">
        <v>100</v>
      </c>
      <c r="F653" s="5">
        <v>100</v>
      </c>
      <c r="G653" s="5">
        <v>0</v>
      </c>
      <c r="H653" s="5">
        <v>100</v>
      </c>
      <c r="I653" s="5">
        <v>100</v>
      </c>
      <c r="J653" s="5">
        <v>100</v>
      </c>
      <c r="K653" s="15" t="s">
        <v>55</v>
      </c>
      <c r="L653" s="6">
        <v>3</v>
      </c>
      <c r="M653" s="6">
        <v>0</v>
      </c>
      <c r="N653" s="6">
        <v>0</v>
      </c>
      <c r="O653" s="5">
        <v>0</v>
      </c>
      <c r="P653" s="5">
        <v>0</v>
      </c>
      <c r="Q653" s="5">
        <v>0</v>
      </c>
      <c r="R653" s="5">
        <v>0</v>
      </c>
      <c r="S653" s="5">
        <v>0</v>
      </c>
      <c r="T653" s="5">
        <v>0</v>
      </c>
      <c r="U653" s="6">
        <v>5</v>
      </c>
      <c r="V653" s="5">
        <v>10</v>
      </c>
      <c r="W653" s="5">
        <v>5</v>
      </c>
      <c r="X653" s="16">
        <v>2000</v>
      </c>
      <c r="Y653" s="16">
        <v>7000</v>
      </c>
      <c r="Z653" s="16">
        <v>14000</v>
      </c>
      <c r="AA653" s="12" t="str">
        <f t="shared" si="118"/>
        <v>0/30</v>
      </c>
      <c r="AB653" s="12" t="str">
        <f t="shared" si="119"/>
        <v>100,100,0,100,100,100</v>
      </c>
      <c r="AC653" s="12">
        <f t="shared" si="120"/>
        <v>4</v>
      </c>
      <c r="AD653" s="12" t="str">
        <f t="shared" si="121"/>
        <v>2000/7000/14000</v>
      </c>
      <c r="AE653" s="12" t="str">
        <f t="shared" si="122"/>
        <v/>
      </c>
      <c r="AF653" s="12" t="str">
        <f t="shared" si="123"/>
        <v/>
      </c>
      <c r="AG653" s="12" t="str">
        <f t="shared" si="124"/>
        <v/>
      </c>
      <c r="AH653" s="12" t="str">
        <f t="shared" si="125"/>
        <v/>
      </c>
      <c r="AI653" s="12" t="str">
        <f t="shared" si="126"/>
        <v>10/5</v>
      </c>
    </row>
    <row r="654" spans="1:35" s="8" customFormat="1" ht="21.95" customHeight="1">
      <c r="A654" s="9">
        <v>652</v>
      </c>
      <c r="B654" s="17">
        <v>652</v>
      </c>
      <c r="C654" s="6">
        <v>32</v>
      </c>
      <c r="D654" s="6">
        <v>0</v>
      </c>
      <c r="E654" s="5">
        <v>100</v>
      </c>
      <c r="F654" s="5">
        <v>100</v>
      </c>
      <c r="G654" s="5">
        <v>100</v>
      </c>
      <c r="H654" s="5">
        <v>0</v>
      </c>
      <c r="I654" s="5">
        <v>100</v>
      </c>
      <c r="J654" s="5">
        <v>100</v>
      </c>
      <c r="K654" s="15" t="s">
        <v>51</v>
      </c>
      <c r="L654" s="6">
        <v>3</v>
      </c>
      <c r="M654" s="6">
        <v>0</v>
      </c>
      <c r="N654" s="6">
        <v>0</v>
      </c>
      <c r="O654" s="5">
        <v>0</v>
      </c>
      <c r="P654" s="5">
        <v>0</v>
      </c>
      <c r="Q654" s="5">
        <v>0</v>
      </c>
      <c r="R654" s="5">
        <v>0</v>
      </c>
      <c r="S654" s="5">
        <v>0</v>
      </c>
      <c r="T654" s="5">
        <v>0</v>
      </c>
      <c r="U654" s="6">
        <v>0</v>
      </c>
      <c r="V654" s="5">
        <v>10</v>
      </c>
      <c r="W654" s="5">
        <v>5</v>
      </c>
      <c r="X654" s="16">
        <v>2000</v>
      </c>
      <c r="Y654" s="16">
        <v>7000</v>
      </c>
      <c r="Z654" s="16">
        <v>14000</v>
      </c>
      <c r="AA654" s="12" t="str">
        <f t="shared" si="118"/>
        <v>0/32</v>
      </c>
      <c r="AB654" s="12" t="str">
        <f t="shared" si="119"/>
        <v>100,100,100,0,100,100</v>
      </c>
      <c r="AC654" s="12">
        <f t="shared" si="120"/>
        <v>0</v>
      </c>
      <c r="AD654" s="12" t="str">
        <f t="shared" si="121"/>
        <v>2000/7000/14000</v>
      </c>
      <c r="AE654" s="12" t="str">
        <f t="shared" si="122"/>
        <v/>
      </c>
      <c r="AF654" s="12" t="str">
        <f t="shared" si="123"/>
        <v/>
      </c>
      <c r="AG654" s="12" t="str">
        <f t="shared" si="124"/>
        <v/>
      </c>
      <c r="AH654" s="12" t="str">
        <f t="shared" si="125"/>
        <v/>
      </c>
      <c r="AI654" s="12" t="str">
        <f t="shared" si="126"/>
        <v>10/5</v>
      </c>
    </row>
    <row r="655" spans="1:35" s="8" customFormat="1" ht="21.95" customHeight="1">
      <c r="A655" s="9">
        <v>653</v>
      </c>
      <c r="B655" s="17">
        <v>653</v>
      </c>
      <c r="C655" s="6">
        <v>30</v>
      </c>
      <c r="D655" s="6">
        <v>0</v>
      </c>
      <c r="E655" s="5">
        <v>100</v>
      </c>
      <c r="F655" s="5">
        <v>100</v>
      </c>
      <c r="G655" s="5">
        <v>0</v>
      </c>
      <c r="H655" s="5">
        <v>100</v>
      </c>
      <c r="I655" s="5">
        <v>100</v>
      </c>
      <c r="J655" s="5">
        <v>100</v>
      </c>
      <c r="K655" s="15" t="s">
        <v>56</v>
      </c>
      <c r="L655" s="6">
        <v>3</v>
      </c>
      <c r="M655" s="6">
        <v>0</v>
      </c>
      <c r="N655" s="6">
        <v>0</v>
      </c>
      <c r="O655" s="5">
        <v>0</v>
      </c>
      <c r="P655" s="5">
        <v>0</v>
      </c>
      <c r="Q655" s="5">
        <v>0</v>
      </c>
      <c r="R655" s="5">
        <v>0</v>
      </c>
      <c r="S655" s="5">
        <v>0</v>
      </c>
      <c r="T655" s="5">
        <v>0</v>
      </c>
      <c r="U655" s="6">
        <v>0</v>
      </c>
      <c r="V655" s="5">
        <v>10</v>
      </c>
      <c r="W655" s="5">
        <v>5</v>
      </c>
      <c r="X655" s="16">
        <v>2000</v>
      </c>
      <c r="Y655" s="16">
        <v>7000</v>
      </c>
      <c r="Z655" s="16">
        <v>14000</v>
      </c>
      <c r="AA655" s="12" t="str">
        <f t="shared" si="118"/>
        <v>0/30</v>
      </c>
      <c r="AB655" s="12" t="str">
        <f t="shared" si="119"/>
        <v>100,100,0,100,100,100</v>
      </c>
      <c r="AC655" s="12">
        <f t="shared" si="120"/>
        <v>5</v>
      </c>
      <c r="AD655" s="12" t="str">
        <f t="shared" si="121"/>
        <v>2000/7000/14000</v>
      </c>
      <c r="AE655" s="12" t="str">
        <f t="shared" si="122"/>
        <v/>
      </c>
      <c r="AF655" s="12" t="str">
        <f t="shared" si="123"/>
        <v/>
      </c>
      <c r="AG655" s="12" t="str">
        <f t="shared" si="124"/>
        <v/>
      </c>
      <c r="AH655" s="12" t="str">
        <f t="shared" si="125"/>
        <v/>
      </c>
      <c r="AI655" s="12" t="str">
        <f t="shared" si="126"/>
        <v>10/5</v>
      </c>
    </row>
    <row r="656" spans="1:35" s="8" customFormat="1" ht="21.95" customHeight="1">
      <c r="A656" s="9">
        <v>654</v>
      </c>
      <c r="B656" s="17">
        <v>654</v>
      </c>
      <c r="C656" s="6">
        <v>30</v>
      </c>
      <c r="D656" s="6">
        <v>0</v>
      </c>
      <c r="E656" s="5">
        <v>100</v>
      </c>
      <c r="F656" s="5">
        <v>100</v>
      </c>
      <c r="G656" s="5">
        <v>100</v>
      </c>
      <c r="H656" s="5">
        <v>0</v>
      </c>
      <c r="I656" s="5">
        <v>100</v>
      </c>
      <c r="J656" s="5">
        <v>100</v>
      </c>
      <c r="K656" s="15" t="s">
        <v>53</v>
      </c>
      <c r="L656" s="6">
        <v>3</v>
      </c>
      <c r="M656" s="6">
        <v>0</v>
      </c>
      <c r="N656" s="6">
        <v>0</v>
      </c>
      <c r="O656" s="5">
        <v>0</v>
      </c>
      <c r="P656" s="5">
        <v>0</v>
      </c>
      <c r="Q656" s="5">
        <v>0</v>
      </c>
      <c r="R656" s="5">
        <v>0</v>
      </c>
      <c r="S656" s="5">
        <v>18</v>
      </c>
      <c r="T656" s="5">
        <v>16</v>
      </c>
      <c r="U656" s="6">
        <v>0</v>
      </c>
      <c r="V656" s="5">
        <v>10</v>
      </c>
      <c r="W656" s="5">
        <v>5</v>
      </c>
      <c r="X656" s="16">
        <v>2000</v>
      </c>
      <c r="Y656" s="16">
        <v>7000</v>
      </c>
      <c r="Z656" s="16">
        <v>14000</v>
      </c>
      <c r="AA656" s="12" t="str">
        <f t="shared" si="118"/>
        <v>0/30</v>
      </c>
      <c r="AB656" s="12" t="str">
        <f t="shared" si="119"/>
        <v>100,100,100,0,100,100</v>
      </c>
      <c r="AC656" s="12">
        <f t="shared" si="120"/>
        <v>2</v>
      </c>
      <c r="AD656" s="12" t="str">
        <f t="shared" si="121"/>
        <v>2000/7000/14000</v>
      </c>
      <c r="AE656" s="12" t="str">
        <f t="shared" si="122"/>
        <v/>
      </c>
      <c r="AF656" s="12" t="str">
        <f t="shared" si="123"/>
        <v/>
      </c>
      <c r="AG656" s="12" t="str">
        <f t="shared" si="124"/>
        <v>4/5/</v>
      </c>
      <c r="AH656" s="12" t="str">
        <f t="shared" si="125"/>
        <v>18/16/</v>
      </c>
      <c r="AI656" s="12" t="str">
        <f t="shared" si="126"/>
        <v>10/5</v>
      </c>
    </row>
    <row r="657" spans="1:35" s="8" customFormat="1" ht="21.95" customHeight="1">
      <c r="A657" s="9">
        <v>655</v>
      </c>
      <c r="B657" s="17">
        <v>655</v>
      </c>
      <c r="C657" s="6">
        <v>30</v>
      </c>
      <c r="D657" s="6">
        <v>0</v>
      </c>
      <c r="E657" s="5">
        <v>100</v>
      </c>
      <c r="F657" s="5">
        <v>100</v>
      </c>
      <c r="G657" s="5">
        <v>100</v>
      </c>
      <c r="H657" s="5">
        <v>100</v>
      </c>
      <c r="I657" s="5">
        <v>0</v>
      </c>
      <c r="J657" s="5">
        <v>100</v>
      </c>
      <c r="K657" s="15" t="s">
        <v>53</v>
      </c>
      <c r="L657" s="6">
        <v>3</v>
      </c>
      <c r="M657" s="6">
        <v>0</v>
      </c>
      <c r="N657" s="6">
        <v>0</v>
      </c>
      <c r="O657" s="5">
        <v>16</v>
      </c>
      <c r="P657" s="5">
        <v>0</v>
      </c>
      <c r="Q657" s="5">
        <v>0</v>
      </c>
      <c r="R657" s="5">
        <v>0</v>
      </c>
      <c r="S657" s="5">
        <v>0</v>
      </c>
      <c r="T657" s="5">
        <v>18</v>
      </c>
      <c r="U657" s="6">
        <v>0</v>
      </c>
      <c r="V657" s="5">
        <v>10</v>
      </c>
      <c r="W657" s="5">
        <v>5</v>
      </c>
      <c r="X657" s="16">
        <v>2000</v>
      </c>
      <c r="Y657" s="16">
        <v>7000</v>
      </c>
      <c r="Z657" s="16">
        <v>14000</v>
      </c>
      <c r="AA657" s="12" t="str">
        <f t="shared" si="118"/>
        <v>0/30</v>
      </c>
      <c r="AB657" s="12" t="str">
        <f t="shared" si="119"/>
        <v>100,100,100,100,0,100</v>
      </c>
      <c r="AC657" s="12">
        <f t="shared" si="120"/>
        <v>2</v>
      </c>
      <c r="AD657" s="12" t="str">
        <f t="shared" si="121"/>
        <v>2000/7000/14000</v>
      </c>
      <c r="AE657" s="12" t="str">
        <f t="shared" si="122"/>
        <v/>
      </c>
      <c r="AF657" s="12" t="str">
        <f t="shared" si="123"/>
        <v/>
      </c>
      <c r="AG657" s="12" t="str">
        <f t="shared" si="124"/>
        <v>0/5/</v>
      </c>
      <c r="AH657" s="12" t="str">
        <f t="shared" si="125"/>
        <v>16/18/</v>
      </c>
      <c r="AI657" s="12" t="str">
        <f t="shared" si="126"/>
        <v>10/5</v>
      </c>
    </row>
    <row r="658" spans="1:35" s="8" customFormat="1" ht="21.95" customHeight="1">
      <c r="A658" s="9">
        <v>656</v>
      </c>
      <c r="B658" s="17">
        <v>656</v>
      </c>
      <c r="C658" s="6">
        <v>30</v>
      </c>
      <c r="D658" s="6">
        <v>0</v>
      </c>
      <c r="E658" s="5">
        <v>100</v>
      </c>
      <c r="F658" s="5">
        <v>100</v>
      </c>
      <c r="G658" s="5">
        <v>100</v>
      </c>
      <c r="H658" s="5">
        <v>100</v>
      </c>
      <c r="I658" s="5">
        <v>100</v>
      </c>
      <c r="J658" s="5">
        <v>0</v>
      </c>
      <c r="K658" s="15" t="s">
        <v>52</v>
      </c>
      <c r="L658" s="6">
        <v>3</v>
      </c>
      <c r="M658" s="6">
        <v>6</v>
      </c>
      <c r="N658" s="6">
        <v>0</v>
      </c>
      <c r="O658" s="5">
        <v>0</v>
      </c>
      <c r="P658" s="5">
        <v>0</v>
      </c>
      <c r="Q658" s="5">
        <v>0</v>
      </c>
      <c r="R658" s="5">
        <v>0</v>
      </c>
      <c r="S658" s="5">
        <v>0</v>
      </c>
      <c r="T658" s="5">
        <v>0</v>
      </c>
      <c r="U658" s="6">
        <v>0</v>
      </c>
      <c r="V658" s="5">
        <v>10</v>
      </c>
      <c r="W658" s="5">
        <v>5</v>
      </c>
      <c r="X658" s="16">
        <v>2000</v>
      </c>
      <c r="Y658" s="16">
        <v>7000</v>
      </c>
      <c r="Z658" s="16">
        <v>14000</v>
      </c>
      <c r="AA658" s="12" t="str">
        <f t="shared" si="118"/>
        <v>0/30</v>
      </c>
      <c r="AB658" s="12" t="str">
        <f t="shared" si="119"/>
        <v>100,100,100,100,100,0</v>
      </c>
      <c r="AC658" s="12">
        <f t="shared" si="120"/>
        <v>1</v>
      </c>
      <c r="AD658" s="12" t="str">
        <f t="shared" si="121"/>
        <v>2000/7000/14000</v>
      </c>
      <c r="AE658" s="12" t="str">
        <f t="shared" si="122"/>
        <v>0/</v>
      </c>
      <c r="AF658" s="12" t="str">
        <f t="shared" si="123"/>
        <v>6/</v>
      </c>
      <c r="AG658" s="12" t="str">
        <f t="shared" si="124"/>
        <v/>
      </c>
      <c r="AH658" s="12" t="str">
        <f t="shared" si="125"/>
        <v/>
      </c>
      <c r="AI658" s="12" t="str">
        <f t="shared" si="126"/>
        <v>10/5</v>
      </c>
    </row>
    <row r="659" spans="1:35" s="8" customFormat="1" ht="21.95" customHeight="1">
      <c r="A659" s="9">
        <v>657</v>
      </c>
      <c r="B659" s="17">
        <v>657</v>
      </c>
      <c r="C659" s="6">
        <v>30</v>
      </c>
      <c r="D659" s="6">
        <v>0</v>
      </c>
      <c r="E659" s="5">
        <v>0</v>
      </c>
      <c r="F659" s="5">
        <v>100</v>
      </c>
      <c r="G659" s="5">
        <v>100</v>
      </c>
      <c r="H659" s="5">
        <v>100</v>
      </c>
      <c r="I659" s="5">
        <v>100</v>
      </c>
      <c r="J659" s="5">
        <v>100</v>
      </c>
      <c r="K659" s="15" t="s">
        <v>52</v>
      </c>
      <c r="L659" s="6">
        <v>3</v>
      </c>
      <c r="M659" s="6">
        <v>0</v>
      </c>
      <c r="N659" s="6">
        <v>6</v>
      </c>
      <c r="O659" s="5">
        <v>0</v>
      </c>
      <c r="P659" s="5">
        <v>0</v>
      </c>
      <c r="Q659" s="5">
        <v>0</v>
      </c>
      <c r="R659" s="5">
        <v>0</v>
      </c>
      <c r="S659" s="5">
        <v>0</v>
      </c>
      <c r="T659" s="5">
        <v>0</v>
      </c>
      <c r="U659" s="6">
        <v>0</v>
      </c>
      <c r="V659" s="5">
        <v>10</v>
      </c>
      <c r="W659" s="5">
        <v>5</v>
      </c>
      <c r="X659" s="16">
        <v>2000</v>
      </c>
      <c r="Y659" s="16">
        <v>7000</v>
      </c>
      <c r="Z659" s="16">
        <v>14000</v>
      </c>
      <c r="AA659" s="12" t="str">
        <f t="shared" si="118"/>
        <v>0/30</v>
      </c>
      <c r="AB659" s="12" t="str">
        <f t="shared" si="119"/>
        <v>0,100,100,100,100,100</v>
      </c>
      <c r="AC659" s="12">
        <f t="shared" si="120"/>
        <v>1</v>
      </c>
      <c r="AD659" s="12" t="str">
        <f t="shared" si="121"/>
        <v>2000/7000/14000</v>
      </c>
      <c r="AE659" s="12" t="str">
        <f t="shared" si="122"/>
        <v>1/</v>
      </c>
      <c r="AF659" s="12" t="str">
        <f t="shared" si="123"/>
        <v>6/</v>
      </c>
      <c r="AG659" s="12" t="str">
        <f t="shared" si="124"/>
        <v/>
      </c>
      <c r="AH659" s="12" t="str">
        <f t="shared" si="125"/>
        <v/>
      </c>
      <c r="AI659" s="12" t="str">
        <f t="shared" si="126"/>
        <v>10/5</v>
      </c>
    </row>
    <row r="660" spans="1:35" s="8" customFormat="1" ht="21.95" customHeight="1">
      <c r="A660" s="9">
        <v>658</v>
      </c>
      <c r="B660" s="17">
        <v>658</v>
      </c>
      <c r="C660" s="6">
        <v>0</v>
      </c>
      <c r="D660" s="6">
        <v>60</v>
      </c>
      <c r="E660" s="5">
        <v>100</v>
      </c>
      <c r="F660" s="5">
        <v>0</v>
      </c>
      <c r="G660" s="5">
        <v>100</v>
      </c>
      <c r="H660" s="5">
        <v>100</v>
      </c>
      <c r="I660" s="5">
        <v>100</v>
      </c>
      <c r="J660" s="5">
        <v>100</v>
      </c>
      <c r="K660" s="15" t="s">
        <v>54</v>
      </c>
      <c r="L660" s="6">
        <v>3</v>
      </c>
      <c r="M660" s="6">
        <v>0</v>
      </c>
      <c r="N660" s="6">
        <v>0</v>
      </c>
      <c r="O660" s="5">
        <v>0</v>
      </c>
      <c r="P660" s="5">
        <v>0</v>
      </c>
      <c r="Q660" s="5">
        <v>0</v>
      </c>
      <c r="R660" s="5">
        <v>0</v>
      </c>
      <c r="S660" s="5">
        <v>0</v>
      </c>
      <c r="T660" s="5">
        <v>0</v>
      </c>
      <c r="U660" s="6">
        <v>0</v>
      </c>
      <c r="V660" s="5">
        <v>10</v>
      </c>
      <c r="W660" s="5">
        <v>5</v>
      </c>
      <c r="X660" s="16">
        <v>2000</v>
      </c>
      <c r="Y660" s="16">
        <v>7000</v>
      </c>
      <c r="Z660" s="16">
        <v>14000</v>
      </c>
      <c r="AA660" s="12" t="str">
        <f t="shared" si="118"/>
        <v>1/60</v>
      </c>
      <c r="AB660" s="12" t="str">
        <f t="shared" si="119"/>
        <v>100,0,100,100,100,100</v>
      </c>
      <c r="AC660" s="12">
        <f t="shared" si="120"/>
        <v>3</v>
      </c>
      <c r="AD660" s="12" t="str">
        <f t="shared" si="121"/>
        <v>2000/7000/14000</v>
      </c>
      <c r="AE660" s="12" t="str">
        <f t="shared" si="122"/>
        <v/>
      </c>
      <c r="AF660" s="12" t="str">
        <f t="shared" si="123"/>
        <v/>
      </c>
      <c r="AG660" s="12" t="str">
        <f t="shared" si="124"/>
        <v/>
      </c>
      <c r="AH660" s="12" t="str">
        <f t="shared" si="125"/>
        <v/>
      </c>
      <c r="AI660" s="12" t="str">
        <f t="shared" si="126"/>
        <v>10/5</v>
      </c>
    </row>
    <row r="661" spans="1:35" s="8" customFormat="1" ht="21.95" customHeight="1">
      <c r="A661" s="9">
        <v>659</v>
      </c>
      <c r="B661" s="17">
        <v>659</v>
      </c>
      <c r="C661" s="6">
        <v>0</v>
      </c>
      <c r="D661" s="6">
        <v>60</v>
      </c>
      <c r="E661" s="5">
        <v>100</v>
      </c>
      <c r="F661" s="5">
        <v>100</v>
      </c>
      <c r="G661" s="5">
        <v>0</v>
      </c>
      <c r="H661" s="5">
        <v>100</v>
      </c>
      <c r="I661" s="5">
        <v>100</v>
      </c>
      <c r="J661" s="5">
        <v>100</v>
      </c>
      <c r="K661" s="15" t="s">
        <v>54</v>
      </c>
      <c r="L661" s="6">
        <v>3</v>
      </c>
      <c r="M661" s="6">
        <v>0</v>
      </c>
      <c r="N661" s="6">
        <v>0</v>
      </c>
      <c r="O661" s="5">
        <v>0</v>
      </c>
      <c r="P661" s="5">
        <v>0</v>
      </c>
      <c r="Q661" s="5">
        <v>0</v>
      </c>
      <c r="R661" s="5">
        <v>0</v>
      </c>
      <c r="S661" s="5">
        <v>0</v>
      </c>
      <c r="T661" s="5">
        <v>0</v>
      </c>
      <c r="U661" s="6">
        <v>0</v>
      </c>
      <c r="V661" s="5">
        <v>10</v>
      </c>
      <c r="W661" s="5">
        <v>5</v>
      </c>
      <c r="X661" s="16">
        <v>2000</v>
      </c>
      <c r="Y661" s="16">
        <v>7000</v>
      </c>
      <c r="Z661" s="16">
        <v>14000</v>
      </c>
      <c r="AA661" s="12" t="str">
        <f t="shared" si="118"/>
        <v>1/60</v>
      </c>
      <c r="AB661" s="12" t="str">
        <f t="shared" si="119"/>
        <v>100,100,0,100,100,100</v>
      </c>
      <c r="AC661" s="12">
        <f t="shared" si="120"/>
        <v>3</v>
      </c>
      <c r="AD661" s="12" t="str">
        <f t="shared" si="121"/>
        <v>2000/7000/14000</v>
      </c>
      <c r="AE661" s="12" t="str">
        <f t="shared" si="122"/>
        <v/>
      </c>
      <c r="AF661" s="12" t="str">
        <f t="shared" si="123"/>
        <v/>
      </c>
      <c r="AG661" s="12" t="str">
        <f t="shared" si="124"/>
        <v/>
      </c>
      <c r="AH661" s="12" t="str">
        <f t="shared" si="125"/>
        <v/>
      </c>
      <c r="AI661" s="12" t="str">
        <f t="shared" si="126"/>
        <v>10/5</v>
      </c>
    </row>
    <row r="662" spans="1:35" s="8" customFormat="1" ht="21.95" customHeight="1">
      <c r="A662" s="9">
        <v>660</v>
      </c>
      <c r="B662" s="17">
        <v>660</v>
      </c>
      <c r="C662" s="6">
        <v>30</v>
      </c>
      <c r="D662" s="6">
        <v>0</v>
      </c>
      <c r="E662" s="5">
        <v>100</v>
      </c>
      <c r="F662" s="5">
        <v>100</v>
      </c>
      <c r="G662" s="5">
        <v>100</v>
      </c>
      <c r="H662" s="5">
        <v>0</v>
      </c>
      <c r="I662" s="5">
        <v>100</v>
      </c>
      <c r="J662" s="5">
        <v>100</v>
      </c>
      <c r="K662" s="15" t="s">
        <v>55</v>
      </c>
      <c r="L662" s="6">
        <v>3</v>
      </c>
      <c r="M662" s="6">
        <v>0</v>
      </c>
      <c r="N662" s="6">
        <v>0</v>
      </c>
      <c r="O662" s="5">
        <v>0</v>
      </c>
      <c r="P662" s="5">
        <v>0</v>
      </c>
      <c r="Q662" s="5">
        <v>0</v>
      </c>
      <c r="R662" s="5">
        <v>0</v>
      </c>
      <c r="S662" s="5">
        <v>0</v>
      </c>
      <c r="T662" s="5">
        <v>0</v>
      </c>
      <c r="U662" s="6">
        <v>5</v>
      </c>
      <c r="V662" s="5">
        <v>10</v>
      </c>
      <c r="W662" s="5">
        <v>5</v>
      </c>
      <c r="X662" s="16">
        <v>2000</v>
      </c>
      <c r="Y662" s="16">
        <v>7000</v>
      </c>
      <c r="Z662" s="16">
        <v>14000</v>
      </c>
      <c r="AA662" s="12" t="str">
        <f t="shared" si="118"/>
        <v>0/30</v>
      </c>
      <c r="AB662" s="12" t="str">
        <f t="shared" si="119"/>
        <v>100,100,100,0,100,100</v>
      </c>
      <c r="AC662" s="12">
        <f t="shared" si="120"/>
        <v>4</v>
      </c>
      <c r="AD662" s="12" t="str">
        <f t="shared" si="121"/>
        <v>2000/7000/14000</v>
      </c>
      <c r="AE662" s="12" t="str">
        <f t="shared" si="122"/>
        <v/>
      </c>
      <c r="AF662" s="12" t="str">
        <f t="shared" si="123"/>
        <v/>
      </c>
      <c r="AG662" s="12" t="str">
        <f t="shared" si="124"/>
        <v/>
      </c>
      <c r="AH662" s="12" t="str">
        <f t="shared" si="125"/>
        <v/>
      </c>
      <c r="AI662" s="12" t="str">
        <f t="shared" si="126"/>
        <v>10/5</v>
      </c>
    </row>
    <row r="663" spans="1:35" s="8" customFormat="1" ht="21.95" customHeight="1">
      <c r="A663" s="9">
        <v>661</v>
      </c>
      <c r="B663" s="17">
        <v>661</v>
      </c>
      <c r="C663" s="6">
        <v>30</v>
      </c>
      <c r="D663" s="6">
        <v>0</v>
      </c>
      <c r="E663" s="5">
        <v>100</v>
      </c>
      <c r="F663" s="5">
        <v>100</v>
      </c>
      <c r="G663" s="5">
        <v>100</v>
      </c>
      <c r="H663" s="5">
        <v>100</v>
      </c>
      <c r="I663" s="5">
        <v>0</v>
      </c>
      <c r="J663" s="5">
        <v>100</v>
      </c>
      <c r="K663" s="15" t="s">
        <v>55</v>
      </c>
      <c r="L663" s="6">
        <v>3</v>
      </c>
      <c r="M663" s="6">
        <v>0</v>
      </c>
      <c r="N663" s="6">
        <v>0</v>
      </c>
      <c r="O663" s="5">
        <v>0</v>
      </c>
      <c r="P663" s="5">
        <v>0</v>
      </c>
      <c r="Q663" s="5">
        <v>0</v>
      </c>
      <c r="R663" s="5">
        <v>0</v>
      </c>
      <c r="S663" s="5">
        <v>0</v>
      </c>
      <c r="T663" s="5">
        <v>0</v>
      </c>
      <c r="U663" s="6">
        <v>5</v>
      </c>
      <c r="V663" s="5">
        <v>10</v>
      </c>
      <c r="W663" s="5">
        <v>5</v>
      </c>
      <c r="X663" s="16">
        <v>2000</v>
      </c>
      <c r="Y663" s="16">
        <v>7000</v>
      </c>
      <c r="Z663" s="16">
        <v>14000</v>
      </c>
      <c r="AA663" s="12" t="str">
        <f t="shared" si="118"/>
        <v>0/30</v>
      </c>
      <c r="AB663" s="12" t="str">
        <f t="shared" si="119"/>
        <v>100,100,100,100,0,100</v>
      </c>
      <c r="AC663" s="12">
        <f t="shared" si="120"/>
        <v>4</v>
      </c>
      <c r="AD663" s="12" t="str">
        <f t="shared" si="121"/>
        <v>2000/7000/14000</v>
      </c>
      <c r="AE663" s="12" t="str">
        <f t="shared" si="122"/>
        <v/>
      </c>
      <c r="AF663" s="12" t="str">
        <f t="shared" si="123"/>
        <v/>
      </c>
      <c r="AG663" s="12" t="str">
        <f t="shared" si="124"/>
        <v/>
      </c>
      <c r="AH663" s="12" t="str">
        <f t="shared" si="125"/>
        <v/>
      </c>
      <c r="AI663" s="12" t="str">
        <f t="shared" si="126"/>
        <v>10/5</v>
      </c>
    </row>
    <row r="664" spans="1:35" s="8" customFormat="1" ht="21.95" customHeight="1">
      <c r="A664" s="9">
        <v>662</v>
      </c>
      <c r="B664" s="17">
        <v>662</v>
      </c>
      <c r="C664" s="6">
        <v>30</v>
      </c>
      <c r="D664" s="6">
        <v>0</v>
      </c>
      <c r="E664" s="5">
        <v>100</v>
      </c>
      <c r="F664" s="5">
        <v>100</v>
      </c>
      <c r="G664" s="5">
        <v>100</v>
      </c>
      <c r="H664" s="5">
        <v>100</v>
      </c>
      <c r="I664" s="5">
        <v>100</v>
      </c>
      <c r="J664" s="5">
        <v>0</v>
      </c>
      <c r="K664" s="15" t="s">
        <v>56</v>
      </c>
      <c r="L664" s="6">
        <v>3</v>
      </c>
      <c r="M664" s="6">
        <v>0</v>
      </c>
      <c r="N664" s="6">
        <v>0</v>
      </c>
      <c r="O664" s="5">
        <v>0</v>
      </c>
      <c r="P664" s="5">
        <v>0</v>
      </c>
      <c r="Q664" s="5">
        <v>0</v>
      </c>
      <c r="R664" s="5">
        <v>0</v>
      </c>
      <c r="S664" s="5">
        <v>0</v>
      </c>
      <c r="T664" s="5">
        <v>0</v>
      </c>
      <c r="U664" s="6">
        <v>0</v>
      </c>
      <c r="V664" s="5">
        <v>10</v>
      </c>
      <c r="W664" s="5">
        <v>5</v>
      </c>
      <c r="X664" s="16">
        <v>2000</v>
      </c>
      <c r="Y664" s="16">
        <v>7000</v>
      </c>
      <c r="Z664" s="16">
        <v>14000</v>
      </c>
      <c r="AA664" s="12" t="str">
        <f t="shared" si="118"/>
        <v>0/30</v>
      </c>
      <c r="AB664" s="12" t="str">
        <f t="shared" si="119"/>
        <v>100,100,100,100,100,0</v>
      </c>
      <c r="AC664" s="12">
        <f t="shared" si="120"/>
        <v>5</v>
      </c>
      <c r="AD664" s="12" t="str">
        <f t="shared" si="121"/>
        <v>2000/7000/14000</v>
      </c>
      <c r="AE664" s="12" t="str">
        <f t="shared" si="122"/>
        <v/>
      </c>
      <c r="AF664" s="12" t="str">
        <f t="shared" si="123"/>
        <v/>
      </c>
      <c r="AG664" s="12" t="str">
        <f t="shared" si="124"/>
        <v/>
      </c>
      <c r="AH664" s="12" t="str">
        <f t="shared" si="125"/>
        <v/>
      </c>
      <c r="AI664" s="12" t="str">
        <f t="shared" si="126"/>
        <v>10/5</v>
      </c>
    </row>
    <row r="665" spans="1:35" s="8" customFormat="1" ht="21.95" customHeight="1">
      <c r="A665" s="9">
        <v>663</v>
      </c>
      <c r="B665" s="17">
        <v>663</v>
      </c>
      <c r="C665" s="6">
        <v>0</v>
      </c>
      <c r="D665" s="6">
        <v>60</v>
      </c>
      <c r="E665" s="5">
        <v>0</v>
      </c>
      <c r="F665" s="5">
        <v>100</v>
      </c>
      <c r="G665" s="5">
        <v>100</v>
      </c>
      <c r="H665" s="5">
        <v>100</v>
      </c>
      <c r="I665" s="5">
        <v>100</v>
      </c>
      <c r="J665" s="5">
        <v>100</v>
      </c>
      <c r="K665" s="15" t="s">
        <v>56</v>
      </c>
      <c r="L665" s="6">
        <v>3</v>
      </c>
      <c r="M665" s="6">
        <v>0</v>
      </c>
      <c r="N665" s="6">
        <v>0</v>
      </c>
      <c r="O665" s="5">
        <v>0</v>
      </c>
      <c r="P665" s="5">
        <v>0</v>
      </c>
      <c r="Q665" s="5">
        <v>0</v>
      </c>
      <c r="R665" s="5">
        <v>0</v>
      </c>
      <c r="S665" s="5">
        <v>0</v>
      </c>
      <c r="T665" s="5">
        <v>0</v>
      </c>
      <c r="U665" s="6">
        <v>0</v>
      </c>
      <c r="V665" s="5">
        <v>10</v>
      </c>
      <c r="W665" s="5">
        <v>5</v>
      </c>
      <c r="X665" s="16">
        <v>2000</v>
      </c>
      <c r="Y665" s="16">
        <v>7000</v>
      </c>
      <c r="Z665" s="16">
        <v>14000</v>
      </c>
      <c r="AA665" s="12" t="str">
        <f t="shared" si="118"/>
        <v>1/60</v>
      </c>
      <c r="AB665" s="12" t="str">
        <f t="shared" si="119"/>
        <v>0,100,100,100,100,100</v>
      </c>
      <c r="AC665" s="12">
        <f t="shared" si="120"/>
        <v>5</v>
      </c>
      <c r="AD665" s="12" t="str">
        <f t="shared" si="121"/>
        <v>2000/7000/14000</v>
      </c>
      <c r="AE665" s="12" t="str">
        <f t="shared" si="122"/>
        <v/>
      </c>
      <c r="AF665" s="12" t="str">
        <f t="shared" si="123"/>
        <v/>
      </c>
      <c r="AG665" s="12" t="str">
        <f t="shared" si="124"/>
        <v/>
      </c>
      <c r="AH665" s="12" t="str">
        <f t="shared" si="125"/>
        <v/>
      </c>
      <c r="AI665" s="12" t="str">
        <f t="shared" si="126"/>
        <v>10/5</v>
      </c>
    </row>
    <row r="666" spans="1:35" s="8" customFormat="1" ht="21.95" customHeight="1">
      <c r="A666" s="9">
        <v>664</v>
      </c>
      <c r="B666" s="17">
        <v>664</v>
      </c>
      <c r="C666" s="6">
        <v>30</v>
      </c>
      <c r="D666" s="6">
        <v>0</v>
      </c>
      <c r="E666" s="5">
        <v>100</v>
      </c>
      <c r="F666" s="5">
        <v>0</v>
      </c>
      <c r="G666" s="5">
        <v>100</v>
      </c>
      <c r="H666" s="5">
        <v>100</v>
      </c>
      <c r="I666" s="5">
        <v>100</v>
      </c>
      <c r="J666" s="5">
        <v>100</v>
      </c>
      <c r="K666" s="15" t="s">
        <v>53</v>
      </c>
      <c r="L666" s="6">
        <v>3</v>
      </c>
      <c r="M666" s="6">
        <v>0</v>
      </c>
      <c r="N666" s="6">
        <v>0</v>
      </c>
      <c r="O666" s="5">
        <v>0</v>
      </c>
      <c r="P666" s="5">
        <v>0</v>
      </c>
      <c r="Q666" s="5">
        <v>20</v>
      </c>
      <c r="R666" s="5">
        <v>24</v>
      </c>
      <c r="S666" s="5">
        <v>0</v>
      </c>
      <c r="T666" s="5">
        <v>0</v>
      </c>
      <c r="U666" s="6">
        <v>0</v>
      </c>
      <c r="V666" s="5">
        <v>10</v>
      </c>
      <c r="W666" s="5">
        <v>5</v>
      </c>
      <c r="X666" s="16">
        <v>2000</v>
      </c>
      <c r="Y666" s="16">
        <v>7000</v>
      </c>
      <c r="Z666" s="16">
        <v>14000</v>
      </c>
      <c r="AA666" s="12" t="str">
        <f t="shared" si="118"/>
        <v>0/30</v>
      </c>
      <c r="AB666" s="12" t="str">
        <f t="shared" si="119"/>
        <v>100,0,100,100,100,100</v>
      </c>
      <c r="AC666" s="12">
        <f t="shared" si="120"/>
        <v>2</v>
      </c>
      <c r="AD666" s="12" t="str">
        <f t="shared" si="121"/>
        <v>2000/7000/14000</v>
      </c>
      <c r="AE666" s="12" t="str">
        <f t="shared" si="122"/>
        <v/>
      </c>
      <c r="AF666" s="12" t="str">
        <f t="shared" si="123"/>
        <v/>
      </c>
      <c r="AG666" s="12" t="str">
        <f t="shared" si="124"/>
        <v>2/3/</v>
      </c>
      <c r="AH666" s="12" t="str">
        <f t="shared" si="125"/>
        <v>20/24/</v>
      </c>
      <c r="AI666" s="12" t="str">
        <f t="shared" si="126"/>
        <v>10/5</v>
      </c>
    </row>
    <row r="667" spans="1:35" s="8" customFormat="1" ht="21.95" customHeight="1">
      <c r="A667" s="9">
        <v>665</v>
      </c>
      <c r="B667" s="17">
        <v>665</v>
      </c>
      <c r="C667" s="6">
        <v>30</v>
      </c>
      <c r="D667" s="6">
        <v>0</v>
      </c>
      <c r="E667" s="5">
        <v>100</v>
      </c>
      <c r="F667" s="5">
        <v>100</v>
      </c>
      <c r="G667" s="5">
        <v>0</v>
      </c>
      <c r="H667" s="5">
        <v>100</v>
      </c>
      <c r="I667" s="5">
        <v>100</v>
      </c>
      <c r="J667" s="5">
        <v>100</v>
      </c>
      <c r="K667" s="15" t="s">
        <v>53</v>
      </c>
      <c r="L667" s="6">
        <v>3</v>
      </c>
      <c r="M667" s="6">
        <v>0</v>
      </c>
      <c r="N667" s="6">
        <v>0</v>
      </c>
      <c r="O667" s="5">
        <v>0</v>
      </c>
      <c r="P667" s="5">
        <v>0</v>
      </c>
      <c r="Q667" s="5">
        <v>0</v>
      </c>
      <c r="R667" s="5">
        <v>18</v>
      </c>
      <c r="S667" s="5">
        <v>32</v>
      </c>
      <c r="T667" s="5">
        <v>0</v>
      </c>
      <c r="U667" s="6">
        <v>0</v>
      </c>
      <c r="V667" s="5">
        <v>10</v>
      </c>
      <c r="W667" s="5">
        <v>5</v>
      </c>
      <c r="X667" s="16">
        <v>2000</v>
      </c>
      <c r="Y667" s="16">
        <v>7000</v>
      </c>
      <c r="Z667" s="16">
        <v>14000</v>
      </c>
      <c r="AA667" s="12" t="str">
        <f t="shared" si="118"/>
        <v>0/30</v>
      </c>
      <c r="AB667" s="12" t="str">
        <f t="shared" si="119"/>
        <v>100,100,0,100,100,100</v>
      </c>
      <c r="AC667" s="12">
        <f t="shared" si="120"/>
        <v>2</v>
      </c>
      <c r="AD667" s="12" t="str">
        <f t="shared" si="121"/>
        <v>2000/7000/14000</v>
      </c>
      <c r="AE667" s="12" t="str">
        <f t="shared" si="122"/>
        <v/>
      </c>
      <c r="AF667" s="12" t="str">
        <f t="shared" si="123"/>
        <v/>
      </c>
      <c r="AG667" s="12" t="str">
        <f t="shared" si="124"/>
        <v>3/4/</v>
      </c>
      <c r="AH667" s="12" t="str">
        <f t="shared" si="125"/>
        <v>18/32/</v>
      </c>
      <c r="AI667" s="12" t="str">
        <f t="shared" si="126"/>
        <v>10/5</v>
      </c>
    </row>
    <row r="668" spans="1:35" s="8" customFormat="1" ht="21.95" customHeight="1">
      <c r="A668" s="9">
        <v>666</v>
      </c>
      <c r="B668" s="17">
        <v>666</v>
      </c>
      <c r="C668" s="6">
        <v>30</v>
      </c>
      <c r="D668" s="6">
        <v>0</v>
      </c>
      <c r="E668" s="5">
        <v>100</v>
      </c>
      <c r="F668" s="5">
        <v>100</v>
      </c>
      <c r="G668" s="5">
        <v>100</v>
      </c>
      <c r="H668" s="5">
        <v>0</v>
      </c>
      <c r="I668" s="5">
        <v>100</v>
      </c>
      <c r="J668" s="5">
        <v>100</v>
      </c>
      <c r="K668" s="15" t="s">
        <v>52</v>
      </c>
      <c r="L668" s="6">
        <v>3</v>
      </c>
      <c r="M668" s="6">
        <v>6</v>
      </c>
      <c r="N668" s="6">
        <v>0</v>
      </c>
      <c r="O668" s="5">
        <v>0</v>
      </c>
      <c r="P668" s="5">
        <v>0</v>
      </c>
      <c r="Q668" s="5">
        <v>0</v>
      </c>
      <c r="R668" s="5">
        <v>0</v>
      </c>
      <c r="S668" s="5">
        <v>0</v>
      </c>
      <c r="T668" s="5">
        <v>0</v>
      </c>
      <c r="U668" s="6">
        <v>0</v>
      </c>
      <c r="V668" s="5">
        <v>10</v>
      </c>
      <c r="W668" s="5">
        <v>5</v>
      </c>
      <c r="X668" s="16">
        <v>2000</v>
      </c>
      <c r="Y668" s="16">
        <v>7000</v>
      </c>
      <c r="Z668" s="16">
        <v>14000</v>
      </c>
      <c r="AA668" s="12" t="str">
        <f t="shared" si="118"/>
        <v>0/30</v>
      </c>
      <c r="AB668" s="12" t="str">
        <f t="shared" si="119"/>
        <v>100,100,100,0,100,100</v>
      </c>
      <c r="AC668" s="12">
        <f t="shared" si="120"/>
        <v>1</v>
      </c>
      <c r="AD668" s="12" t="str">
        <f t="shared" si="121"/>
        <v>2000/7000/14000</v>
      </c>
      <c r="AE668" s="12" t="str">
        <f t="shared" si="122"/>
        <v>0/</v>
      </c>
      <c r="AF668" s="12" t="str">
        <f t="shared" si="123"/>
        <v>6/</v>
      </c>
      <c r="AG668" s="12" t="str">
        <f t="shared" si="124"/>
        <v/>
      </c>
      <c r="AH668" s="12" t="str">
        <f t="shared" si="125"/>
        <v/>
      </c>
      <c r="AI668" s="12" t="str">
        <f t="shared" si="126"/>
        <v>10/5</v>
      </c>
    </row>
    <row r="669" spans="1:35" s="8" customFormat="1" ht="21.95" customHeight="1">
      <c r="A669" s="9">
        <v>667</v>
      </c>
      <c r="B669" s="17">
        <v>667</v>
      </c>
      <c r="C669" s="6">
        <v>30</v>
      </c>
      <c r="D669" s="6">
        <v>0</v>
      </c>
      <c r="E669" s="5">
        <v>100</v>
      </c>
      <c r="F669" s="5">
        <v>100</v>
      </c>
      <c r="G669" s="5">
        <v>100</v>
      </c>
      <c r="H669" s="5">
        <v>100</v>
      </c>
      <c r="I669" s="5">
        <v>0</v>
      </c>
      <c r="J669" s="5">
        <v>100</v>
      </c>
      <c r="K669" s="15" t="s">
        <v>52</v>
      </c>
      <c r="L669" s="6">
        <v>3</v>
      </c>
      <c r="M669" s="6">
        <v>2</v>
      </c>
      <c r="N669" s="6">
        <v>4</v>
      </c>
      <c r="O669" s="5">
        <v>0</v>
      </c>
      <c r="P669" s="5">
        <v>0</v>
      </c>
      <c r="Q669" s="5">
        <v>0</v>
      </c>
      <c r="R669" s="5">
        <v>0</v>
      </c>
      <c r="S669" s="5">
        <v>0</v>
      </c>
      <c r="T669" s="5">
        <v>0</v>
      </c>
      <c r="U669" s="6">
        <v>0</v>
      </c>
      <c r="V669" s="5">
        <v>10</v>
      </c>
      <c r="W669" s="5">
        <v>5</v>
      </c>
      <c r="X669" s="16">
        <v>2000</v>
      </c>
      <c r="Y669" s="16">
        <v>7000</v>
      </c>
      <c r="Z669" s="16">
        <v>14000</v>
      </c>
      <c r="AA669" s="12" t="str">
        <f t="shared" si="118"/>
        <v>0/30</v>
      </c>
      <c r="AB669" s="12" t="str">
        <f t="shared" si="119"/>
        <v>100,100,100,100,0,100</v>
      </c>
      <c r="AC669" s="12">
        <f t="shared" si="120"/>
        <v>1</v>
      </c>
      <c r="AD669" s="12" t="str">
        <f t="shared" si="121"/>
        <v>2000/7000/14000</v>
      </c>
      <c r="AE669" s="12" t="str">
        <f t="shared" si="122"/>
        <v>0/1/</v>
      </c>
      <c r="AF669" s="12" t="str">
        <f t="shared" si="123"/>
        <v>2/4/</v>
      </c>
      <c r="AG669" s="12" t="str">
        <f t="shared" si="124"/>
        <v/>
      </c>
      <c r="AH669" s="12" t="str">
        <f t="shared" si="125"/>
        <v/>
      </c>
      <c r="AI669" s="12" t="str">
        <f t="shared" si="126"/>
        <v>10/5</v>
      </c>
    </row>
    <row r="670" spans="1:35" s="8" customFormat="1" ht="21.95" customHeight="1">
      <c r="A670" s="9">
        <v>668</v>
      </c>
      <c r="B670" s="17">
        <v>668</v>
      </c>
      <c r="C670" s="6">
        <v>0</v>
      </c>
      <c r="D670" s="6">
        <v>60</v>
      </c>
      <c r="E670" s="5">
        <v>100</v>
      </c>
      <c r="F670" s="5">
        <v>100</v>
      </c>
      <c r="G670" s="5">
        <v>100</v>
      </c>
      <c r="H670" s="5">
        <v>100</v>
      </c>
      <c r="I670" s="5">
        <v>100</v>
      </c>
      <c r="J670" s="5">
        <v>0</v>
      </c>
      <c r="K670" s="15" t="s">
        <v>54</v>
      </c>
      <c r="L670" s="6">
        <v>3</v>
      </c>
      <c r="M670" s="6">
        <v>0</v>
      </c>
      <c r="N670" s="6">
        <v>0</v>
      </c>
      <c r="O670" s="5">
        <v>0</v>
      </c>
      <c r="P670" s="5">
        <v>0</v>
      </c>
      <c r="Q670" s="5">
        <v>0</v>
      </c>
      <c r="R670" s="5">
        <v>0</v>
      </c>
      <c r="S670" s="5">
        <v>0</v>
      </c>
      <c r="T670" s="5">
        <v>0</v>
      </c>
      <c r="U670" s="6">
        <v>0</v>
      </c>
      <c r="V670" s="5">
        <v>10</v>
      </c>
      <c r="W670" s="5">
        <v>5</v>
      </c>
      <c r="X670" s="16">
        <v>2000</v>
      </c>
      <c r="Y670" s="16">
        <v>7000</v>
      </c>
      <c r="Z670" s="16">
        <v>14000</v>
      </c>
      <c r="AA670" s="12" t="str">
        <f t="shared" si="118"/>
        <v>1/60</v>
      </c>
      <c r="AB670" s="12" t="str">
        <f t="shared" si="119"/>
        <v>100,100,100,100,100,0</v>
      </c>
      <c r="AC670" s="12">
        <f t="shared" si="120"/>
        <v>3</v>
      </c>
      <c r="AD670" s="12" t="str">
        <f t="shared" si="121"/>
        <v>2000/7000/14000</v>
      </c>
      <c r="AE670" s="12" t="str">
        <f t="shared" si="122"/>
        <v/>
      </c>
      <c r="AF670" s="12" t="str">
        <f t="shared" si="123"/>
        <v/>
      </c>
      <c r="AG670" s="12" t="str">
        <f t="shared" si="124"/>
        <v/>
      </c>
      <c r="AH670" s="12" t="str">
        <f t="shared" si="125"/>
        <v/>
      </c>
      <c r="AI670" s="12" t="str">
        <f t="shared" si="126"/>
        <v>10/5</v>
      </c>
    </row>
    <row r="671" spans="1:35" s="8" customFormat="1" ht="21.95" customHeight="1">
      <c r="A671" s="9">
        <v>669</v>
      </c>
      <c r="B671" s="17">
        <v>669</v>
      </c>
      <c r="C671" s="6">
        <v>0</v>
      </c>
      <c r="D671" s="6">
        <v>60</v>
      </c>
      <c r="E671" s="5">
        <v>0</v>
      </c>
      <c r="F671" s="5">
        <v>100</v>
      </c>
      <c r="G671" s="5">
        <v>100</v>
      </c>
      <c r="H671" s="5">
        <v>100</v>
      </c>
      <c r="I671" s="5">
        <v>100</v>
      </c>
      <c r="J671" s="5">
        <v>100</v>
      </c>
      <c r="K671" s="15" t="s">
        <v>54</v>
      </c>
      <c r="L671" s="6">
        <v>3</v>
      </c>
      <c r="M671" s="6">
        <v>0</v>
      </c>
      <c r="N671" s="6">
        <v>0</v>
      </c>
      <c r="O671" s="5">
        <v>0</v>
      </c>
      <c r="P671" s="5">
        <v>0</v>
      </c>
      <c r="Q671" s="5">
        <v>0</v>
      </c>
      <c r="R671" s="5">
        <v>0</v>
      </c>
      <c r="S671" s="5">
        <v>0</v>
      </c>
      <c r="T671" s="5">
        <v>0</v>
      </c>
      <c r="U671" s="6">
        <v>0</v>
      </c>
      <c r="V671" s="5">
        <v>10</v>
      </c>
      <c r="W671" s="5">
        <v>5</v>
      </c>
      <c r="X671" s="16">
        <v>2000</v>
      </c>
      <c r="Y671" s="16">
        <v>7000</v>
      </c>
      <c r="Z671" s="16">
        <v>14000</v>
      </c>
      <c r="AA671" s="12" t="str">
        <f t="shared" si="118"/>
        <v>1/60</v>
      </c>
      <c r="AB671" s="12" t="str">
        <f t="shared" si="119"/>
        <v>0,100,100,100,100,100</v>
      </c>
      <c r="AC671" s="12">
        <f t="shared" si="120"/>
        <v>3</v>
      </c>
      <c r="AD671" s="12" t="str">
        <f t="shared" si="121"/>
        <v>2000/7000/14000</v>
      </c>
      <c r="AE671" s="12" t="str">
        <f t="shared" si="122"/>
        <v/>
      </c>
      <c r="AF671" s="12" t="str">
        <f t="shared" si="123"/>
        <v/>
      </c>
      <c r="AG671" s="12" t="str">
        <f t="shared" si="124"/>
        <v/>
      </c>
      <c r="AH671" s="12" t="str">
        <f t="shared" si="125"/>
        <v/>
      </c>
      <c r="AI671" s="12" t="str">
        <f t="shared" si="126"/>
        <v>10/5</v>
      </c>
    </row>
    <row r="672" spans="1:35" s="8" customFormat="1" ht="21.95" customHeight="1">
      <c r="A672" s="9">
        <v>670</v>
      </c>
      <c r="B672" s="17">
        <v>670</v>
      </c>
      <c r="C672" s="6">
        <v>30</v>
      </c>
      <c r="D672" s="6">
        <v>0</v>
      </c>
      <c r="E672" s="5">
        <v>100</v>
      </c>
      <c r="F672" s="5">
        <v>0</v>
      </c>
      <c r="G672" s="5">
        <v>100</v>
      </c>
      <c r="H672" s="5">
        <v>100</v>
      </c>
      <c r="I672" s="5">
        <v>100</v>
      </c>
      <c r="J672" s="5">
        <v>100</v>
      </c>
      <c r="K672" s="15" t="s">
        <v>55</v>
      </c>
      <c r="L672" s="6">
        <v>3</v>
      </c>
      <c r="M672" s="6">
        <v>0</v>
      </c>
      <c r="N672" s="6">
        <v>0</v>
      </c>
      <c r="O672" s="5">
        <v>0</v>
      </c>
      <c r="P672" s="5">
        <v>0</v>
      </c>
      <c r="Q672" s="5">
        <v>0</v>
      </c>
      <c r="R672" s="5">
        <v>0</v>
      </c>
      <c r="S672" s="5">
        <v>0</v>
      </c>
      <c r="T672" s="5">
        <v>0</v>
      </c>
      <c r="U672" s="6">
        <v>5</v>
      </c>
      <c r="V672" s="5">
        <v>10</v>
      </c>
      <c r="W672" s="5">
        <v>5</v>
      </c>
      <c r="X672" s="16">
        <v>2000</v>
      </c>
      <c r="Y672" s="16">
        <v>7000</v>
      </c>
      <c r="Z672" s="16">
        <v>14000</v>
      </c>
      <c r="AA672" s="12" t="str">
        <f t="shared" si="118"/>
        <v>0/30</v>
      </c>
      <c r="AB672" s="12" t="str">
        <f t="shared" si="119"/>
        <v>100,0,100,100,100,100</v>
      </c>
      <c r="AC672" s="12">
        <f t="shared" si="120"/>
        <v>4</v>
      </c>
      <c r="AD672" s="12" t="str">
        <f t="shared" si="121"/>
        <v>2000/7000/14000</v>
      </c>
      <c r="AE672" s="12" t="str">
        <f t="shared" si="122"/>
        <v/>
      </c>
      <c r="AF672" s="12" t="str">
        <f t="shared" si="123"/>
        <v/>
      </c>
      <c r="AG672" s="12" t="str">
        <f t="shared" si="124"/>
        <v/>
      </c>
      <c r="AH672" s="12" t="str">
        <f t="shared" si="125"/>
        <v/>
      </c>
      <c r="AI672" s="12" t="str">
        <f t="shared" si="126"/>
        <v>10/5</v>
      </c>
    </row>
    <row r="673" spans="1:35" s="8" customFormat="1" ht="21.95" customHeight="1">
      <c r="A673" s="9">
        <v>671</v>
      </c>
      <c r="B673" s="17">
        <v>671</v>
      </c>
      <c r="C673" s="6">
        <v>30</v>
      </c>
      <c r="D673" s="6">
        <v>0</v>
      </c>
      <c r="E673" s="5">
        <v>100</v>
      </c>
      <c r="F673" s="5">
        <v>100</v>
      </c>
      <c r="G673" s="5">
        <v>0</v>
      </c>
      <c r="H673" s="5">
        <v>100</v>
      </c>
      <c r="I673" s="5">
        <v>100</v>
      </c>
      <c r="J673" s="5">
        <v>100</v>
      </c>
      <c r="K673" s="15" t="s">
        <v>55</v>
      </c>
      <c r="L673" s="6">
        <v>3</v>
      </c>
      <c r="M673" s="6">
        <v>0</v>
      </c>
      <c r="N673" s="6">
        <v>0</v>
      </c>
      <c r="O673" s="5">
        <v>0</v>
      </c>
      <c r="P673" s="5">
        <v>0</v>
      </c>
      <c r="Q673" s="5">
        <v>0</v>
      </c>
      <c r="R673" s="5">
        <v>0</v>
      </c>
      <c r="S673" s="5">
        <v>0</v>
      </c>
      <c r="T673" s="5">
        <v>0</v>
      </c>
      <c r="U673" s="6">
        <v>5</v>
      </c>
      <c r="V673" s="5">
        <v>10</v>
      </c>
      <c r="W673" s="5">
        <v>5</v>
      </c>
      <c r="X673" s="16">
        <v>2000</v>
      </c>
      <c r="Y673" s="16">
        <v>7000</v>
      </c>
      <c r="Z673" s="16">
        <v>14000</v>
      </c>
      <c r="AA673" s="12" t="str">
        <f t="shared" si="118"/>
        <v>0/30</v>
      </c>
      <c r="AB673" s="12" t="str">
        <f t="shared" si="119"/>
        <v>100,100,0,100,100,100</v>
      </c>
      <c r="AC673" s="12">
        <f t="shared" si="120"/>
        <v>4</v>
      </c>
      <c r="AD673" s="12" t="str">
        <f t="shared" si="121"/>
        <v>2000/7000/14000</v>
      </c>
      <c r="AE673" s="12" t="str">
        <f t="shared" si="122"/>
        <v/>
      </c>
      <c r="AF673" s="12" t="str">
        <f t="shared" si="123"/>
        <v/>
      </c>
      <c r="AG673" s="12" t="str">
        <f t="shared" si="124"/>
        <v/>
      </c>
      <c r="AH673" s="12" t="str">
        <f t="shared" si="125"/>
        <v/>
      </c>
      <c r="AI673" s="12" t="str">
        <f t="shared" si="126"/>
        <v>10/5</v>
      </c>
    </row>
    <row r="674" spans="1:35" s="8" customFormat="1" ht="21.95" customHeight="1">
      <c r="A674" s="9">
        <v>672</v>
      </c>
      <c r="B674" s="17">
        <v>672</v>
      </c>
      <c r="C674" s="6">
        <v>32</v>
      </c>
      <c r="D674" s="6">
        <v>0</v>
      </c>
      <c r="E674" s="5">
        <v>100</v>
      </c>
      <c r="F674" s="5">
        <v>100</v>
      </c>
      <c r="G674" s="5">
        <v>100</v>
      </c>
      <c r="H674" s="5">
        <v>0</v>
      </c>
      <c r="I674" s="5">
        <v>100</v>
      </c>
      <c r="J674" s="5">
        <v>100</v>
      </c>
      <c r="K674" s="15" t="s">
        <v>51</v>
      </c>
      <c r="L674" s="6">
        <v>3</v>
      </c>
      <c r="M674" s="6">
        <v>0</v>
      </c>
      <c r="N674" s="6">
        <v>0</v>
      </c>
      <c r="O674" s="5">
        <v>0</v>
      </c>
      <c r="P674" s="5">
        <v>0</v>
      </c>
      <c r="Q674" s="5">
        <v>0</v>
      </c>
      <c r="R674" s="5">
        <v>0</v>
      </c>
      <c r="S674" s="5">
        <v>0</v>
      </c>
      <c r="T674" s="5">
        <v>0</v>
      </c>
      <c r="U674" s="6">
        <v>0</v>
      </c>
      <c r="V674" s="5">
        <v>10</v>
      </c>
      <c r="W674" s="5">
        <v>5</v>
      </c>
      <c r="X674" s="16">
        <v>2000</v>
      </c>
      <c r="Y674" s="16">
        <v>7000</v>
      </c>
      <c r="Z674" s="16">
        <v>14000</v>
      </c>
      <c r="AA674" s="12" t="str">
        <f t="shared" ref="AA674:AA737" si="127">IF(C674=0,CONCATENATE("1/",D674),CONCATENATE("0/",C674))</f>
        <v>0/32</v>
      </c>
      <c r="AB674" s="12" t="str">
        <f t="shared" ref="AB674:AB737" si="128">CONCATENATE(E674,",",F674,",",G674,",",H674,",",I674,",",J674)</f>
        <v>100,100,100,0,100,100</v>
      </c>
      <c r="AC674" s="12">
        <f t="shared" ref="AC674:AC737" si="129">VLOOKUP(K674,$I$1005:$J$1012,2,FALSE)</f>
        <v>0</v>
      </c>
      <c r="AD674" s="12" t="str">
        <f t="shared" ref="AD674:AD737" si="130">CONCATENATE(X674,"/",Y674,"/",Z674)</f>
        <v>2000/7000/14000</v>
      </c>
      <c r="AE674" s="12" t="str">
        <f t="shared" ref="AE674:AE737" si="131">CONCATENATE(IF(M674=0,"","0/"),IF(N674=0,"","1/"))</f>
        <v/>
      </c>
      <c r="AF674" s="12" t="str">
        <f t="shared" ref="AF674:AF737" si="132">CONCATENATE(IF(M674=0,"",CONCATENATE(M674,"/")),IF(N674=0,"",CONCATENATE(N674,"/")))</f>
        <v/>
      </c>
      <c r="AG674" s="12" t="str">
        <f t="shared" ref="AG674:AG737" si="133">CONCATENATE(IF(O674=0,"","0/"),IF(P674=0,"","1/"),IF(Q674=0,"","2/"),IF(R674=0,"","3/"),IF(S674=0,"","4/"),IF(T674=0,"","5/"))</f>
        <v/>
      </c>
      <c r="AH674" s="12" t="str">
        <f t="shared" ref="AH674:AH737" si="134">CONCATENATE(IF(O674=0,"",CONCATENATE(O674,"/")),IF(P674=0,"",CONCATENATE(P674,"/")),IF(Q674=0,"",CONCATENATE(Q674,"/")),IF(R674=0,"",CONCATENATE(R674,"/")),IF(S674=0,"",CONCATENATE(S674,"/")),IF(T674=0,"",CONCATENATE(T674,"/")))</f>
        <v/>
      </c>
      <c r="AI674" s="12" t="str">
        <f t="shared" ref="AI674:AI737" si="135">CONCATENATE(V674,"/",W674)</f>
        <v>10/5</v>
      </c>
    </row>
    <row r="675" spans="1:35" s="8" customFormat="1" ht="21.95" customHeight="1">
      <c r="A675" s="9">
        <v>673</v>
      </c>
      <c r="B675" s="17">
        <v>673</v>
      </c>
      <c r="C675" s="6">
        <v>30</v>
      </c>
      <c r="D675" s="6">
        <v>0</v>
      </c>
      <c r="E675" s="5">
        <v>100</v>
      </c>
      <c r="F675" s="5">
        <v>100</v>
      </c>
      <c r="G675" s="5">
        <v>100</v>
      </c>
      <c r="H675" s="5">
        <v>100</v>
      </c>
      <c r="I675" s="5">
        <v>0</v>
      </c>
      <c r="J675" s="5">
        <v>100</v>
      </c>
      <c r="K675" s="15" t="s">
        <v>53</v>
      </c>
      <c r="L675" s="6">
        <v>3</v>
      </c>
      <c r="M675" s="6">
        <v>0</v>
      </c>
      <c r="N675" s="6">
        <v>0</v>
      </c>
      <c r="O675" s="5">
        <v>16</v>
      </c>
      <c r="P675" s="5">
        <v>0</v>
      </c>
      <c r="Q675" s="5">
        <v>0</v>
      </c>
      <c r="R675" s="5">
        <v>0</v>
      </c>
      <c r="S675" s="5">
        <v>0</v>
      </c>
      <c r="T675" s="5">
        <v>18</v>
      </c>
      <c r="U675" s="6">
        <v>0</v>
      </c>
      <c r="V675" s="5">
        <v>10</v>
      </c>
      <c r="W675" s="5">
        <v>5</v>
      </c>
      <c r="X675" s="16">
        <v>2000</v>
      </c>
      <c r="Y675" s="16">
        <v>7000</v>
      </c>
      <c r="Z675" s="16">
        <v>14000</v>
      </c>
      <c r="AA675" s="12" t="str">
        <f t="shared" si="127"/>
        <v>0/30</v>
      </c>
      <c r="AB675" s="12" t="str">
        <f t="shared" si="128"/>
        <v>100,100,100,100,0,100</v>
      </c>
      <c r="AC675" s="12">
        <f t="shared" si="129"/>
        <v>2</v>
      </c>
      <c r="AD675" s="12" t="str">
        <f t="shared" si="130"/>
        <v>2000/7000/14000</v>
      </c>
      <c r="AE675" s="12" t="str">
        <f t="shared" si="131"/>
        <v/>
      </c>
      <c r="AF675" s="12" t="str">
        <f t="shared" si="132"/>
        <v/>
      </c>
      <c r="AG675" s="12" t="str">
        <f t="shared" si="133"/>
        <v>0/5/</v>
      </c>
      <c r="AH675" s="12" t="str">
        <f t="shared" si="134"/>
        <v>16/18/</v>
      </c>
      <c r="AI675" s="12" t="str">
        <f t="shared" si="135"/>
        <v>10/5</v>
      </c>
    </row>
    <row r="676" spans="1:35" s="8" customFormat="1" ht="21.95" customHeight="1">
      <c r="A676" s="9">
        <v>674</v>
      </c>
      <c r="B676" s="17">
        <v>674</v>
      </c>
      <c r="C676" s="6">
        <v>30</v>
      </c>
      <c r="D676" s="6">
        <v>0</v>
      </c>
      <c r="E676" s="5">
        <v>100</v>
      </c>
      <c r="F676" s="5">
        <v>100</v>
      </c>
      <c r="G676" s="5">
        <v>100</v>
      </c>
      <c r="H676" s="5">
        <v>100</v>
      </c>
      <c r="I676" s="5">
        <v>100</v>
      </c>
      <c r="J676" s="5">
        <v>0</v>
      </c>
      <c r="K676" s="15" t="s">
        <v>52</v>
      </c>
      <c r="L676" s="6">
        <v>3</v>
      </c>
      <c r="M676" s="6">
        <v>6</v>
      </c>
      <c r="N676" s="6">
        <v>0</v>
      </c>
      <c r="O676" s="5">
        <v>0</v>
      </c>
      <c r="P676" s="5">
        <v>0</v>
      </c>
      <c r="Q676" s="5">
        <v>0</v>
      </c>
      <c r="R676" s="5">
        <v>0</v>
      </c>
      <c r="S676" s="5">
        <v>0</v>
      </c>
      <c r="T676" s="5">
        <v>0</v>
      </c>
      <c r="U676" s="6">
        <v>0</v>
      </c>
      <c r="V676" s="5">
        <v>10</v>
      </c>
      <c r="W676" s="5">
        <v>5</v>
      </c>
      <c r="X676" s="16">
        <v>2000</v>
      </c>
      <c r="Y676" s="16">
        <v>7000</v>
      </c>
      <c r="Z676" s="16">
        <v>14000</v>
      </c>
      <c r="AA676" s="12" t="str">
        <f t="shared" si="127"/>
        <v>0/30</v>
      </c>
      <c r="AB676" s="12" t="str">
        <f t="shared" si="128"/>
        <v>100,100,100,100,100,0</v>
      </c>
      <c r="AC676" s="12">
        <f t="shared" si="129"/>
        <v>1</v>
      </c>
      <c r="AD676" s="12" t="str">
        <f t="shared" si="130"/>
        <v>2000/7000/14000</v>
      </c>
      <c r="AE676" s="12" t="str">
        <f t="shared" si="131"/>
        <v>0/</v>
      </c>
      <c r="AF676" s="12" t="str">
        <f t="shared" si="132"/>
        <v>6/</v>
      </c>
      <c r="AG676" s="12" t="str">
        <f t="shared" si="133"/>
        <v/>
      </c>
      <c r="AH676" s="12" t="str">
        <f t="shared" si="134"/>
        <v/>
      </c>
      <c r="AI676" s="12" t="str">
        <f t="shared" si="135"/>
        <v>10/5</v>
      </c>
    </row>
    <row r="677" spans="1:35" s="8" customFormat="1" ht="21.95" customHeight="1">
      <c r="A677" s="9">
        <v>675</v>
      </c>
      <c r="B677" s="17">
        <v>675</v>
      </c>
      <c r="C677" s="6">
        <v>30</v>
      </c>
      <c r="D677" s="6">
        <v>0</v>
      </c>
      <c r="E677" s="5">
        <v>0</v>
      </c>
      <c r="F677" s="5">
        <v>100</v>
      </c>
      <c r="G677" s="5">
        <v>100</v>
      </c>
      <c r="H677" s="5">
        <v>100</v>
      </c>
      <c r="I677" s="5">
        <v>100</v>
      </c>
      <c r="J677" s="5">
        <v>100</v>
      </c>
      <c r="K677" s="15" t="s">
        <v>52</v>
      </c>
      <c r="L677" s="6">
        <v>3</v>
      </c>
      <c r="M677" s="6">
        <v>0</v>
      </c>
      <c r="N677" s="6">
        <v>6</v>
      </c>
      <c r="O677" s="5">
        <v>0</v>
      </c>
      <c r="P677" s="5">
        <v>0</v>
      </c>
      <c r="Q677" s="5">
        <v>0</v>
      </c>
      <c r="R677" s="5">
        <v>0</v>
      </c>
      <c r="S677" s="5">
        <v>0</v>
      </c>
      <c r="T677" s="5">
        <v>0</v>
      </c>
      <c r="U677" s="6">
        <v>0</v>
      </c>
      <c r="V677" s="5">
        <v>10</v>
      </c>
      <c r="W677" s="5">
        <v>5</v>
      </c>
      <c r="X677" s="16">
        <v>2000</v>
      </c>
      <c r="Y677" s="16">
        <v>7000</v>
      </c>
      <c r="Z677" s="16">
        <v>14000</v>
      </c>
      <c r="AA677" s="12" t="str">
        <f t="shared" si="127"/>
        <v>0/30</v>
      </c>
      <c r="AB677" s="12" t="str">
        <f t="shared" si="128"/>
        <v>0,100,100,100,100,100</v>
      </c>
      <c r="AC677" s="12">
        <f t="shared" si="129"/>
        <v>1</v>
      </c>
      <c r="AD677" s="12" t="str">
        <f t="shared" si="130"/>
        <v>2000/7000/14000</v>
      </c>
      <c r="AE677" s="12" t="str">
        <f t="shared" si="131"/>
        <v>1/</v>
      </c>
      <c r="AF677" s="12" t="str">
        <f t="shared" si="132"/>
        <v>6/</v>
      </c>
      <c r="AG677" s="12" t="str">
        <f t="shared" si="133"/>
        <v/>
      </c>
      <c r="AH677" s="12" t="str">
        <f t="shared" si="134"/>
        <v/>
      </c>
      <c r="AI677" s="12" t="str">
        <f t="shared" si="135"/>
        <v>10/5</v>
      </c>
    </row>
    <row r="678" spans="1:35" s="8" customFormat="1" ht="21.95" customHeight="1">
      <c r="A678" s="9">
        <v>676</v>
      </c>
      <c r="B678" s="17">
        <v>676</v>
      </c>
      <c r="C678" s="6">
        <v>0</v>
      </c>
      <c r="D678" s="6">
        <v>60</v>
      </c>
      <c r="E678" s="5">
        <v>100</v>
      </c>
      <c r="F678" s="5">
        <v>0</v>
      </c>
      <c r="G678" s="5">
        <v>100</v>
      </c>
      <c r="H678" s="5">
        <v>100</v>
      </c>
      <c r="I678" s="5">
        <v>100</v>
      </c>
      <c r="J678" s="5">
        <v>100</v>
      </c>
      <c r="K678" s="15" t="s">
        <v>54</v>
      </c>
      <c r="L678" s="6">
        <v>3</v>
      </c>
      <c r="M678" s="6">
        <v>0</v>
      </c>
      <c r="N678" s="6">
        <v>0</v>
      </c>
      <c r="O678" s="5">
        <v>0</v>
      </c>
      <c r="P678" s="5">
        <v>0</v>
      </c>
      <c r="Q678" s="5">
        <v>0</v>
      </c>
      <c r="R678" s="5">
        <v>0</v>
      </c>
      <c r="S678" s="5">
        <v>0</v>
      </c>
      <c r="T678" s="5">
        <v>0</v>
      </c>
      <c r="U678" s="6">
        <v>0</v>
      </c>
      <c r="V678" s="5">
        <v>10</v>
      </c>
      <c r="W678" s="5">
        <v>5</v>
      </c>
      <c r="X678" s="16">
        <v>2000</v>
      </c>
      <c r="Y678" s="16">
        <v>7000</v>
      </c>
      <c r="Z678" s="16">
        <v>14000</v>
      </c>
      <c r="AA678" s="12" t="str">
        <f t="shared" si="127"/>
        <v>1/60</v>
      </c>
      <c r="AB678" s="12" t="str">
        <f t="shared" si="128"/>
        <v>100,0,100,100,100,100</v>
      </c>
      <c r="AC678" s="12">
        <f t="shared" si="129"/>
        <v>3</v>
      </c>
      <c r="AD678" s="12" t="str">
        <f t="shared" si="130"/>
        <v>2000/7000/14000</v>
      </c>
      <c r="AE678" s="12" t="str">
        <f t="shared" si="131"/>
        <v/>
      </c>
      <c r="AF678" s="12" t="str">
        <f t="shared" si="132"/>
        <v/>
      </c>
      <c r="AG678" s="12" t="str">
        <f t="shared" si="133"/>
        <v/>
      </c>
      <c r="AH678" s="12" t="str">
        <f t="shared" si="134"/>
        <v/>
      </c>
      <c r="AI678" s="12" t="str">
        <f t="shared" si="135"/>
        <v>10/5</v>
      </c>
    </row>
    <row r="679" spans="1:35" s="8" customFormat="1" ht="21.95" customHeight="1">
      <c r="A679" s="9">
        <v>677</v>
      </c>
      <c r="B679" s="17">
        <v>677</v>
      </c>
      <c r="C679" s="6">
        <v>0</v>
      </c>
      <c r="D679" s="6">
        <v>60</v>
      </c>
      <c r="E679" s="5">
        <v>100</v>
      </c>
      <c r="F679" s="5">
        <v>100</v>
      </c>
      <c r="G679" s="5">
        <v>0</v>
      </c>
      <c r="H679" s="5">
        <v>100</v>
      </c>
      <c r="I679" s="5">
        <v>100</v>
      </c>
      <c r="J679" s="5">
        <v>100</v>
      </c>
      <c r="K679" s="15" t="s">
        <v>54</v>
      </c>
      <c r="L679" s="6">
        <v>3</v>
      </c>
      <c r="M679" s="6">
        <v>0</v>
      </c>
      <c r="N679" s="6">
        <v>0</v>
      </c>
      <c r="O679" s="5">
        <v>0</v>
      </c>
      <c r="P679" s="5">
        <v>0</v>
      </c>
      <c r="Q679" s="5">
        <v>0</v>
      </c>
      <c r="R679" s="5">
        <v>0</v>
      </c>
      <c r="S679" s="5">
        <v>0</v>
      </c>
      <c r="T679" s="5">
        <v>0</v>
      </c>
      <c r="U679" s="6">
        <v>0</v>
      </c>
      <c r="V679" s="5">
        <v>10</v>
      </c>
      <c r="W679" s="5">
        <v>5</v>
      </c>
      <c r="X679" s="16">
        <v>2000</v>
      </c>
      <c r="Y679" s="16">
        <v>7000</v>
      </c>
      <c r="Z679" s="16">
        <v>14000</v>
      </c>
      <c r="AA679" s="12" t="str">
        <f t="shared" si="127"/>
        <v>1/60</v>
      </c>
      <c r="AB679" s="12" t="str">
        <f t="shared" si="128"/>
        <v>100,100,0,100,100,100</v>
      </c>
      <c r="AC679" s="12">
        <f t="shared" si="129"/>
        <v>3</v>
      </c>
      <c r="AD679" s="12" t="str">
        <f t="shared" si="130"/>
        <v>2000/7000/14000</v>
      </c>
      <c r="AE679" s="12" t="str">
        <f t="shared" si="131"/>
        <v/>
      </c>
      <c r="AF679" s="12" t="str">
        <f t="shared" si="132"/>
        <v/>
      </c>
      <c r="AG679" s="12" t="str">
        <f t="shared" si="133"/>
        <v/>
      </c>
      <c r="AH679" s="12" t="str">
        <f t="shared" si="134"/>
        <v/>
      </c>
      <c r="AI679" s="12" t="str">
        <f t="shared" si="135"/>
        <v>10/5</v>
      </c>
    </row>
    <row r="680" spans="1:35" s="8" customFormat="1" ht="21.95" customHeight="1">
      <c r="A680" s="9">
        <v>678</v>
      </c>
      <c r="B680" s="17">
        <v>678</v>
      </c>
      <c r="C680" s="6">
        <v>30</v>
      </c>
      <c r="D680" s="6">
        <v>0</v>
      </c>
      <c r="E680" s="5">
        <v>100</v>
      </c>
      <c r="F680" s="5">
        <v>100</v>
      </c>
      <c r="G680" s="5">
        <v>100</v>
      </c>
      <c r="H680" s="5">
        <v>0</v>
      </c>
      <c r="I680" s="5">
        <v>100</v>
      </c>
      <c r="J680" s="5">
        <v>100</v>
      </c>
      <c r="K680" s="15" t="s">
        <v>55</v>
      </c>
      <c r="L680" s="6">
        <v>3</v>
      </c>
      <c r="M680" s="6">
        <v>0</v>
      </c>
      <c r="N680" s="6">
        <v>0</v>
      </c>
      <c r="O680" s="5">
        <v>0</v>
      </c>
      <c r="P680" s="5">
        <v>0</v>
      </c>
      <c r="Q680" s="5">
        <v>0</v>
      </c>
      <c r="R680" s="5">
        <v>0</v>
      </c>
      <c r="S680" s="5">
        <v>0</v>
      </c>
      <c r="T680" s="5">
        <v>0</v>
      </c>
      <c r="U680" s="6">
        <v>5</v>
      </c>
      <c r="V680" s="5">
        <v>10</v>
      </c>
      <c r="W680" s="5">
        <v>5</v>
      </c>
      <c r="X680" s="16">
        <v>2000</v>
      </c>
      <c r="Y680" s="16">
        <v>7000</v>
      </c>
      <c r="Z680" s="16">
        <v>14000</v>
      </c>
      <c r="AA680" s="12" t="str">
        <f t="shared" si="127"/>
        <v>0/30</v>
      </c>
      <c r="AB680" s="12" t="str">
        <f t="shared" si="128"/>
        <v>100,100,100,0,100,100</v>
      </c>
      <c r="AC680" s="12">
        <f t="shared" si="129"/>
        <v>4</v>
      </c>
      <c r="AD680" s="12" t="str">
        <f t="shared" si="130"/>
        <v>2000/7000/14000</v>
      </c>
      <c r="AE680" s="12" t="str">
        <f t="shared" si="131"/>
        <v/>
      </c>
      <c r="AF680" s="12" t="str">
        <f t="shared" si="132"/>
        <v/>
      </c>
      <c r="AG680" s="12" t="str">
        <f t="shared" si="133"/>
        <v/>
      </c>
      <c r="AH680" s="12" t="str">
        <f t="shared" si="134"/>
        <v/>
      </c>
      <c r="AI680" s="12" t="str">
        <f t="shared" si="135"/>
        <v>10/5</v>
      </c>
    </row>
    <row r="681" spans="1:35" s="8" customFormat="1" ht="21.95" customHeight="1">
      <c r="A681" s="9">
        <v>679</v>
      </c>
      <c r="B681" s="17">
        <v>679</v>
      </c>
      <c r="C681" s="6">
        <v>30</v>
      </c>
      <c r="D681" s="6">
        <v>0</v>
      </c>
      <c r="E681" s="5">
        <v>100</v>
      </c>
      <c r="F681" s="5">
        <v>100</v>
      </c>
      <c r="G681" s="5">
        <v>100</v>
      </c>
      <c r="H681" s="5">
        <v>100</v>
      </c>
      <c r="I681" s="5">
        <v>0</v>
      </c>
      <c r="J681" s="5">
        <v>100</v>
      </c>
      <c r="K681" s="15" t="s">
        <v>55</v>
      </c>
      <c r="L681" s="6">
        <v>3</v>
      </c>
      <c r="M681" s="6">
        <v>0</v>
      </c>
      <c r="N681" s="6">
        <v>0</v>
      </c>
      <c r="O681" s="5">
        <v>0</v>
      </c>
      <c r="P681" s="5">
        <v>0</v>
      </c>
      <c r="Q681" s="5">
        <v>0</v>
      </c>
      <c r="R681" s="5">
        <v>0</v>
      </c>
      <c r="S681" s="5">
        <v>0</v>
      </c>
      <c r="T681" s="5">
        <v>0</v>
      </c>
      <c r="U681" s="6">
        <v>5</v>
      </c>
      <c r="V681" s="5">
        <v>10</v>
      </c>
      <c r="W681" s="5">
        <v>5</v>
      </c>
      <c r="X681" s="16">
        <v>2000</v>
      </c>
      <c r="Y681" s="16">
        <v>7000</v>
      </c>
      <c r="Z681" s="16">
        <v>14000</v>
      </c>
      <c r="AA681" s="12" t="str">
        <f t="shared" si="127"/>
        <v>0/30</v>
      </c>
      <c r="AB681" s="12" t="str">
        <f t="shared" si="128"/>
        <v>100,100,100,100,0,100</v>
      </c>
      <c r="AC681" s="12">
        <f t="shared" si="129"/>
        <v>4</v>
      </c>
      <c r="AD681" s="12" t="str">
        <f t="shared" si="130"/>
        <v>2000/7000/14000</v>
      </c>
      <c r="AE681" s="12" t="str">
        <f t="shared" si="131"/>
        <v/>
      </c>
      <c r="AF681" s="12" t="str">
        <f t="shared" si="132"/>
        <v/>
      </c>
      <c r="AG681" s="12" t="str">
        <f t="shared" si="133"/>
        <v/>
      </c>
      <c r="AH681" s="12" t="str">
        <f t="shared" si="134"/>
        <v/>
      </c>
      <c r="AI681" s="12" t="str">
        <f t="shared" si="135"/>
        <v>10/5</v>
      </c>
    </row>
    <row r="682" spans="1:35" s="8" customFormat="1" ht="21.95" customHeight="1">
      <c r="A682" s="9">
        <v>680</v>
      </c>
      <c r="B682" s="17">
        <v>680</v>
      </c>
      <c r="C682" s="6">
        <v>30</v>
      </c>
      <c r="D682" s="6">
        <v>0</v>
      </c>
      <c r="E682" s="5">
        <v>100</v>
      </c>
      <c r="F682" s="5">
        <v>100</v>
      </c>
      <c r="G682" s="5">
        <v>100</v>
      </c>
      <c r="H682" s="5">
        <v>100</v>
      </c>
      <c r="I682" s="5">
        <v>100</v>
      </c>
      <c r="J682" s="5">
        <v>0</v>
      </c>
      <c r="K682" s="15" t="s">
        <v>56</v>
      </c>
      <c r="L682" s="6">
        <v>3</v>
      </c>
      <c r="M682" s="6">
        <v>0</v>
      </c>
      <c r="N682" s="6">
        <v>0</v>
      </c>
      <c r="O682" s="5">
        <v>0</v>
      </c>
      <c r="P682" s="5">
        <v>0</v>
      </c>
      <c r="Q682" s="5">
        <v>0</v>
      </c>
      <c r="R682" s="5">
        <v>0</v>
      </c>
      <c r="S682" s="5">
        <v>0</v>
      </c>
      <c r="T682" s="5">
        <v>0</v>
      </c>
      <c r="U682" s="6">
        <v>0</v>
      </c>
      <c r="V682" s="5">
        <v>10</v>
      </c>
      <c r="W682" s="5">
        <v>5</v>
      </c>
      <c r="X682" s="16">
        <v>2000</v>
      </c>
      <c r="Y682" s="16">
        <v>7000</v>
      </c>
      <c r="Z682" s="16">
        <v>14000</v>
      </c>
      <c r="AA682" s="12" t="str">
        <f t="shared" si="127"/>
        <v>0/30</v>
      </c>
      <c r="AB682" s="12" t="str">
        <f t="shared" si="128"/>
        <v>100,100,100,100,100,0</v>
      </c>
      <c r="AC682" s="12">
        <f t="shared" si="129"/>
        <v>5</v>
      </c>
      <c r="AD682" s="12" t="str">
        <f t="shared" si="130"/>
        <v>2000/7000/14000</v>
      </c>
      <c r="AE682" s="12" t="str">
        <f t="shared" si="131"/>
        <v/>
      </c>
      <c r="AF682" s="12" t="str">
        <f t="shared" si="132"/>
        <v/>
      </c>
      <c r="AG682" s="12" t="str">
        <f t="shared" si="133"/>
        <v/>
      </c>
      <c r="AH682" s="12" t="str">
        <f t="shared" si="134"/>
        <v/>
      </c>
      <c r="AI682" s="12" t="str">
        <f t="shared" si="135"/>
        <v>10/5</v>
      </c>
    </row>
    <row r="683" spans="1:35" s="8" customFormat="1" ht="21.95" customHeight="1">
      <c r="A683" s="9">
        <v>681</v>
      </c>
      <c r="B683" s="17">
        <v>681</v>
      </c>
      <c r="C683" s="6">
        <v>0</v>
      </c>
      <c r="D683" s="6">
        <v>60</v>
      </c>
      <c r="E683" s="5">
        <v>0</v>
      </c>
      <c r="F683" s="5">
        <v>100</v>
      </c>
      <c r="G683" s="5">
        <v>100</v>
      </c>
      <c r="H683" s="5">
        <v>100</v>
      </c>
      <c r="I683" s="5">
        <v>100</v>
      </c>
      <c r="J683" s="5">
        <v>100</v>
      </c>
      <c r="K683" s="15" t="s">
        <v>56</v>
      </c>
      <c r="L683" s="6">
        <v>3</v>
      </c>
      <c r="M683" s="6">
        <v>0</v>
      </c>
      <c r="N683" s="6">
        <v>0</v>
      </c>
      <c r="O683" s="5">
        <v>0</v>
      </c>
      <c r="P683" s="5">
        <v>0</v>
      </c>
      <c r="Q683" s="5">
        <v>0</v>
      </c>
      <c r="R683" s="5">
        <v>0</v>
      </c>
      <c r="S683" s="5">
        <v>0</v>
      </c>
      <c r="T683" s="5">
        <v>0</v>
      </c>
      <c r="U683" s="6">
        <v>0</v>
      </c>
      <c r="V683" s="5">
        <v>10</v>
      </c>
      <c r="W683" s="5">
        <v>5</v>
      </c>
      <c r="X683" s="16">
        <v>2000</v>
      </c>
      <c r="Y683" s="16">
        <v>7000</v>
      </c>
      <c r="Z683" s="16">
        <v>14000</v>
      </c>
      <c r="AA683" s="12" t="str">
        <f t="shared" si="127"/>
        <v>1/60</v>
      </c>
      <c r="AB683" s="12" t="str">
        <f t="shared" si="128"/>
        <v>0,100,100,100,100,100</v>
      </c>
      <c r="AC683" s="12">
        <f t="shared" si="129"/>
        <v>5</v>
      </c>
      <c r="AD683" s="12" t="str">
        <f t="shared" si="130"/>
        <v>2000/7000/14000</v>
      </c>
      <c r="AE683" s="12" t="str">
        <f t="shared" si="131"/>
        <v/>
      </c>
      <c r="AF683" s="12" t="str">
        <f t="shared" si="132"/>
        <v/>
      </c>
      <c r="AG683" s="12" t="str">
        <f t="shared" si="133"/>
        <v/>
      </c>
      <c r="AH683" s="12" t="str">
        <f t="shared" si="134"/>
        <v/>
      </c>
      <c r="AI683" s="12" t="str">
        <f t="shared" si="135"/>
        <v>10/5</v>
      </c>
    </row>
    <row r="684" spans="1:35" s="8" customFormat="1" ht="21.95" customHeight="1">
      <c r="A684" s="9">
        <v>682</v>
      </c>
      <c r="B684" s="17">
        <v>682</v>
      </c>
      <c r="C684" s="6">
        <v>0</v>
      </c>
      <c r="D684" s="6">
        <v>60</v>
      </c>
      <c r="E684" s="5">
        <v>0</v>
      </c>
      <c r="F684" s="5">
        <v>100</v>
      </c>
      <c r="G684" s="5">
        <v>100</v>
      </c>
      <c r="H684" s="5">
        <v>100</v>
      </c>
      <c r="I684" s="5">
        <v>100</v>
      </c>
      <c r="J684" s="5">
        <v>100</v>
      </c>
      <c r="K684" s="15" t="s">
        <v>56</v>
      </c>
      <c r="L684" s="6">
        <v>3</v>
      </c>
      <c r="M684" s="6">
        <v>0</v>
      </c>
      <c r="N684" s="6">
        <v>0</v>
      </c>
      <c r="O684" s="5">
        <v>0</v>
      </c>
      <c r="P684" s="5">
        <v>0</v>
      </c>
      <c r="Q684" s="5">
        <v>0</v>
      </c>
      <c r="R684" s="5">
        <v>0</v>
      </c>
      <c r="S684" s="5">
        <v>0</v>
      </c>
      <c r="T684" s="5">
        <v>0</v>
      </c>
      <c r="U684" s="6">
        <v>0</v>
      </c>
      <c r="V684" s="5">
        <v>10</v>
      </c>
      <c r="W684" s="5">
        <v>5</v>
      </c>
      <c r="X684" s="16">
        <v>2000</v>
      </c>
      <c r="Y684" s="16">
        <v>7000</v>
      </c>
      <c r="Z684" s="16">
        <v>14000</v>
      </c>
      <c r="AA684" s="12" t="str">
        <f t="shared" si="127"/>
        <v>1/60</v>
      </c>
      <c r="AB684" s="12" t="str">
        <f t="shared" si="128"/>
        <v>0,100,100,100,100,100</v>
      </c>
      <c r="AC684" s="12">
        <f t="shared" si="129"/>
        <v>5</v>
      </c>
      <c r="AD684" s="12" t="str">
        <f t="shared" si="130"/>
        <v>2000/7000/14000</v>
      </c>
      <c r="AE684" s="12" t="str">
        <f t="shared" si="131"/>
        <v/>
      </c>
      <c r="AF684" s="12" t="str">
        <f t="shared" si="132"/>
        <v/>
      </c>
      <c r="AG684" s="12" t="str">
        <f t="shared" si="133"/>
        <v/>
      </c>
      <c r="AH684" s="12" t="str">
        <f t="shared" si="134"/>
        <v/>
      </c>
      <c r="AI684" s="12" t="str">
        <f t="shared" si="135"/>
        <v>10/5</v>
      </c>
    </row>
    <row r="685" spans="1:35" s="8" customFormat="1" ht="21.95" customHeight="1">
      <c r="A685" s="9">
        <v>683</v>
      </c>
      <c r="B685" s="17">
        <v>683</v>
      </c>
      <c r="C685" s="6">
        <v>30</v>
      </c>
      <c r="D685" s="6">
        <v>0</v>
      </c>
      <c r="E685" s="5">
        <v>100</v>
      </c>
      <c r="F685" s="5">
        <v>0</v>
      </c>
      <c r="G685" s="5">
        <v>100</v>
      </c>
      <c r="H685" s="5">
        <v>100</v>
      </c>
      <c r="I685" s="5">
        <v>100</v>
      </c>
      <c r="J685" s="5">
        <v>100</v>
      </c>
      <c r="K685" s="15" t="s">
        <v>53</v>
      </c>
      <c r="L685" s="6">
        <v>3</v>
      </c>
      <c r="M685" s="6">
        <v>0</v>
      </c>
      <c r="N685" s="6">
        <v>0</v>
      </c>
      <c r="O685" s="5">
        <v>0</v>
      </c>
      <c r="P685" s="5">
        <v>0</v>
      </c>
      <c r="Q685" s="5">
        <v>20</v>
      </c>
      <c r="R685" s="5">
        <v>24</v>
      </c>
      <c r="S685" s="5">
        <v>0</v>
      </c>
      <c r="T685" s="5">
        <v>0</v>
      </c>
      <c r="U685" s="6">
        <v>0</v>
      </c>
      <c r="V685" s="5">
        <v>10</v>
      </c>
      <c r="W685" s="5">
        <v>5</v>
      </c>
      <c r="X685" s="16">
        <v>2000</v>
      </c>
      <c r="Y685" s="16">
        <v>7000</v>
      </c>
      <c r="Z685" s="16">
        <v>14000</v>
      </c>
      <c r="AA685" s="12" t="str">
        <f t="shared" si="127"/>
        <v>0/30</v>
      </c>
      <c r="AB685" s="12" t="str">
        <f t="shared" si="128"/>
        <v>100,0,100,100,100,100</v>
      </c>
      <c r="AC685" s="12">
        <f t="shared" si="129"/>
        <v>2</v>
      </c>
      <c r="AD685" s="12" t="str">
        <f t="shared" si="130"/>
        <v>2000/7000/14000</v>
      </c>
      <c r="AE685" s="12" t="str">
        <f t="shared" si="131"/>
        <v/>
      </c>
      <c r="AF685" s="12" t="str">
        <f t="shared" si="132"/>
        <v/>
      </c>
      <c r="AG685" s="12" t="str">
        <f t="shared" si="133"/>
        <v>2/3/</v>
      </c>
      <c r="AH685" s="12" t="str">
        <f t="shared" si="134"/>
        <v>20/24/</v>
      </c>
      <c r="AI685" s="12" t="str">
        <f t="shared" si="135"/>
        <v>10/5</v>
      </c>
    </row>
    <row r="686" spans="1:35" s="8" customFormat="1" ht="21.95" customHeight="1">
      <c r="A686" s="9">
        <v>684</v>
      </c>
      <c r="B686" s="17">
        <v>684</v>
      </c>
      <c r="C686" s="6">
        <v>30</v>
      </c>
      <c r="D686" s="6">
        <v>0</v>
      </c>
      <c r="E686" s="5">
        <v>100</v>
      </c>
      <c r="F686" s="5">
        <v>100</v>
      </c>
      <c r="G686" s="5">
        <v>0</v>
      </c>
      <c r="H686" s="5">
        <v>100</v>
      </c>
      <c r="I686" s="5">
        <v>100</v>
      </c>
      <c r="J686" s="5">
        <v>100</v>
      </c>
      <c r="K686" s="15" t="s">
        <v>53</v>
      </c>
      <c r="L686" s="6">
        <v>3</v>
      </c>
      <c r="M686" s="6">
        <v>0</v>
      </c>
      <c r="N686" s="6">
        <v>0</v>
      </c>
      <c r="O686" s="5">
        <v>0</v>
      </c>
      <c r="P686" s="5">
        <v>0</v>
      </c>
      <c r="Q686" s="5">
        <v>0</v>
      </c>
      <c r="R686" s="5">
        <v>18</v>
      </c>
      <c r="S686" s="5">
        <v>32</v>
      </c>
      <c r="T686" s="5">
        <v>0</v>
      </c>
      <c r="U686" s="6">
        <v>0</v>
      </c>
      <c r="V686" s="5">
        <v>10</v>
      </c>
      <c r="W686" s="5">
        <v>5</v>
      </c>
      <c r="X686" s="16">
        <v>2000</v>
      </c>
      <c r="Y686" s="16">
        <v>7000</v>
      </c>
      <c r="Z686" s="16">
        <v>14000</v>
      </c>
      <c r="AA686" s="12" t="str">
        <f t="shared" si="127"/>
        <v>0/30</v>
      </c>
      <c r="AB686" s="12" t="str">
        <f t="shared" si="128"/>
        <v>100,100,0,100,100,100</v>
      </c>
      <c r="AC686" s="12">
        <f t="shared" si="129"/>
        <v>2</v>
      </c>
      <c r="AD686" s="12" t="str">
        <f t="shared" si="130"/>
        <v>2000/7000/14000</v>
      </c>
      <c r="AE686" s="12" t="str">
        <f t="shared" si="131"/>
        <v/>
      </c>
      <c r="AF686" s="12" t="str">
        <f t="shared" si="132"/>
        <v/>
      </c>
      <c r="AG686" s="12" t="str">
        <f t="shared" si="133"/>
        <v>3/4/</v>
      </c>
      <c r="AH686" s="12" t="str">
        <f t="shared" si="134"/>
        <v>18/32/</v>
      </c>
      <c r="AI686" s="12" t="str">
        <f t="shared" si="135"/>
        <v>10/5</v>
      </c>
    </row>
    <row r="687" spans="1:35" s="8" customFormat="1" ht="21.95" customHeight="1">
      <c r="A687" s="9">
        <v>685</v>
      </c>
      <c r="B687" s="17">
        <v>685</v>
      </c>
      <c r="C687" s="6">
        <v>30</v>
      </c>
      <c r="D687" s="6">
        <v>0</v>
      </c>
      <c r="E687" s="5">
        <v>100</v>
      </c>
      <c r="F687" s="5">
        <v>100</v>
      </c>
      <c r="G687" s="5">
        <v>100</v>
      </c>
      <c r="H687" s="5">
        <v>0</v>
      </c>
      <c r="I687" s="5">
        <v>100</v>
      </c>
      <c r="J687" s="5">
        <v>100</v>
      </c>
      <c r="K687" s="15" t="s">
        <v>52</v>
      </c>
      <c r="L687" s="6">
        <v>3</v>
      </c>
      <c r="M687" s="6">
        <v>6</v>
      </c>
      <c r="N687" s="6">
        <v>0</v>
      </c>
      <c r="O687" s="5">
        <v>0</v>
      </c>
      <c r="P687" s="5">
        <v>0</v>
      </c>
      <c r="Q687" s="5">
        <v>0</v>
      </c>
      <c r="R687" s="5">
        <v>0</v>
      </c>
      <c r="S687" s="5">
        <v>0</v>
      </c>
      <c r="T687" s="5">
        <v>0</v>
      </c>
      <c r="U687" s="6">
        <v>0</v>
      </c>
      <c r="V687" s="5">
        <v>10</v>
      </c>
      <c r="W687" s="5">
        <v>5</v>
      </c>
      <c r="X687" s="16">
        <v>2000</v>
      </c>
      <c r="Y687" s="16">
        <v>7000</v>
      </c>
      <c r="Z687" s="16">
        <v>14000</v>
      </c>
      <c r="AA687" s="12" t="str">
        <f t="shared" si="127"/>
        <v>0/30</v>
      </c>
      <c r="AB687" s="12" t="str">
        <f t="shared" si="128"/>
        <v>100,100,100,0,100,100</v>
      </c>
      <c r="AC687" s="12">
        <f t="shared" si="129"/>
        <v>1</v>
      </c>
      <c r="AD687" s="12" t="str">
        <f t="shared" si="130"/>
        <v>2000/7000/14000</v>
      </c>
      <c r="AE687" s="12" t="str">
        <f t="shared" si="131"/>
        <v>0/</v>
      </c>
      <c r="AF687" s="12" t="str">
        <f t="shared" si="132"/>
        <v>6/</v>
      </c>
      <c r="AG687" s="12" t="str">
        <f t="shared" si="133"/>
        <v/>
      </c>
      <c r="AH687" s="12" t="str">
        <f t="shared" si="134"/>
        <v/>
      </c>
      <c r="AI687" s="12" t="str">
        <f t="shared" si="135"/>
        <v>10/5</v>
      </c>
    </row>
    <row r="688" spans="1:35" s="8" customFormat="1" ht="21.95" customHeight="1">
      <c r="A688" s="9">
        <v>686</v>
      </c>
      <c r="B688" s="17">
        <v>686</v>
      </c>
      <c r="C688" s="6">
        <v>30</v>
      </c>
      <c r="D688" s="6">
        <v>0</v>
      </c>
      <c r="E688" s="5">
        <v>100</v>
      </c>
      <c r="F688" s="5">
        <v>100</v>
      </c>
      <c r="G688" s="5">
        <v>100</v>
      </c>
      <c r="H688" s="5">
        <v>100</v>
      </c>
      <c r="I688" s="5">
        <v>0</v>
      </c>
      <c r="J688" s="5">
        <v>100</v>
      </c>
      <c r="K688" s="15" t="s">
        <v>52</v>
      </c>
      <c r="L688" s="6">
        <v>3</v>
      </c>
      <c r="M688" s="6">
        <v>2</v>
      </c>
      <c r="N688" s="6">
        <v>4</v>
      </c>
      <c r="O688" s="5">
        <v>0</v>
      </c>
      <c r="P688" s="5">
        <v>0</v>
      </c>
      <c r="Q688" s="5">
        <v>0</v>
      </c>
      <c r="R688" s="5">
        <v>0</v>
      </c>
      <c r="S688" s="5">
        <v>0</v>
      </c>
      <c r="T688" s="5">
        <v>0</v>
      </c>
      <c r="U688" s="6">
        <v>0</v>
      </c>
      <c r="V688" s="5">
        <v>10</v>
      </c>
      <c r="W688" s="5">
        <v>5</v>
      </c>
      <c r="X688" s="16">
        <v>2000</v>
      </c>
      <c r="Y688" s="16">
        <v>7000</v>
      </c>
      <c r="Z688" s="16">
        <v>14000</v>
      </c>
      <c r="AA688" s="12" t="str">
        <f t="shared" si="127"/>
        <v>0/30</v>
      </c>
      <c r="AB688" s="12" t="str">
        <f t="shared" si="128"/>
        <v>100,100,100,100,0,100</v>
      </c>
      <c r="AC688" s="12">
        <f t="shared" si="129"/>
        <v>1</v>
      </c>
      <c r="AD688" s="12" t="str">
        <f t="shared" si="130"/>
        <v>2000/7000/14000</v>
      </c>
      <c r="AE688" s="12" t="str">
        <f t="shared" si="131"/>
        <v>0/1/</v>
      </c>
      <c r="AF688" s="12" t="str">
        <f t="shared" si="132"/>
        <v>2/4/</v>
      </c>
      <c r="AG688" s="12" t="str">
        <f t="shared" si="133"/>
        <v/>
      </c>
      <c r="AH688" s="12" t="str">
        <f t="shared" si="134"/>
        <v/>
      </c>
      <c r="AI688" s="12" t="str">
        <f t="shared" si="135"/>
        <v>10/5</v>
      </c>
    </row>
    <row r="689" spans="1:35" s="8" customFormat="1" ht="21.95" customHeight="1">
      <c r="A689" s="9">
        <v>687</v>
      </c>
      <c r="B689" s="17">
        <v>687</v>
      </c>
      <c r="C689" s="6">
        <v>0</v>
      </c>
      <c r="D689" s="6">
        <v>60</v>
      </c>
      <c r="E689" s="5">
        <v>100</v>
      </c>
      <c r="F689" s="5">
        <v>100</v>
      </c>
      <c r="G689" s="5">
        <v>100</v>
      </c>
      <c r="H689" s="5">
        <v>100</v>
      </c>
      <c r="I689" s="5">
        <v>100</v>
      </c>
      <c r="J689" s="5">
        <v>0</v>
      </c>
      <c r="K689" s="15" t="s">
        <v>54</v>
      </c>
      <c r="L689" s="6">
        <v>3</v>
      </c>
      <c r="M689" s="6">
        <v>0</v>
      </c>
      <c r="N689" s="6">
        <v>0</v>
      </c>
      <c r="O689" s="5">
        <v>0</v>
      </c>
      <c r="P689" s="5">
        <v>0</v>
      </c>
      <c r="Q689" s="5">
        <v>0</v>
      </c>
      <c r="R689" s="5">
        <v>0</v>
      </c>
      <c r="S689" s="5">
        <v>0</v>
      </c>
      <c r="T689" s="5">
        <v>0</v>
      </c>
      <c r="U689" s="6">
        <v>0</v>
      </c>
      <c r="V689" s="5">
        <v>10</v>
      </c>
      <c r="W689" s="5">
        <v>5</v>
      </c>
      <c r="X689" s="16">
        <v>2000</v>
      </c>
      <c r="Y689" s="16">
        <v>7000</v>
      </c>
      <c r="Z689" s="16">
        <v>14000</v>
      </c>
      <c r="AA689" s="12" t="str">
        <f t="shared" si="127"/>
        <v>1/60</v>
      </c>
      <c r="AB689" s="12" t="str">
        <f t="shared" si="128"/>
        <v>100,100,100,100,100,0</v>
      </c>
      <c r="AC689" s="12">
        <f t="shared" si="129"/>
        <v>3</v>
      </c>
      <c r="AD689" s="12" t="str">
        <f t="shared" si="130"/>
        <v>2000/7000/14000</v>
      </c>
      <c r="AE689" s="12" t="str">
        <f t="shared" si="131"/>
        <v/>
      </c>
      <c r="AF689" s="12" t="str">
        <f t="shared" si="132"/>
        <v/>
      </c>
      <c r="AG689" s="12" t="str">
        <f t="shared" si="133"/>
        <v/>
      </c>
      <c r="AH689" s="12" t="str">
        <f t="shared" si="134"/>
        <v/>
      </c>
      <c r="AI689" s="12" t="str">
        <f t="shared" si="135"/>
        <v>10/5</v>
      </c>
    </row>
    <row r="690" spans="1:35" s="8" customFormat="1" ht="21.95" customHeight="1">
      <c r="A690" s="9">
        <v>688</v>
      </c>
      <c r="B690" s="17">
        <v>688</v>
      </c>
      <c r="C690" s="6">
        <v>0</v>
      </c>
      <c r="D690" s="6">
        <v>60</v>
      </c>
      <c r="E690" s="5">
        <v>0</v>
      </c>
      <c r="F690" s="5">
        <v>100</v>
      </c>
      <c r="G690" s="5">
        <v>100</v>
      </c>
      <c r="H690" s="5">
        <v>100</v>
      </c>
      <c r="I690" s="5">
        <v>100</v>
      </c>
      <c r="J690" s="5">
        <v>100</v>
      </c>
      <c r="K690" s="15" t="s">
        <v>54</v>
      </c>
      <c r="L690" s="6">
        <v>3</v>
      </c>
      <c r="M690" s="6">
        <v>0</v>
      </c>
      <c r="N690" s="6">
        <v>0</v>
      </c>
      <c r="O690" s="5">
        <v>0</v>
      </c>
      <c r="P690" s="5">
        <v>0</v>
      </c>
      <c r="Q690" s="5">
        <v>0</v>
      </c>
      <c r="R690" s="5">
        <v>0</v>
      </c>
      <c r="S690" s="5">
        <v>0</v>
      </c>
      <c r="T690" s="5">
        <v>0</v>
      </c>
      <c r="U690" s="6">
        <v>0</v>
      </c>
      <c r="V690" s="5">
        <v>10</v>
      </c>
      <c r="W690" s="5">
        <v>5</v>
      </c>
      <c r="X690" s="16">
        <v>2000</v>
      </c>
      <c r="Y690" s="16">
        <v>7000</v>
      </c>
      <c r="Z690" s="16">
        <v>14000</v>
      </c>
      <c r="AA690" s="12" t="str">
        <f t="shared" si="127"/>
        <v>1/60</v>
      </c>
      <c r="AB690" s="12" t="str">
        <f t="shared" si="128"/>
        <v>0,100,100,100,100,100</v>
      </c>
      <c r="AC690" s="12">
        <f t="shared" si="129"/>
        <v>3</v>
      </c>
      <c r="AD690" s="12" t="str">
        <f t="shared" si="130"/>
        <v>2000/7000/14000</v>
      </c>
      <c r="AE690" s="12" t="str">
        <f t="shared" si="131"/>
        <v/>
      </c>
      <c r="AF690" s="12" t="str">
        <f t="shared" si="132"/>
        <v/>
      </c>
      <c r="AG690" s="12" t="str">
        <f t="shared" si="133"/>
        <v/>
      </c>
      <c r="AH690" s="12" t="str">
        <f t="shared" si="134"/>
        <v/>
      </c>
      <c r="AI690" s="12" t="str">
        <f t="shared" si="135"/>
        <v>10/5</v>
      </c>
    </row>
    <row r="691" spans="1:35" s="8" customFormat="1" ht="21.95" customHeight="1">
      <c r="A691" s="9">
        <v>689</v>
      </c>
      <c r="B691" s="17">
        <v>689</v>
      </c>
      <c r="C691" s="6">
        <v>30</v>
      </c>
      <c r="D691" s="6">
        <v>0</v>
      </c>
      <c r="E691" s="5">
        <v>100</v>
      </c>
      <c r="F691" s="5">
        <v>0</v>
      </c>
      <c r="G691" s="5">
        <v>100</v>
      </c>
      <c r="H691" s="5">
        <v>100</v>
      </c>
      <c r="I691" s="5">
        <v>100</v>
      </c>
      <c r="J691" s="5">
        <v>100</v>
      </c>
      <c r="K691" s="15" t="s">
        <v>55</v>
      </c>
      <c r="L691" s="6">
        <v>3</v>
      </c>
      <c r="M691" s="6">
        <v>0</v>
      </c>
      <c r="N691" s="6">
        <v>0</v>
      </c>
      <c r="O691" s="5">
        <v>0</v>
      </c>
      <c r="P691" s="5">
        <v>0</v>
      </c>
      <c r="Q691" s="5">
        <v>0</v>
      </c>
      <c r="R691" s="5">
        <v>0</v>
      </c>
      <c r="S691" s="5">
        <v>0</v>
      </c>
      <c r="T691" s="5">
        <v>0</v>
      </c>
      <c r="U691" s="6">
        <v>5</v>
      </c>
      <c r="V691" s="5">
        <v>10</v>
      </c>
      <c r="W691" s="5">
        <v>5</v>
      </c>
      <c r="X691" s="16">
        <v>2000</v>
      </c>
      <c r="Y691" s="16">
        <v>7000</v>
      </c>
      <c r="Z691" s="16">
        <v>14000</v>
      </c>
      <c r="AA691" s="12" t="str">
        <f t="shared" si="127"/>
        <v>0/30</v>
      </c>
      <c r="AB691" s="12" t="str">
        <f t="shared" si="128"/>
        <v>100,0,100,100,100,100</v>
      </c>
      <c r="AC691" s="12">
        <f t="shared" si="129"/>
        <v>4</v>
      </c>
      <c r="AD691" s="12" t="str">
        <f t="shared" si="130"/>
        <v>2000/7000/14000</v>
      </c>
      <c r="AE691" s="12" t="str">
        <f t="shared" si="131"/>
        <v/>
      </c>
      <c r="AF691" s="12" t="str">
        <f t="shared" si="132"/>
        <v/>
      </c>
      <c r="AG691" s="12" t="str">
        <f t="shared" si="133"/>
        <v/>
      </c>
      <c r="AH691" s="12" t="str">
        <f t="shared" si="134"/>
        <v/>
      </c>
      <c r="AI691" s="12" t="str">
        <f t="shared" si="135"/>
        <v>10/5</v>
      </c>
    </row>
    <row r="692" spans="1:35" s="8" customFormat="1" ht="21.95" customHeight="1">
      <c r="A692" s="9">
        <v>690</v>
      </c>
      <c r="B692" s="17">
        <v>690</v>
      </c>
      <c r="C692" s="6">
        <v>30</v>
      </c>
      <c r="D692" s="6">
        <v>0</v>
      </c>
      <c r="E692" s="5">
        <v>100</v>
      </c>
      <c r="F692" s="5">
        <v>100</v>
      </c>
      <c r="G692" s="5">
        <v>0</v>
      </c>
      <c r="H692" s="5">
        <v>100</v>
      </c>
      <c r="I692" s="5">
        <v>100</v>
      </c>
      <c r="J692" s="5">
        <v>100</v>
      </c>
      <c r="K692" s="15" t="s">
        <v>55</v>
      </c>
      <c r="L692" s="6">
        <v>3</v>
      </c>
      <c r="M692" s="6">
        <v>0</v>
      </c>
      <c r="N692" s="6">
        <v>0</v>
      </c>
      <c r="O692" s="5">
        <v>0</v>
      </c>
      <c r="P692" s="5">
        <v>0</v>
      </c>
      <c r="Q692" s="5">
        <v>0</v>
      </c>
      <c r="R692" s="5">
        <v>0</v>
      </c>
      <c r="S692" s="5">
        <v>0</v>
      </c>
      <c r="T692" s="5">
        <v>0</v>
      </c>
      <c r="U692" s="6">
        <v>5</v>
      </c>
      <c r="V692" s="5">
        <v>10</v>
      </c>
      <c r="W692" s="5">
        <v>5</v>
      </c>
      <c r="X692" s="16">
        <v>2000</v>
      </c>
      <c r="Y692" s="16">
        <v>7000</v>
      </c>
      <c r="Z692" s="16">
        <v>14000</v>
      </c>
      <c r="AA692" s="12" t="str">
        <f t="shared" si="127"/>
        <v>0/30</v>
      </c>
      <c r="AB692" s="12" t="str">
        <f t="shared" si="128"/>
        <v>100,100,0,100,100,100</v>
      </c>
      <c r="AC692" s="12">
        <f t="shared" si="129"/>
        <v>4</v>
      </c>
      <c r="AD692" s="12" t="str">
        <f t="shared" si="130"/>
        <v>2000/7000/14000</v>
      </c>
      <c r="AE692" s="12" t="str">
        <f t="shared" si="131"/>
        <v/>
      </c>
      <c r="AF692" s="12" t="str">
        <f t="shared" si="132"/>
        <v/>
      </c>
      <c r="AG692" s="12" t="str">
        <f t="shared" si="133"/>
        <v/>
      </c>
      <c r="AH692" s="12" t="str">
        <f t="shared" si="134"/>
        <v/>
      </c>
      <c r="AI692" s="12" t="str">
        <f t="shared" si="135"/>
        <v>10/5</v>
      </c>
    </row>
    <row r="693" spans="1:35" s="8" customFormat="1" ht="21.95" customHeight="1">
      <c r="A693" s="9">
        <v>691</v>
      </c>
      <c r="B693" s="17">
        <v>691</v>
      </c>
      <c r="C693" s="6">
        <v>32</v>
      </c>
      <c r="D693" s="6">
        <v>0</v>
      </c>
      <c r="E693" s="5">
        <v>100</v>
      </c>
      <c r="F693" s="5">
        <v>100</v>
      </c>
      <c r="G693" s="5">
        <v>100</v>
      </c>
      <c r="H693" s="5">
        <v>0</v>
      </c>
      <c r="I693" s="5">
        <v>100</v>
      </c>
      <c r="J693" s="5">
        <v>100</v>
      </c>
      <c r="K693" s="15" t="s">
        <v>51</v>
      </c>
      <c r="L693" s="6">
        <v>3</v>
      </c>
      <c r="M693" s="6">
        <v>0</v>
      </c>
      <c r="N693" s="6">
        <v>0</v>
      </c>
      <c r="O693" s="5">
        <v>0</v>
      </c>
      <c r="P693" s="5">
        <v>0</v>
      </c>
      <c r="Q693" s="5">
        <v>0</v>
      </c>
      <c r="R693" s="5">
        <v>0</v>
      </c>
      <c r="S693" s="5">
        <v>0</v>
      </c>
      <c r="T693" s="5">
        <v>0</v>
      </c>
      <c r="U693" s="6">
        <v>0</v>
      </c>
      <c r="V693" s="5">
        <v>10</v>
      </c>
      <c r="W693" s="5">
        <v>5</v>
      </c>
      <c r="X693" s="16">
        <v>2000</v>
      </c>
      <c r="Y693" s="16">
        <v>7000</v>
      </c>
      <c r="Z693" s="16">
        <v>14000</v>
      </c>
      <c r="AA693" s="12" t="str">
        <f t="shared" si="127"/>
        <v>0/32</v>
      </c>
      <c r="AB693" s="12" t="str">
        <f t="shared" si="128"/>
        <v>100,100,100,0,100,100</v>
      </c>
      <c r="AC693" s="12">
        <f t="shared" si="129"/>
        <v>0</v>
      </c>
      <c r="AD693" s="12" t="str">
        <f t="shared" si="130"/>
        <v>2000/7000/14000</v>
      </c>
      <c r="AE693" s="12" t="str">
        <f t="shared" si="131"/>
        <v/>
      </c>
      <c r="AF693" s="12" t="str">
        <f t="shared" si="132"/>
        <v/>
      </c>
      <c r="AG693" s="12" t="str">
        <f t="shared" si="133"/>
        <v/>
      </c>
      <c r="AH693" s="12" t="str">
        <f t="shared" si="134"/>
        <v/>
      </c>
      <c r="AI693" s="12" t="str">
        <f t="shared" si="135"/>
        <v>10/5</v>
      </c>
    </row>
    <row r="694" spans="1:35" s="8" customFormat="1" ht="21.95" customHeight="1">
      <c r="A694" s="9">
        <v>692</v>
      </c>
      <c r="B694" s="17">
        <v>692</v>
      </c>
      <c r="C694" s="6">
        <v>30</v>
      </c>
      <c r="D694" s="6">
        <v>0</v>
      </c>
      <c r="E694" s="5">
        <v>100</v>
      </c>
      <c r="F694" s="5">
        <v>100</v>
      </c>
      <c r="G694" s="5">
        <v>100</v>
      </c>
      <c r="H694" s="5">
        <v>100</v>
      </c>
      <c r="I694" s="5">
        <v>0</v>
      </c>
      <c r="J694" s="5">
        <v>100</v>
      </c>
      <c r="K694" s="15" t="s">
        <v>53</v>
      </c>
      <c r="L694" s="6">
        <v>3</v>
      </c>
      <c r="M694" s="6">
        <v>0</v>
      </c>
      <c r="N694" s="6">
        <v>0</v>
      </c>
      <c r="O694" s="5">
        <v>16</v>
      </c>
      <c r="P694" s="5">
        <v>0</v>
      </c>
      <c r="Q694" s="5">
        <v>0</v>
      </c>
      <c r="R694" s="5">
        <v>0</v>
      </c>
      <c r="S694" s="5">
        <v>0</v>
      </c>
      <c r="T694" s="5">
        <v>18</v>
      </c>
      <c r="U694" s="6">
        <v>0</v>
      </c>
      <c r="V694" s="5">
        <v>10</v>
      </c>
      <c r="W694" s="5">
        <v>5</v>
      </c>
      <c r="X694" s="16">
        <v>2000</v>
      </c>
      <c r="Y694" s="16">
        <v>7000</v>
      </c>
      <c r="Z694" s="16">
        <v>14000</v>
      </c>
      <c r="AA694" s="12" t="str">
        <f t="shared" si="127"/>
        <v>0/30</v>
      </c>
      <c r="AB694" s="12" t="str">
        <f t="shared" si="128"/>
        <v>100,100,100,100,0,100</v>
      </c>
      <c r="AC694" s="12">
        <f t="shared" si="129"/>
        <v>2</v>
      </c>
      <c r="AD694" s="12" t="str">
        <f t="shared" si="130"/>
        <v>2000/7000/14000</v>
      </c>
      <c r="AE694" s="12" t="str">
        <f t="shared" si="131"/>
        <v/>
      </c>
      <c r="AF694" s="12" t="str">
        <f t="shared" si="132"/>
        <v/>
      </c>
      <c r="AG694" s="12" t="str">
        <f t="shared" si="133"/>
        <v>0/5/</v>
      </c>
      <c r="AH694" s="12" t="str">
        <f t="shared" si="134"/>
        <v>16/18/</v>
      </c>
      <c r="AI694" s="12" t="str">
        <f t="shared" si="135"/>
        <v>10/5</v>
      </c>
    </row>
    <row r="695" spans="1:35" s="8" customFormat="1" ht="21.95" customHeight="1">
      <c r="A695" s="9">
        <v>693</v>
      </c>
      <c r="B695" s="17">
        <v>693</v>
      </c>
      <c r="C695" s="6">
        <v>30</v>
      </c>
      <c r="D695" s="6">
        <v>0</v>
      </c>
      <c r="E695" s="5">
        <v>100</v>
      </c>
      <c r="F695" s="5">
        <v>100</v>
      </c>
      <c r="G695" s="5">
        <v>100</v>
      </c>
      <c r="H695" s="5">
        <v>100</v>
      </c>
      <c r="I695" s="5">
        <v>100</v>
      </c>
      <c r="J695" s="5">
        <v>0</v>
      </c>
      <c r="K695" s="15" t="s">
        <v>52</v>
      </c>
      <c r="L695" s="6">
        <v>3</v>
      </c>
      <c r="M695" s="6">
        <v>6</v>
      </c>
      <c r="N695" s="6">
        <v>0</v>
      </c>
      <c r="O695" s="5">
        <v>0</v>
      </c>
      <c r="P695" s="5">
        <v>0</v>
      </c>
      <c r="Q695" s="5">
        <v>0</v>
      </c>
      <c r="R695" s="5">
        <v>0</v>
      </c>
      <c r="S695" s="5">
        <v>0</v>
      </c>
      <c r="T695" s="5">
        <v>0</v>
      </c>
      <c r="U695" s="6">
        <v>0</v>
      </c>
      <c r="V695" s="5">
        <v>10</v>
      </c>
      <c r="W695" s="5">
        <v>5</v>
      </c>
      <c r="X695" s="16">
        <v>2000</v>
      </c>
      <c r="Y695" s="16">
        <v>7000</v>
      </c>
      <c r="Z695" s="16">
        <v>14000</v>
      </c>
      <c r="AA695" s="12" t="str">
        <f t="shared" si="127"/>
        <v>0/30</v>
      </c>
      <c r="AB695" s="12" t="str">
        <f t="shared" si="128"/>
        <v>100,100,100,100,100,0</v>
      </c>
      <c r="AC695" s="12">
        <f t="shared" si="129"/>
        <v>1</v>
      </c>
      <c r="AD695" s="12" t="str">
        <f t="shared" si="130"/>
        <v>2000/7000/14000</v>
      </c>
      <c r="AE695" s="12" t="str">
        <f t="shared" si="131"/>
        <v>0/</v>
      </c>
      <c r="AF695" s="12" t="str">
        <f t="shared" si="132"/>
        <v>6/</v>
      </c>
      <c r="AG695" s="12" t="str">
        <f t="shared" si="133"/>
        <v/>
      </c>
      <c r="AH695" s="12" t="str">
        <f t="shared" si="134"/>
        <v/>
      </c>
      <c r="AI695" s="12" t="str">
        <f t="shared" si="135"/>
        <v>10/5</v>
      </c>
    </row>
    <row r="696" spans="1:35" s="8" customFormat="1" ht="21.95" customHeight="1">
      <c r="A696" s="9">
        <v>694</v>
      </c>
      <c r="B696" s="17">
        <v>694</v>
      </c>
      <c r="C696" s="6">
        <v>30</v>
      </c>
      <c r="D696" s="6">
        <v>0</v>
      </c>
      <c r="E696" s="5">
        <v>0</v>
      </c>
      <c r="F696" s="5">
        <v>100</v>
      </c>
      <c r="G696" s="5">
        <v>100</v>
      </c>
      <c r="H696" s="5">
        <v>100</v>
      </c>
      <c r="I696" s="5">
        <v>100</v>
      </c>
      <c r="J696" s="5">
        <v>100</v>
      </c>
      <c r="K696" s="15" t="s">
        <v>52</v>
      </c>
      <c r="L696" s="6">
        <v>3</v>
      </c>
      <c r="M696" s="6">
        <v>0</v>
      </c>
      <c r="N696" s="6">
        <v>6</v>
      </c>
      <c r="O696" s="5">
        <v>0</v>
      </c>
      <c r="P696" s="5">
        <v>0</v>
      </c>
      <c r="Q696" s="5">
        <v>0</v>
      </c>
      <c r="R696" s="5">
        <v>0</v>
      </c>
      <c r="S696" s="5">
        <v>0</v>
      </c>
      <c r="T696" s="5">
        <v>0</v>
      </c>
      <c r="U696" s="6">
        <v>0</v>
      </c>
      <c r="V696" s="5">
        <v>10</v>
      </c>
      <c r="W696" s="5">
        <v>5</v>
      </c>
      <c r="X696" s="16">
        <v>2000</v>
      </c>
      <c r="Y696" s="16">
        <v>7000</v>
      </c>
      <c r="Z696" s="16">
        <v>14000</v>
      </c>
      <c r="AA696" s="12" t="str">
        <f t="shared" si="127"/>
        <v>0/30</v>
      </c>
      <c r="AB696" s="12" t="str">
        <f t="shared" si="128"/>
        <v>0,100,100,100,100,100</v>
      </c>
      <c r="AC696" s="12">
        <f t="shared" si="129"/>
        <v>1</v>
      </c>
      <c r="AD696" s="12" t="str">
        <f t="shared" si="130"/>
        <v>2000/7000/14000</v>
      </c>
      <c r="AE696" s="12" t="str">
        <f t="shared" si="131"/>
        <v>1/</v>
      </c>
      <c r="AF696" s="12" t="str">
        <f t="shared" si="132"/>
        <v>6/</v>
      </c>
      <c r="AG696" s="12" t="str">
        <f t="shared" si="133"/>
        <v/>
      </c>
      <c r="AH696" s="12" t="str">
        <f t="shared" si="134"/>
        <v/>
      </c>
      <c r="AI696" s="12" t="str">
        <f t="shared" si="135"/>
        <v>10/5</v>
      </c>
    </row>
    <row r="697" spans="1:35" s="8" customFormat="1" ht="21.95" customHeight="1">
      <c r="A697" s="9">
        <v>695</v>
      </c>
      <c r="B697" s="17">
        <v>695</v>
      </c>
      <c r="C697" s="6">
        <v>0</v>
      </c>
      <c r="D697" s="6">
        <v>60</v>
      </c>
      <c r="E697" s="5">
        <v>100</v>
      </c>
      <c r="F697" s="5">
        <v>0</v>
      </c>
      <c r="G697" s="5">
        <v>100</v>
      </c>
      <c r="H697" s="5">
        <v>100</v>
      </c>
      <c r="I697" s="5">
        <v>100</v>
      </c>
      <c r="J697" s="5">
        <v>100</v>
      </c>
      <c r="K697" s="15" t="s">
        <v>54</v>
      </c>
      <c r="L697" s="6">
        <v>3</v>
      </c>
      <c r="M697" s="6">
        <v>0</v>
      </c>
      <c r="N697" s="6">
        <v>0</v>
      </c>
      <c r="O697" s="5">
        <v>0</v>
      </c>
      <c r="P697" s="5">
        <v>0</v>
      </c>
      <c r="Q697" s="5">
        <v>0</v>
      </c>
      <c r="R697" s="5">
        <v>0</v>
      </c>
      <c r="S697" s="5">
        <v>0</v>
      </c>
      <c r="T697" s="5">
        <v>0</v>
      </c>
      <c r="U697" s="6">
        <v>0</v>
      </c>
      <c r="V697" s="5">
        <v>10</v>
      </c>
      <c r="W697" s="5">
        <v>5</v>
      </c>
      <c r="X697" s="16">
        <v>2000</v>
      </c>
      <c r="Y697" s="16">
        <v>7000</v>
      </c>
      <c r="Z697" s="16">
        <v>14000</v>
      </c>
      <c r="AA697" s="12" t="str">
        <f t="shared" si="127"/>
        <v>1/60</v>
      </c>
      <c r="AB697" s="12" t="str">
        <f t="shared" si="128"/>
        <v>100,0,100,100,100,100</v>
      </c>
      <c r="AC697" s="12">
        <f t="shared" si="129"/>
        <v>3</v>
      </c>
      <c r="AD697" s="12" t="str">
        <f t="shared" si="130"/>
        <v>2000/7000/14000</v>
      </c>
      <c r="AE697" s="12" t="str">
        <f t="shared" si="131"/>
        <v/>
      </c>
      <c r="AF697" s="12" t="str">
        <f t="shared" si="132"/>
        <v/>
      </c>
      <c r="AG697" s="12" t="str">
        <f t="shared" si="133"/>
        <v/>
      </c>
      <c r="AH697" s="12" t="str">
        <f t="shared" si="134"/>
        <v/>
      </c>
      <c r="AI697" s="12" t="str">
        <f t="shared" si="135"/>
        <v>10/5</v>
      </c>
    </row>
    <row r="698" spans="1:35" s="8" customFormat="1" ht="21.95" customHeight="1">
      <c r="A698" s="9">
        <v>696</v>
      </c>
      <c r="B698" s="17">
        <v>696</v>
      </c>
      <c r="C698" s="6">
        <v>0</v>
      </c>
      <c r="D698" s="6">
        <v>60</v>
      </c>
      <c r="E698" s="5">
        <v>100</v>
      </c>
      <c r="F698" s="5">
        <v>100</v>
      </c>
      <c r="G698" s="5">
        <v>0</v>
      </c>
      <c r="H698" s="5">
        <v>100</v>
      </c>
      <c r="I698" s="5">
        <v>100</v>
      </c>
      <c r="J698" s="5">
        <v>100</v>
      </c>
      <c r="K698" s="15" t="s">
        <v>54</v>
      </c>
      <c r="L698" s="6">
        <v>3</v>
      </c>
      <c r="M698" s="6">
        <v>0</v>
      </c>
      <c r="N698" s="6">
        <v>0</v>
      </c>
      <c r="O698" s="5">
        <v>0</v>
      </c>
      <c r="P698" s="5">
        <v>0</v>
      </c>
      <c r="Q698" s="5">
        <v>0</v>
      </c>
      <c r="R698" s="5">
        <v>0</v>
      </c>
      <c r="S698" s="5">
        <v>0</v>
      </c>
      <c r="T698" s="5">
        <v>0</v>
      </c>
      <c r="U698" s="6">
        <v>0</v>
      </c>
      <c r="V698" s="5">
        <v>10</v>
      </c>
      <c r="W698" s="5">
        <v>5</v>
      </c>
      <c r="X698" s="16">
        <v>2000</v>
      </c>
      <c r="Y698" s="16">
        <v>7000</v>
      </c>
      <c r="Z698" s="16">
        <v>14000</v>
      </c>
      <c r="AA698" s="12" t="str">
        <f t="shared" si="127"/>
        <v>1/60</v>
      </c>
      <c r="AB698" s="12" t="str">
        <f t="shared" si="128"/>
        <v>100,100,0,100,100,100</v>
      </c>
      <c r="AC698" s="12">
        <f t="shared" si="129"/>
        <v>3</v>
      </c>
      <c r="AD698" s="12" t="str">
        <f t="shared" si="130"/>
        <v>2000/7000/14000</v>
      </c>
      <c r="AE698" s="12" t="str">
        <f t="shared" si="131"/>
        <v/>
      </c>
      <c r="AF698" s="12" t="str">
        <f t="shared" si="132"/>
        <v/>
      </c>
      <c r="AG698" s="12" t="str">
        <f t="shared" si="133"/>
        <v/>
      </c>
      <c r="AH698" s="12" t="str">
        <f t="shared" si="134"/>
        <v/>
      </c>
      <c r="AI698" s="12" t="str">
        <f t="shared" si="135"/>
        <v>10/5</v>
      </c>
    </row>
    <row r="699" spans="1:35" s="8" customFormat="1" ht="21.95" customHeight="1">
      <c r="A699" s="9">
        <v>697</v>
      </c>
      <c r="B699" s="17">
        <v>697</v>
      </c>
      <c r="C699" s="6">
        <v>0</v>
      </c>
      <c r="D699" s="6">
        <v>60</v>
      </c>
      <c r="E699" s="5">
        <v>100</v>
      </c>
      <c r="F699" s="5">
        <v>100</v>
      </c>
      <c r="G699" s="5">
        <v>100</v>
      </c>
      <c r="H699" s="5">
        <v>100</v>
      </c>
      <c r="I699" s="5">
        <v>0</v>
      </c>
      <c r="J699" s="5">
        <v>100</v>
      </c>
      <c r="K699" s="15" t="s">
        <v>52</v>
      </c>
      <c r="L699" s="6">
        <v>3</v>
      </c>
      <c r="M699" s="6">
        <v>2</v>
      </c>
      <c r="N699" s="6">
        <v>4</v>
      </c>
      <c r="O699" s="5">
        <v>0</v>
      </c>
      <c r="P699" s="5">
        <v>0</v>
      </c>
      <c r="Q699" s="5">
        <v>0</v>
      </c>
      <c r="R699" s="5">
        <v>0</v>
      </c>
      <c r="S699" s="5">
        <v>0</v>
      </c>
      <c r="T699" s="5">
        <v>0</v>
      </c>
      <c r="U699" s="6">
        <v>0</v>
      </c>
      <c r="V699" s="5">
        <v>10</v>
      </c>
      <c r="W699" s="5">
        <v>5</v>
      </c>
      <c r="X699" s="16">
        <v>2000</v>
      </c>
      <c r="Y699" s="16">
        <v>7000</v>
      </c>
      <c r="Z699" s="16">
        <v>14000</v>
      </c>
      <c r="AA699" s="12" t="str">
        <f t="shared" si="127"/>
        <v>1/60</v>
      </c>
      <c r="AB699" s="12" t="str">
        <f t="shared" si="128"/>
        <v>100,100,100,100,0,100</v>
      </c>
      <c r="AC699" s="12">
        <f t="shared" si="129"/>
        <v>1</v>
      </c>
      <c r="AD699" s="12" t="str">
        <f t="shared" si="130"/>
        <v>2000/7000/14000</v>
      </c>
      <c r="AE699" s="12" t="str">
        <f t="shared" si="131"/>
        <v>0/1/</v>
      </c>
      <c r="AF699" s="12" t="str">
        <f t="shared" si="132"/>
        <v>2/4/</v>
      </c>
      <c r="AG699" s="12" t="str">
        <f t="shared" si="133"/>
        <v/>
      </c>
      <c r="AH699" s="12" t="str">
        <f t="shared" si="134"/>
        <v/>
      </c>
      <c r="AI699" s="12" t="str">
        <f t="shared" si="135"/>
        <v>10/5</v>
      </c>
    </row>
    <row r="700" spans="1:35" s="8" customFormat="1" ht="21.95" customHeight="1">
      <c r="A700" s="9">
        <v>698</v>
      </c>
      <c r="B700" s="17">
        <v>698</v>
      </c>
      <c r="C700" s="6">
        <v>30</v>
      </c>
      <c r="D700" s="6">
        <v>0</v>
      </c>
      <c r="E700" s="5">
        <v>100</v>
      </c>
      <c r="F700" s="5">
        <v>100</v>
      </c>
      <c r="G700" s="5">
        <v>100</v>
      </c>
      <c r="H700" s="5">
        <v>100</v>
      </c>
      <c r="I700" s="5">
        <v>100</v>
      </c>
      <c r="J700" s="5">
        <v>0</v>
      </c>
      <c r="K700" s="15" t="s">
        <v>54</v>
      </c>
      <c r="L700" s="6">
        <v>3</v>
      </c>
      <c r="M700" s="6">
        <v>0</v>
      </c>
      <c r="N700" s="6">
        <v>0</v>
      </c>
      <c r="O700" s="5">
        <v>0</v>
      </c>
      <c r="P700" s="5">
        <v>0</v>
      </c>
      <c r="Q700" s="5">
        <v>0</v>
      </c>
      <c r="R700" s="5">
        <v>0</v>
      </c>
      <c r="S700" s="5">
        <v>0</v>
      </c>
      <c r="T700" s="5">
        <v>0</v>
      </c>
      <c r="U700" s="6">
        <v>0</v>
      </c>
      <c r="V700" s="5">
        <v>10</v>
      </c>
      <c r="W700" s="5">
        <v>5</v>
      </c>
      <c r="X700" s="16">
        <v>2000</v>
      </c>
      <c r="Y700" s="16">
        <v>7000</v>
      </c>
      <c r="Z700" s="16">
        <v>14000</v>
      </c>
      <c r="AA700" s="12" t="str">
        <f t="shared" si="127"/>
        <v>0/30</v>
      </c>
      <c r="AB700" s="12" t="str">
        <f t="shared" si="128"/>
        <v>100,100,100,100,100,0</v>
      </c>
      <c r="AC700" s="12">
        <f t="shared" si="129"/>
        <v>3</v>
      </c>
      <c r="AD700" s="12" t="str">
        <f t="shared" si="130"/>
        <v>2000/7000/14000</v>
      </c>
      <c r="AE700" s="12" t="str">
        <f t="shared" si="131"/>
        <v/>
      </c>
      <c r="AF700" s="12" t="str">
        <f t="shared" si="132"/>
        <v/>
      </c>
      <c r="AG700" s="12" t="str">
        <f t="shared" si="133"/>
        <v/>
      </c>
      <c r="AH700" s="12" t="str">
        <f t="shared" si="134"/>
        <v/>
      </c>
      <c r="AI700" s="12" t="str">
        <f t="shared" si="135"/>
        <v>10/5</v>
      </c>
    </row>
    <row r="701" spans="1:35" s="8" customFormat="1" ht="21.95" customHeight="1">
      <c r="A701" s="9">
        <v>699</v>
      </c>
      <c r="B701" s="17">
        <v>699</v>
      </c>
      <c r="C701" s="6">
        <v>30</v>
      </c>
      <c r="D701" s="6">
        <v>0</v>
      </c>
      <c r="E701" s="5">
        <v>0</v>
      </c>
      <c r="F701" s="5">
        <v>100</v>
      </c>
      <c r="G701" s="5">
        <v>100</v>
      </c>
      <c r="H701" s="5">
        <v>100</v>
      </c>
      <c r="I701" s="5">
        <v>100</v>
      </c>
      <c r="J701" s="5">
        <v>100</v>
      </c>
      <c r="K701" s="15" t="s">
        <v>54</v>
      </c>
      <c r="L701" s="6">
        <v>3</v>
      </c>
      <c r="M701" s="6">
        <v>0</v>
      </c>
      <c r="N701" s="6">
        <v>0</v>
      </c>
      <c r="O701" s="5">
        <v>0</v>
      </c>
      <c r="P701" s="5">
        <v>0</v>
      </c>
      <c r="Q701" s="5">
        <v>0</v>
      </c>
      <c r="R701" s="5">
        <v>0</v>
      </c>
      <c r="S701" s="5">
        <v>0</v>
      </c>
      <c r="T701" s="5">
        <v>0</v>
      </c>
      <c r="U701" s="6">
        <v>0</v>
      </c>
      <c r="V701" s="5">
        <v>10</v>
      </c>
      <c r="W701" s="5">
        <v>5</v>
      </c>
      <c r="X701" s="16">
        <v>2000</v>
      </c>
      <c r="Y701" s="16">
        <v>7000</v>
      </c>
      <c r="Z701" s="16">
        <v>14000</v>
      </c>
      <c r="AA701" s="12" t="str">
        <f t="shared" si="127"/>
        <v>0/30</v>
      </c>
      <c r="AB701" s="12" t="str">
        <f t="shared" si="128"/>
        <v>0,100,100,100,100,100</v>
      </c>
      <c r="AC701" s="12">
        <f t="shared" si="129"/>
        <v>3</v>
      </c>
      <c r="AD701" s="12" t="str">
        <f t="shared" si="130"/>
        <v>2000/7000/14000</v>
      </c>
      <c r="AE701" s="12" t="str">
        <f t="shared" si="131"/>
        <v/>
      </c>
      <c r="AF701" s="12" t="str">
        <f t="shared" si="132"/>
        <v/>
      </c>
      <c r="AG701" s="12" t="str">
        <f t="shared" si="133"/>
        <v/>
      </c>
      <c r="AH701" s="12" t="str">
        <f t="shared" si="134"/>
        <v/>
      </c>
      <c r="AI701" s="12" t="str">
        <f t="shared" si="135"/>
        <v>10/5</v>
      </c>
    </row>
    <row r="702" spans="1:35" s="8" customFormat="1" ht="21.95" customHeight="1">
      <c r="A702" s="9">
        <v>700</v>
      </c>
      <c r="B702" s="17">
        <v>700</v>
      </c>
      <c r="C702" s="6">
        <v>30</v>
      </c>
      <c r="D702" s="6">
        <v>0</v>
      </c>
      <c r="E702" s="5">
        <v>100</v>
      </c>
      <c r="F702" s="5">
        <v>0</v>
      </c>
      <c r="G702" s="5">
        <v>100</v>
      </c>
      <c r="H702" s="5">
        <v>100</v>
      </c>
      <c r="I702" s="5">
        <v>100</v>
      </c>
      <c r="J702" s="5">
        <v>100</v>
      </c>
      <c r="K702" s="15" t="s">
        <v>55</v>
      </c>
      <c r="L702" s="6">
        <v>3</v>
      </c>
      <c r="M702" s="6">
        <v>0</v>
      </c>
      <c r="N702" s="6">
        <v>0</v>
      </c>
      <c r="O702" s="5">
        <v>0</v>
      </c>
      <c r="P702" s="5">
        <v>0</v>
      </c>
      <c r="Q702" s="5">
        <v>0</v>
      </c>
      <c r="R702" s="5">
        <v>0</v>
      </c>
      <c r="S702" s="5">
        <v>0</v>
      </c>
      <c r="T702" s="5">
        <v>0</v>
      </c>
      <c r="U702" s="6">
        <v>5</v>
      </c>
      <c r="V702" s="5">
        <v>10</v>
      </c>
      <c r="W702" s="5">
        <v>5</v>
      </c>
      <c r="X702" s="16">
        <v>2000</v>
      </c>
      <c r="Y702" s="16">
        <v>7000</v>
      </c>
      <c r="Z702" s="16">
        <v>14000</v>
      </c>
      <c r="AA702" s="12" t="str">
        <f t="shared" si="127"/>
        <v>0/30</v>
      </c>
      <c r="AB702" s="12" t="str">
        <f t="shared" si="128"/>
        <v>100,0,100,100,100,100</v>
      </c>
      <c r="AC702" s="12">
        <f t="shared" si="129"/>
        <v>4</v>
      </c>
      <c r="AD702" s="12" t="str">
        <f t="shared" si="130"/>
        <v>2000/7000/14000</v>
      </c>
      <c r="AE702" s="12" t="str">
        <f t="shared" si="131"/>
        <v/>
      </c>
      <c r="AF702" s="12" t="str">
        <f t="shared" si="132"/>
        <v/>
      </c>
      <c r="AG702" s="12" t="str">
        <f t="shared" si="133"/>
        <v/>
      </c>
      <c r="AH702" s="12" t="str">
        <f t="shared" si="134"/>
        <v/>
      </c>
      <c r="AI702" s="12" t="str">
        <f t="shared" si="135"/>
        <v>10/5</v>
      </c>
    </row>
    <row r="703" spans="1:35" s="8" customFormat="1" ht="21.95" customHeight="1">
      <c r="A703" s="9">
        <v>701</v>
      </c>
      <c r="B703" s="17">
        <v>701</v>
      </c>
      <c r="C703" s="6">
        <v>30</v>
      </c>
      <c r="D703" s="6">
        <v>0</v>
      </c>
      <c r="E703" s="5">
        <v>100</v>
      </c>
      <c r="F703" s="5">
        <v>100</v>
      </c>
      <c r="G703" s="5">
        <v>0</v>
      </c>
      <c r="H703" s="5">
        <v>100</v>
      </c>
      <c r="I703" s="5">
        <v>100</v>
      </c>
      <c r="J703" s="5">
        <v>100</v>
      </c>
      <c r="K703" s="15" t="s">
        <v>55</v>
      </c>
      <c r="L703" s="6">
        <v>3</v>
      </c>
      <c r="M703" s="6">
        <v>0</v>
      </c>
      <c r="N703" s="6">
        <v>0</v>
      </c>
      <c r="O703" s="5">
        <v>0</v>
      </c>
      <c r="P703" s="5">
        <v>0</v>
      </c>
      <c r="Q703" s="5">
        <v>0</v>
      </c>
      <c r="R703" s="5">
        <v>0</v>
      </c>
      <c r="S703" s="5">
        <v>0</v>
      </c>
      <c r="T703" s="5">
        <v>0</v>
      </c>
      <c r="U703" s="6">
        <v>5</v>
      </c>
      <c r="V703" s="5">
        <v>10</v>
      </c>
      <c r="W703" s="5">
        <v>5</v>
      </c>
      <c r="X703" s="16">
        <v>2000</v>
      </c>
      <c r="Y703" s="16">
        <v>7000</v>
      </c>
      <c r="Z703" s="16">
        <v>14000</v>
      </c>
      <c r="AA703" s="12" t="str">
        <f t="shared" si="127"/>
        <v>0/30</v>
      </c>
      <c r="AB703" s="12" t="str">
        <f t="shared" si="128"/>
        <v>100,100,0,100,100,100</v>
      </c>
      <c r="AC703" s="12">
        <f t="shared" si="129"/>
        <v>4</v>
      </c>
      <c r="AD703" s="12" t="str">
        <f t="shared" si="130"/>
        <v>2000/7000/14000</v>
      </c>
      <c r="AE703" s="12" t="str">
        <f t="shared" si="131"/>
        <v/>
      </c>
      <c r="AF703" s="12" t="str">
        <f t="shared" si="132"/>
        <v/>
      </c>
      <c r="AG703" s="12" t="str">
        <f t="shared" si="133"/>
        <v/>
      </c>
      <c r="AH703" s="12" t="str">
        <f t="shared" si="134"/>
        <v/>
      </c>
      <c r="AI703" s="12" t="str">
        <f t="shared" si="135"/>
        <v>10/5</v>
      </c>
    </row>
    <row r="704" spans="1:35" s="8" customFormat="1" ht="21.95" customHeight="1">
      <c r="A704" s="9">
        <v>702</v>
      </c>
      <c r="B704" s="17">
        <v>702</v>
      </c>
      <c r="C704" s="6">
        <v>32</v>
      </c>
      <c r="D704" s="6">
        <v>0</v>
      </c>
      <c r="E704" s="5">
        <v>100</v>
      </c>
      <c r="F704" s="5">
        <v>100</v>
      </c>
      <c r="G704" s="5">
        <v>100</v>
      </c>
      <c r="H704" s="5">
        <v>0</v>
      </c>
      <c r="I704" s="5">
        <v>100</v>
      </c>
      <c r="J704" s="5">
        <v>100</v>
      </c>
      <c r="K704" s="15" t="s">
        <v>51</v>
      </c>
      <c r="L704" s="6">
        <v>3</v>
      </c>
      <c r="M704" s="6">
        <v>0</v>
      </c>
      <c r="N704" s="6">
        <v>0</v>
      </c>
      <c r="O704" s="5">
        <v>0</v>
      </c>
      <c r="P704" s="5">
        <v>0</v>
      </c>
      <c r="Q704" s="5">
        <v>0</v>
      </c>
      <c r="R704" s="5">
        <v>0</v>
      </c>
      <c r="S704" s="5">
        <v>0</v>
      </c>
      <c r="T704" s="5">
        <v>0</v>
      </c>
      <c r="U704" s="6">
        <v>0</v>
      </c>
      <c r="V704" s="5">
        <v>10</v>
      </c>
      <c r="W704" s="5">
        <v>5</v>
      </c>
      <c r="X704" s="16">
        <v>2000</v>
      </c>
      <c r="Y704" s="16">
        <v>7000</v>
      </c>
      <c r="Z704" s="16">
        <v>14000</v>
      </c>
      <c r="AA704" s="12" t="str">
        <f t="shared" si="127"/>
        <v>0/32</v>
      </c>
      <c r="AB704" s="12" t="str">
        <f t="shared" si="128"/>
        <v>100,100,100,0,100,100</v>
      </c>
      <c r="AC704" s="12">
        <f t="shared" si="129"/>
        <v>0</v>
      </c>
      <c r="AD704" s="12" t="str">
        <f t="shared" si="130"/>
        <v>2000/7000/14000</v>
      </c>
      <c r="AE704" s="12" t="str">
        <f t="shared" si="131"/>
        <v/>
      </c>
      <c r="AF704" s="12" t="str">
        <f t="shared" si="132"/>
        <v/>
      </c>
      <c r="AG704" s="12" t="str">
        <f t="shared" si="133"/>
        <v/>
      </c>
      <c r="AH704" s="12" t="str">
        <f t="shared" si="134"/>
        <v/>
      </c>
      <c r="AI704" s="12" t="str">
        <f t="shared" si="135"/>
        <v>10/5</v>
      </c>
    </row>
    <row r="705" spans="1:35" s="8" customFormat="1" ht="21.95" customHeight="1">
      <c r="A705" s="9">
        <v>703</v>
      </c>
      <c r="B705" s="17">
        <v>703</v>
      </c>
      <c r="C705" s="6">
        <v>30</v>
      </c>
      <c r="D705" s="6">
        <v>0</v>
      </c>
      <c r="E705" s="5">
        <v>100</v>
      </c>
      <c r="F705" s="5">
        <v>100</v>
      </c>
      <c r="G705" s="5">
        <v>0</v>
      </c>
      <c r="H705" s="5">
        <v>100</v>
      </c>
      <c r="I705" s="5">
        <v>100</v>
      </c>
      <c r="J705" s="5">
        <v>100</v>
      </c>
      <c r="K705" s="15" t="s">
        <v>56</v>
      </c>
      <c r="L705" s="6">
        <v>3</v>
      </c>
      <c r="M705" s="6">
        <v>0</v>
      </c>
      <c r="N705" s="6">
        <v>0</v>
      </c>
      <c r="O705" s="5">
        <v>0</v>
      </c>
      <c r="P705" s="5">
        <v>0</v>
      </c>
      <c r="Q705" s="5">
        <v>0</v>
      </c>
      <c r="R705" s="5">
        <v>0</v>
      </c>
      <c r="S705" s="5">
        <v>0</v>
      </c>
      <c r="T705" s="5">
        <v>0</v>
      </c>
      <c r="U705" s="6">
        <v>0</v>
      </c>
      <c r="V705" s="5">
        <v>10</v>
      </c>
      <c r="W705" s="5">
        <v>5</v>
      </c>
      <c r="X705" s="16">
        <v>2000</v>
      </c>
      <c r="Y705" s="16">
        <v>7000</v>
      </c>
      <c r="Z705" s="16">
        <v>14000</v>
      </c>
      <c r="AA705" s="12" t="str">
        <f t="shared" si="127"/>
        <v>0/30</v>
      </c>
      <c r="AB705" s="12" t="str">
        <f t="shared" si="128"/>
        <v>100,100,0,100,100,100</v>
      </c>
      <c r="AC705" s="12">
        <f t="shared" si="129"/>
        <v>5</v>
      </c>
      <c r="AD705" s="12" t="str">
        <f t="shared" si="130"/>
        <v>2000/7000/14000</v>
      </c>
      <c r="AE705" s="12" t="str">
        <f t="shared" si="131"/>
        <v/>
      </c>
      <c r="AF705" s="12" t="str">
        <f t="shared" si="132"/>
        <v/>
      </c>
      <c r="AG705" s="12" t="str">
        <f t="shared" si="133"/>
        <v/>
      </c>
      <c r="AH705" s="12" t="str">
        <f t="shared" si="134"/>
        <v/>
      </c>
      <c r="AI705" s="12" t="str">
        <f t="shared" si="135"/>
        <v>10/5</v>
      </c>
    </row>
    <row r="706" spans="1:35" s="8" customFormat="1" ht="21.95" customHeight="1">
      <c r="A706" s="9">
        <v>704</v>
      </c>
      <c r="B706" s="17">
        <v>704</v>
      </c>
      <c r="C706" s="6">
        <v>30</v>
      </c>
      <c r="D706" s="6">
        <v>0</v>
      </c>
      <c r="E706" s="5">
        <v>100</v>
      </c>
      <c r="F706" s="5">
        <v>100</v>
      </c>
      <c r="G706" s="5">
        <v>100</v>
      </c>
      <c r="H706" s="5">
        <v>0</v>
      </c>
      <c r="I706" s="5">
        <v>100</v>
      </c>
      <c r="J706" s="5">
        <v>100</v>
      </c>
      <c r="K706" s="15" t="s">
        <v>53</v>
      </c>
      <c r="L706" s="6">
        <v>3</v>
      </c>
      <c r="M706" s="6">
        <v>0</v>
      </c>
      <c r="N706" s="6">
        <v>0</v>
      </c>
      <c r="O706" s="5">
        <v>0</v>
      </c>
      <c r="P706" s="5">
        <v>0</v>
      </c>
      <c r="Q706" s="5">
        <v>0</v>
      </c>
      <c r="R706" s="5">
        <v>0</v>
      </c>
      <c r="S706" s="5">
        <v>18</v>
      </c>
      <c r="T706" s="5">
        <v>16</v>
      </c>
      <c r="U706" s="6">
        <v>0</v>
      </c>
      <c r="V706" s="5">
        <v>10</v>
      </c>
      <c r="W706" s="5">
        <v>5</v>
      </c>
      <c r="X706" s="16">
        <v>2000</v>
      </c>
      <c r="Y706" s="16">
        <v>7000</v>
      </c>
      <c r="Z706" s="16">
        <v>14000</v>
      </c>
      <c r="AA706" s="12" t="str">
        <f t="shared" si="127"/>
        <v>0/30</v>
      </c>
      <c r="AB706" s="12" t="str">
        <f t="shared" si="128"/>
        <v>100,100,100,0,100,100</v>
      </c>
      <c r="AC706" s="12">
        <f t="shared" si="129"/>
        <v>2</v>
      </c>
      <c r="AD706" s="12" t="str">
        <f t="shared" si="130"/>
        <v>2000/7000/14000</v>
      </c>
      <c r="AE706" s="12" t="str">
        <f t="shared" si="131"/>
        <v/>
      </c>
      <c r="AF706" s="12" t="str">
        <f t="shared" si="132"/>
        <v/>
      </c>
      <c r="AG706" s="12" t="str">
        <f t="shared" si="133"/>
        <v>4/5/</v>
      </c>
      <c r="AH706" s="12" t="str">
        <f t="shared" si="134"/>
        <v>18/16/</v>
      </c>
      <c r="AI706" s="12" t="str">
        <f t="shared" si="135"/>
        <v>10/5</v>
      </c>
    </row>
    <row r="707" spans="1:35" s="8" customFormat="1" ht="21.95" customHeight="1">
      <c r="A707" s="9">
        <v>705</v>
      </c>
      <c r="B707" s="17">
        <v>705</v>
      </c>
      <c r="C707" s="6">
        <v>30</v>
      </c>
      <c r="D707" s="6">
        <v>0</v>
      </c>
      <c r="E707" s="5">
        <v>100</v>
      </c>
      <c r="F707" s="5">
        <v>100</v>
      </c>
      <c r="G707" s="5">
        <v>100</v>
      </c>
      <c r="H707" s="5">
        <v>100</v>
      </c>
      <c r="I707" s="5">
        <v>0</v>
      </c>
      <c r="J707" s="5">
        <v>100</v>
      </c>
      <c r="K707" s="15" t="s">
        <v>53</v>
      </c>
      <c r="L707" s="6">
        <v>3</v>
      </c>
      <c r="M707" s="6">
        <v>0</v>
      </c>
      <c r="N707" s="6">
        <v>0</v>
      </c>
      <c r="O707" s="5">
        <v>16</v>
      </c>
      <c r="P707" s="5">
        <v>0</v>
      </c>
      <c r="Q707" s="5">
        <v>0</v>
      </c>
      <c r="R707" s="5">
        <v>0</v>
      </c>
      <c r="S707" s="5">
        <v>0</v>
      </c>
      <c r="T707" s="5">
        <v>18</v>
      </c>
      <c r="U707" s="6">
        <v>0</v>
      </c>
      <c r="V707" s="5">
        <v>10</v>
      </c>
      <c r="W707" s="5">
        <v>5</v>
      </c>
      <c r="X707" s="16">
        <v>2000</v>
      </c>
      <c r="Y707" s="16">
        <v>7000</v>
      </c>
      <c r="Z707" s="16">
        <v>14000</v>
      </c>
      <c r="AA707" s="12" t="str">
        <f t="shared" si="127"/>
        <v>0/30</v>
      </c>
      <c r="AB707" s="12" t="str">
        <f t="shared" si="128"/>
        <v>100,100,100,100,0,100</v>
      </c>
      <c r="AC707" s="12">
        <f t="shared" si="129"/>
        <v>2</v>
      </c>
      <c r="AD707" s="12" t="str">
        <f t="shared" si="130"/>
        <v>2000/7000/14000</v>
      </c>
      <c r="AE707" s="12" t="str">
        <f t="shared" si="131"/>
        <v/>
      </c>
      <c r="AF707" s="12" t="str">
        <f t="shared" si="132"/>
        <v/>
      </c>
      <c r="AG707" s="12" t="str">
        <f t="shared" si="133"/>
        <v>0/5/</v>
      </c>
      <c r="AH707" s="12" t="str">
        <f t="shared" si="134"/>
        <v>16/18/</v>
      </c>
      <c r="AI707" s="12" t="str">
        <f t="shared" si="135"/>
        <v>10/5</v>
      </c>
    </row>
    <row r="708" spans="1:35" s="8" customFormat="1" ht="21.95" customHeight="1">
      <c r="A708" s="9">
        <v>706</v>
      </c>
      <c r="B708" s="17">
        <v>706</v>
      </c>
      <c r="C708" s="6">
        <v>30</v>
      </c>
      <c r="D708" s="6">
        <v>0</v>
      </c>
      <c r="E708" s="5">
        <v>100</v>
      </c>
      <c r="F708" s="5">
        <v>100</v>
      </c>
      <c r="G708" s="5">
        <v>100</v>
      </c>
      <c r="H708" s="5">
        <v>100</v>
      </c>
      <c r="I708" s="5">
        <v>100</v>
      </c>
      <c r="J708" s="5">
        <v>0</v>
      </c>
      <c r="K708" s="15" t="s">
        <v>52</v>
      </c>
      <c r="L708" s="6">
        <v>3</v>
      </c>
      <c r="M708" s="6">
        <v>6</v>
      </c>
      <c r="N708" s="6">
        <v>0</v>
      </c>
      <c r="O708" s="5">
        <v>0</v>
      </c>
      <c r="P708" s="5">
        <v>0</v>
      </c>
      <c r="Q708" s="5">
        <v>0</v>
      </c>
      <c r="R708" s="5">
        <v>0</v>
      </c>
      <c r="S708" s="5">
        <v>0</v>
      </c>
      <c r="T708" s="5">
        <v>0</v>
      </c>
      <c r="U708" s="6">
        <v>0</v>
      </c>
      <c r="V708" s="5">
        <v>10</v>
      </c>
      <c r="W708" s="5">
        <v>5</v>
      </c>
      <c r="X708" s="16">
        <v>2000</v>
      </c>
      <c r="Y708" s="16">
        <v>7000</v>
      </c>
      <c r="Z708" s="16">
        <v>14000</v>
      </c>
      <c r="AA708" s="12" t="str">
        <f t="shared" si="127"/>
        <v>0/30</v>
      </c>
      <c r="AB708" s="12" t="str">
        <f t="shared" si="128"/>
        <v>100,100,100,100,100,0</v>
      </c>
      <c r="AC708" s="12">
        <f t="shared" si="129"/>
        <v>1</v>
      </c>
      <c r="AD708" s="12" t="str">
        <f t="shared" si="130"/>
        <v>2000/7000/14000</v>
      </c>
      <c r="AE708" s="12" t="str">
        <f t="shared" si="131"/>
        <v>0/</v>
      </c>
      <c r="AF708" s="12" t="str">
        <f t="shared" si="132"/>
        <v>6/</v>
      </c>
      <c r="AG708" s="12" t="str">
        <f t="shared" si="133"/>
        <v/>
      </c>
      <c r="AH708" s="12" t="str">
        <f t="shared" si="134"/>
        <v/>
      </c>
      <c r="AI708" s="12" t="str">
        <f t="shared" si="135"/>
        <v>10/5</v>
      </c>
    </row>
    <row r="709" spans="1:35" s="8" customFormat="1" ht="21.95" customHeight="1">
      <c r="A709" s="9">
        <v>707</v>
      </c>
      <c r="B709" s="17">
        <v>707</v>
      </c>
      <c r="C709" s="6">
        <v>30</v>
      </c>
      <c r="D709" s="6">
        <v>0</v>
      </c>
      <c r="E709" s="5">
        <v>0</v>
      </c>
      <c r="F709" s="5">
        <v>100</v>
      </c>
      <c r="G709" s="5">
        <v>100</v>
      </c>
      <c r="H709" s="5">
        <v>100</v>
      </c>
      <c r="I709" s="5">
        <v>100</v>
      </c>
      <c r="J709" s="5">
        <v>100</v>
      </c>
      <c r="K709" s="15" t="s">
        <v>52</v>
      </c>
      <c r="L709" s="6">
        <v>3</v>
      </c>
      <c r="M709" s="6">
        <v>0</v>
      </c>
      <c r="N709" s="6">
        <v>6</v>
      </c>
      <c r="O709" s="5">
        <v>0</v>
      </c>
      <c r="P709" s="5">
        <v>0</v>
      </c>
      <c r="Q709" s="5">
        <v>0</v>
      </c>
      <c r="R709" s="5">
        <v>0</v>
      </c>
      <c r="S709" s="5">
        <v>0</v>
      </c>
      <c r="T709" s="5">
        <v>0</v>
      </c>
      <c r="U709" s="6">
        <v>0</v>
      </c>
      <c r="V709" s="5">
        <v>10</v>
      </c>
      <c r="W709" s="5">
        <v>5</v>
      </c>
      <c r="X709" s="16">
        <v>2000</v>
      </c>
      <c r="Y709" s="16">
        <v>7000</v>
      </c>
      <c r="Z709" s="16">
        <v>14000</v>
      </c>
      <c r="AA709" s="12" t="str">
        <f t="shared" si="127"/>
        <v>0/30</v>
      </c>
      <c r="AB709" s="12" t="str">
        <f t="shared" si="128"/>
        <v>0,100,100,100,100,100</v>
      </c>
      <c r="AC709" s="12">
        <f t="shared" si="129"/>
        <v>1</v>
      </c>
      <c r="AD709" s="12" t="str">
        <f t="shared" si="130"/>
        <v>2000/7000/14000</v>
      </c>
      <c r="AE709" s="12" t="str">
        <f t="shared" si="131"/>
        <v>1/</v>
      </c>
      <c r="AF709" s="12" t="str">
        <f t="shared" si="132"/>
        <v>6/</v>
      </c>
      <c r="AG709" s="12" t="str">
        <f t="shared" si="133"/>
        <v/>
      </c>
      <c r="AH709" s="12" t="str">
        <f t="shared" si="134"/>
        <v/>
      </c>
      <c r="AI709" s="12" t="str">
        <f t="shared" si="135"/>
        <v>10/5</v>
      </c>
    </row>
    <row r="710" spans="1:35" s="8" customFormat="1" ht="21.95" customHeight="1">
      <c r="A710" s="9">
        <v>708</v>
      </c>
      <c r="B710" s="17">
        <v>708</v>
      </c>
      <c r="C710" s="6">
        <v>0</v>
      </c>
      <c r="D710" s="6">
        <v>60</v>
      </c>
      <c r="E710" s="5">
        <v>100</v>
      </c>
      <c r="F710" s="5">
        <v>0</v>
      </c>
      <c r="G710" s="5">
        <v>100</v>
      </c>
      <c r="H710" s="5">
        <v>100</v>
      </c>
      <c r="I710" s="5">
        <v>100</v>
      </c>
      <c r="J710" s="5">
        <v>100</v>
      </c>
      <c r="K710" s="15" t="s">
        <v>54</v>
      </c>
      <c r="L710" s="6">
        <v>3</v>
      </c>
      <c r="M710" s="6">
        <v>0</v>
      </c>
      <c r="N710" s="6">
        <v>0</v>
      </c>
      <c r="O710" s="5">
        <v>0</v>
      </c>
      <c r="P710" s="5">
        <v>0</v>
      </c>
      <c r="Q710" s="5">
        <v>0</v>
      </c>
      <c r="R710" s="5">
        <v>0</v>
      </c>
      <c r="S710" s="5">
        <v>0</v>
      </c>
      <c r="T710" s="5">
        <v>0</v>
      </c>
      <c r="U710" s="6">
        <v>0</v>
      </c>
      <c r="V710" s="5">
        <v>10</v>
      </c>
      <c r="W710" s="5">
        <v>5</v>
      </c>
      <c r="X710" s="16">
        <v>2000</v>
      </c>
      <c r="Y710" s="16">
        <v>7000</v>
      </c>
      <c r="Z710" s="16">
        <v>14000</v>
      </c>
      <c r="AA710" s="12" t="str">
        <f t="shared" si="127"/>
        <v>1/60</v>
      </c>
      <c r="AB710" s="12" t="str">
        <f t="shared" si="128"/>
        <v>100,0,100,100,100,100</v>
      </c>
      <c r="AC710" s="12">
        <f t="shared" si="129"/>
        <v>3</v>
      </c>
      <c r="AD710" s="12" t="str">
        <f t="shared" si="130"/>
        <v>2000/7000/14000</v>
      </c>
      <c r="AE710" s="12" t="str">
        <f t="shared" si="131"/>
        <v/>
      </c>
      <c r="AF710" s="12" t="str">
        <f t="shared" si="132"/>
        <v/>
      </c>
      <c r="AG710" s="12" t="str">
        <f t="shared" si="133"/>
        <v/>
      </c>
      <c r="AH710" s="12" t="str">
        <f t="shared" si="134"/>
        <v/>
      </c>
      <c r="AI710" s="12" t="str">
        <f t="shared" si="135"/>
        <v>10/5</v>
      </c>
    </row>
    <row r="711" spans="1:35" s="8" customFormat="1" ht="21.95" customHeight="1">
      <c r="A711" s="9">
        <v>709</v>
      </c>
      <c r="B711" s="17">
        <v>709</v>
      </c>
      <c r="C711" s="6">
        <v>30</v>
      </c>
      <c r="D711" s="6">
        <v>0</v>
      </c>
      <c r="E711" s="5">
        <v>100</v>
      </c>
      <c r="F711" s="5">
        <v>100</v>
      </c>
      <c r="G711" s="5">
        <v>100</v>
      </c>
      <c r="H711" s="5">
        <v>0</v>
      </c>
      <c r="I711" s="5">
        <v>100</v>
      </c>
      <c r="J711" s="5">
        <v>100</v>
      </c>
      <c r="K711" s="15" t="s">
        <v>53</v>
      </c>
      <c r="L711" s="6">
        <v>3</v>
      </c>
      <c r="M711" s="6">
        <v>0</v>
      </c>
      <c r="N711" s="6">
        <v>0</v>
      </c>
      <c r="O711" s="5">
        <v>0</v>
      </c>
      <c r="P711" s="5">
        <v>0</v>
      </c>
      <c r="Q711" s="5">
        <v>0</v>
      </c>
      <c r="R711" s="5">
        <v>0</v>
      </c>
      <c r="S711" s="5">
        <v>18</v>
      </c>
      <c r="T711" s="5">
        <v>16</v>
      </c>
      <c r="U711" s="6">
        <v>0</v>
      </c>
      <c r="V711" s="5">
        <v>10</v>
      </c>
      <c r="W711" s="5">
        <v>5</v>
      </c>
      <c r="X711" s="16">
        <v>2000</v>
      </c>
      <c r="Y711" s="16">
        <v>7000</v>
      </c>
      <c r="Z711" s="16">
        <v>14000</v>
      </c>
      <c r="AA711" s="12" t="str">
        <f t="shared" si="127"/>
        <v>0/30</v>
      </c>
      <c r="AB711" s="12" t="str">
        <f t="shared" si="128"/>
        <v>100,100,100,0,100,100</v>
      </c>
      <c r="AC711" s="12">
        <f t="shared" si="129"/>
        <v>2</v>
      </c>
      <c r="AD711" s="12" t="str">
        <f t="shared" si="130"/>
        <v>2000/7000/14000</v>
      </c>
      <c r="AE711" s="12" t="str">
        <f t="shared" si="131"/>
        <v/>
      </c>
      <c r="AF711" s="12" t="str">
        <f t="shared" si="132"/>
        <v/>
      </c>
      <c r="AG711" s="12" t="str">
        <f t="shared" si="133"/>
        <v>4/5/</v>
      </c>
      <c r="AH711" s="12" t="str">
        <f t="shared" si="134"/>
        <v>18/16/</v>
      </c>
      <c r="AI711" s="12" t="str">
        <f t="shared" si="135"/>
        <v>10/5</v>
      </c>
    </row>
    <row r="712" spans="1:35" s="8" customFormat="1" ht="21.95" customHeight="1">
      <c r="A712" s="9">
        <v>710</v>
      </c>
      <c r="B712" s="17">
        <v>710</v>
      </c>
      <c r="C712" s="6">
        <v>30</v>
      </c>
      <c r="D712" s="6">
        <v>0</v>
      </c>
      <c r="E712" s="5">
        <v>100</v>
      </c>
      <c r="F712" s="5">
        <v>100</v>
      </c>
      <c r="G712" s="5">
        <v>100</v>
      </c>
      <c r="H712" s="5">
        <v>100</v>
      </c>
      <c r="I712" s="5">
        <v>0</v>
      </c>
      <c r="J712" s="5">
        <v>100</v>
      </c>
      <c r="K712" s="15" t="s">
        <v>53</v>
      </c>
      <c r="L712" s="6">
        <v>3</v>
      </c>
      <c r="M712" s="6">
        <v>0</v>
      </c>
      <c r="N712" s="6">
        <v>0</v>
      </c>
      <c r="O712" s="5">
        <v>16</v>
      </c>
      <c r="P712" s="5">
        <v>0</v>
      </c>
      <c r="Q712" s="5">
        <v>0</v>
      </c>
      <c r="R712" s="5">
        <v>0</v>
      </c>
      <c r="S712" s="5">
        <v>0</v>
      </c>
      <c r="T712" s="5">
        <v>18</v>
      </c>
      <c r="U712" s="6">
        <v>0</v>
      </c>
      <c r="V712" s="5">
        <v>10</v>
      </c>
      <c r="W712" s="5">
        <v>5</v>
      </c>
      <c r="X712" s="16">
        <v>2000</v>
      </c>
      <c r="Y712" s="16">
        <v>7000</v>
      </c>
      <c r="Z712" s="16">
        <v>14000</v>
      </c>
      <c r="AA712" s="12" t="str">
        <f t="shared" si="127"/>
        <v>0/30</v>
      </c>
      <c r="AB712" s="12" t="str">
        <f t="shared" si="128"/>
        <v>100,100,100,100,0,100</v>
      </c>
      <c r="AC712" s="12">
        <f t="shared" si="129"/>
        <v>2</v>
      </c>
      <c r="AD712" s="12" t="str">
        <f t="shared" si="130"/>
        <v>2000/7000/14000</v>
      </c>
      <c r="AE712" s="12" t="str">
        <f t="shared" si="131"/>
        <v/>
      </c>
      <c r="AF712" s="12" t="str">
        <f t="shared" si="132"/>
        <v/>
      </c>
      <c r="AG712" s="12" t="str">
        <f t="shared" si="133"/>
        <v>0/5/</v>
      </c>
      <c r="AH712" s="12" t="str">
        <f t="shared" si="134"/>
        <v>16/18/</v>
      </c>
      <c r="AI712" s="12" t="str">
        <f t="shared" si="135"/>
        <v>10/5</v>
      </c>
    </row>
    <row r="713" spans="1:35" s="8" customFormat="1" ht="21.95" customHeight="1">
      <c r="A713" s="9">
        <v>711</v>
      </c>
      <c r="B713" s="17">
        <v>711</v>
      </c>
      <c r="C713" s="6">
        <v>30</v>
      </c>
      <c r="D713" s="6">
        <v>0</v>
      </c>
      <c r="E713" s="5">
        <v>100</v>
      </c>
      <c r="F713" s="5">
        <v>100</v>
      </c>
      <c r="G713" s="5">
        <v>100</v>
      </c>
      <c r="H713" s="5">
        <v>100</v>
      </c>
      <c r="I713" s="5">
        <v>100</v>
      </c>
      <c r="J713" s="5">
        <v>0</v>
      </c>
      <c r="K713" s="15" t="s">
        <v>52</v>
      </c>
      <c r="L713" s="6">
        <v>3</v>
      </c>
      <c r="M713" s="6">
        <v>6</v>
      </c>
      <c r="N713" s="6">
        <v>0</v>
      </c>
      <c r="O713" s="5">
        <v>0</v>
      </c>
      <c r="P713" s="5">
        <v>0</v>
      </c>
      <c r="Q713" s="5">
        <v>0</v>
      </c>
      <c r="R713" s="5">
        <v>0</v>
      </c>
      <c r="S713" s="5">
        <v>0</v>
      </c>
      <c r="T713" s="5">
        <v>0</v>
      </c>
      <c r="U713" s="6">
        <v>0</v>
      </c>
      <c r="V713" s="5">
        <v>10</v>
      </c>
      <c r="W713" s="5">
        <v>5</v>
      </c>
      <c r="X713" s="16">
        <v>2000</v>
      </c>
      <c r="Y713" s="16">
        <v>7000</v>
      </c>
      <c r="Z713" s="16">
        <v>14000</v>
      </c>
      <c r="AA713" s="12" t="str">
        <f t="shared" si="127"/>
        <v>0/30</v>
      </c>
      <c r="AB713" s="12" t="str">
        <f t="shared" si="128"/>
        <v>100,100,100,100,100,0</v>
      </c>
      <c r="AC713" s="12">
        <f t="shared" si="129"/>
        <v>1</v>
      </c>
      <c r="AD713" s="12" t="str">
        <f t="shared" si="130"/>
        <v>2000/7000/14000</v>
      </c>
      <c r="AE713" s="12" t="str">
        <f t="shared" si="131"/>
        <v>0/</v>
      </c>
      <c r="AF713" s="12" t="str">
        <f t="shared" si="132"/>
        <v>6/</v>
      </c>
      <c r="AG713" s="12" t="str">
        <f t="shared" si="133"/>
        <v/>
      </c>
      <c r="AH713" s="12" t="str">
        <f t="shared" si="134"/>
        <v/>
      </c>
      <c r="AI713" s="12" t="str">
        <f t="shared" si="135"/>
        <v>10/5</v>
      </c>
    </row>
    <row r="714" spans="1:35" s="8" customFormat="1" ht="21.95" customHeight="1">
      <c r="A714" s="9">
        <v>712</v>
      </c>
      <c r="B714" s="17">
        <v>712</v>
      </c>
      <c r="C714" s="6">
        <v>30</v>
      </c>
      <c r="D714" s="6">
        <v>0</v>
      </c>
      <c r="E714" s="5">
        <v>0</v>
      </c>
      <c r="F714" s="5">
        <v>100</v>
      </c>
      <c r="G714" s="5">
        <v>100</v>
      </c>
      <c r="H714" s="5">
        <v>100</v>
      </c>
      <c r="I714" s="5">
        <v>100</v>
      </c>
      <c r="J714" s="5">
        <v>100</v>
      </c>
      <c r="K714" s="15" t="s">
        <v>52</v>
      </c>
      <c r="L714" s="6">
        <v>3</v>
      </c>
      <c r="M714" s="6">
        <v>0</v>
      </c>
      <c r="N714" s="6">
        <v>6</v>
      </c>
      <c r="O714" s="5">
        <v>0</v>
      </c>
      <c r="P714" s="5">
        <v>0</v>
      </c>
      <c r="Q714" s="5">
        <v>0</v>
      </c>
      <c r="R714" s="5">
        <v>0</v>
      </c>
      <c r="S714" s="5">
        <v>0</v>
      </c>
      <c r="T714" s="5">
        <v>0</v>
      </c>
      <c r="U714" s="6">
        <v>0</v>
      </c>
      <c r="V714" s="5">
        <v>10</v>
      </c>
      <c r="W714" s="5">
        <v>5</v>
      </c>
      <c r="X714" s="16">
        <v>2000</v>
      </c>
      <c r="Y714" s="16">
        <v>7000</v>
      </c>
      <c r="Z714" s="16">
        <v>14000</v>
      </c>
      <c r="AA714" s="12" t="str">
        <f t="shared" si="127"/>
        <v>0/30</v>
      </c>
      <c r="AB714" s="12" t="str">
        <f t="shared" si="128"/>
        <v>0,100,100,100,100,100</v>
      </c>
      <c r="AC714" s="12">
        <f t="shared" si="129"/>
        <v>1</v>
      </c>
      <c r="AD714" s="12" t="str">
        <f t="shared" si="130"/>
        <v>2000/7000/14000</v>
      </c>
      <c r="AE714" s="12" t="str">
        <f t="shared" si="131"/>
        <v>1/</v>
      </c>
      <c r="AF714" s="12" t="str">
        <f t="shared" si="132"/>
        <v>6/</v>
      </c>
      <c r="AG714" s="12" t="str">
        <f t="shared" si="133"/>
        <v/>
      </c>
      <c r="AH714" s="12" t="str">
        <f t="shared" si="134"/>
        <v/>
      </c>
      <c r="AI714" s="12" t="str">
        <f t="shared" si="135"/>
        <v>10/5</v>
      </c>
    </row>
    <row r="715" spans="1:35" s="8" customFormat="1" ht="21.95" customHeight="1">
      <c r="A715" s="9">
        <v>713</v>
      </c>
      <c r="B715" s="17">
        <v>713</v>
      </c>
      <c r="C715" s="6">
        <v>30</v>
      </c>
      <c r="D715" s="6">
        <v>0</v>
      </c>
      <c r="E715" s="5">
        <v>100</v>
      </c>
      <c r="F715" s="5">
        <v>0</v>
      </c>
      <c r="G715" s="5">
        <v>100</v>
      </c>
      <c r="H715" s="5">
        <v>100</v>
      </c>
      <c r="I715" s="5">
        <v>100</v>
      </c>
      <c r="J715" s="5">
        <v>100</v>
      </c>
      <c r="K715" s="15" t="s">
        <v>54</v>
      </c>
      <c r="L715" s="6">
        <v>3</v>
      </c>
      <c r="M715" s="6">
        <v>0</v>
      </c>
      <c r="N715" s="6">
        <v>0</v>
      </c>
      <c r="O715" s="5">
        <v>0</v>
      </c>
      <c r="P715" s="5">
        <v>0</v>
      </c>
      <c r="Q715" s="5">
        <v>0</v>
      </c>
      <c r="R715" s="5">
        <v>0</v>
      </c>
      <c r="S715" s="5">
        <v>0</v>
      </c>
      <c r="T715" s="5">
        <v>0</v>
      </c>
      <c r="U715" s="6">
        <v>0</v>
      </c>
      <c r="V715" s="5">
        <v>10</v>
      </c>
      <c r="W715" s="5">
        <v>5</v>
      </c>
      <c r="X715" s="16">
        <v>2000</v>
      </c>
      <c r="Y715" s="16">
        <v>7000</v>
      </c>
      <c r="Z715" s="16">
        <v>14000</v>
      </c>
      <c r="AA715" s="12" t="str">
        <f t="shared" si="127"/>
        <v>0/30</v>
      </c>
      <c r="AB715" s="12" t="str">
        <f t="shared" si="128"/>
        <v>100,0,100,100,100,100</v>
      </c>
      <c r="AC715" s="12">
        <f t="shared" si="129"/>
        <v>3</v>
      </c>
      <c r="AD715" s="12" t="str">
        <f t="shared" si="130"/>
        <v>2000/7000/14000</v>
      </c>
      <c r="AE715" s="12" t="str">
        <f t="shared" si="131"/>
        <v/>
      </c>
      <c r="AF715" s="12" t="str">
        <f t="shared" si="132"/>
        <v/>
      </c>
      <c r="AG715" s="12" t="str">
        <f t="shared" si="133"/>
        <v/>
      </c>
      <c r="AH715" s="12" t="str">
        <f t="shared" si="134"/>
        <v/>
      </c>
      <c r="AI715" s="12" t="str">
        <f t="shared" si="135"/>
        <v>10/5</v>
      </c>
    </row>
    <row r="716" spans="1:35" s="8" customFormat="1" ht="21.95" customHeight="1">
      <c r="A716" s="9">
        <v>714</v>
      </c>
      <c r="B716" s="17">
        <v>714</v>
      </c>
      <c r="C716" s="6">
        <v>30</v>
      </c>
      <c r="D716" s="6">
        <v>0</v>
      </c>
      <c r="E716" s="5">
        <v>100</v>
      </c>
      <c r="F716" s="5">
        <v>100</v>
      </c>
      <c r="G716" s="5">
        <v>0</v>
      </c>
      <c r="H716" s="5">
        <v>100</v>
      </c>
      <c r="I716" s="5">
        <v>100</v>
      </c>
      <c r="J716" s="5">
        <v>100</v>
      </c>
      <c r="K716" s="15" t="s">
        <v>54</v>
      </c>
      <c r="L716" s="6">
        <v>3</v>
      </c>
      <c r="M716" s="6">
        <v>0</v>
      </c>
      <c r="N716" s="6">
        <v>0</v>
      </c>
      <c r="O716" s="5">
        <v>0</v>
      </c>
      <c r="P716" s="5">
        <v>0</v>
      </c>
      <c r="Q716" s="5">
        <v>0</v>
      </c>
      <c r="R716" s="5">
        <v>0</v>
      </c>
      <c r="S716" s="5">
        <v>0</v>
      </c>
      <c r="T716" s="5">
        <v>0</v>
      </c>
      <c r="U716" s="6">
        <v>0</v>
      </c>
      <c r="V716" s="5">
        <v>10</v>
      </c>
      <c r="W716" s="5">
        <v>5</v>
      </c>
      <c r="X716" s="16">
        <v>2000</v>
      </c>
      <c r="Y716" s="16">
        <v>7000</v>
      </c>
      <c r="Z716" s="16">
        <v>14000</v>
      </c>
      <c r="AA716" s="12" t="str">
        <f t="shared" si="127"/>
        <v>0/30</v>
      </c>
      <c r="AB716" s="12" t="str">
        <f t="shared" si="128"/>
        <v>100,100,0,100,100,100</v>
      </c>
      <c r="AC716" s="12">
        <f t="shared" si="129"/>
        <v>3</v>
      </c>
      <c r="AD716" s="12" t="str">
        <f t="shared" si="130"/>
        <v>2000/7000/14000</v>
      </c>
      <c r="AE716" s="12" t="str">
        <f t="shared" si="131"/>
        <v/>
      </c>
      <c r="AF716" s="12" t="str">
        <f t="shared" si="132"/>
        <v/>
      </c>
      <c r="AG716" s="12" t="str">
        <f t="shared" si="133"/>
        <v/>
      </c>
      <c r="AH716" s="12" t="str">
        <f t="shared" si="134"/>
        <v/>
      </c>
      <c r="AI716" s="12" t="str">
        <f t="shared" si="135"/>
        <v>10/5</v>
      </c>
    </row>
    <row r="717" spans="1:35" s="8" customFormat="1" ht="21.95" customHeight="1">
      <c r="A717" s="9">
        <v>715</v>
      </c>
      <c r="B717" s="17">
        <v>715</v>
      </c>
      <c r="C717" s="6">
        <v>30</v>
      </c>
      <c r="D717" s="6">
        <v>0</v>
      </c>
      <c r="E717" s="5">
        <v>100</v>
      </c>
      <c r="F717" s="5">
        <v>100</v>
      </c>
      <c r="G717" s="5">
        <v>100</v>
      </c>
      <c r="H717" s="5">
        <v>0</v>
      </c>
      <c r="I717" s="5">
        <v>100</v>
      </c>
      <c r="J717" s="5">
        <v>100</v>
      </c>
      <c r="K717" s="15" t="s">
        <v>55</v>
      </c>
      <c r="L717" s="6">
        <v>3</v>
      </c>
      <c r="M717" s="6">
        <v>0</v>
      </c>
      <c r="N717" s="6">
        <v>0</v>
      </c>
      <c r="O717" s="5">
        <v>0</v>
      </c>
      <c r="P717" s="5">
        <v>0</v>
      </c>
      <c r="Q717" s="5">
        <v>0</v>
      </c>
      <c r="R717" s="5">
        <v>0</v>
      </c>
      <c r="S717" s="5">
        <v>0</v>
      </c>
      <c r="T717" s="5">
        <v>0</v>
      </c>
      <c r="U717" s="6">
        <v>5</v>
      </c>
      <c r="V717" s="5">
        <v>10</v>
      </c>
      <c r="W717" s="5">
        <v>5</v>
      </c>
      <c r="X717" s="16">
        <v>2000</v>
      </c>
      <c r="Y717" s="16">
        <v>7000</v>
      </c>
      <c r="Z717" s="16">
        <v>14000</v>
      </c>
      <c r="AA717" s="12" t="str">
        <f t="shared" si="127"/>
        <v>0/30</v>
      </c>
      <c r="AB717" s="12" t="str">
        <f t="shared" si="128"/>
        <v>100,100,100,0,100,100</v>
      </c>
      <c r="AC717" s="12">
        <f t="shared" si="129"/>
        <v>4</v>
      </c>
      <c r="AD717" s="12" t="str">
        <f t="shared" si="130"/>
        <v>2000/7000/14000</v>
      </c>
      <c r="AE717" s="12" t="str">
        <f t="shared" si="131"/>
        <v/>
      </c>
      <c r="AF717" s="12" t="str">
        <f t="shared" si="132"/>
        <v/>
      </c>
      <c r="AG717" s="12" t="str">
        <f t="shared" si="133"/>
        <v/>
      </c>
      <c r="AH717" s="12" t="str">
        <f t="shared" si="134"/>
        <v/>
      </c>
      <c r="AI717" s="12" t="str">
        <f t="shared" si="135"/>
        <v>10/5</v>
      </c>
    </row>
    <row r="718" spans="1:35" s="8" customFormat="1" ht="21.95" customHeight="1">
      <c r="A718" s="9">
        <v>716</v>
      </c>
      <c r="B718" s="17">
        <v>716</v>
      </c>
      <c r="C718" s="6">
        <v>30</v>
      </c>
      <c r="D718" s="6">
        <v>0</v>
      </c>
      <c r="E718" s="5">
        <v>100</v>
      </c>
      <c r="F718" s="5">
        <v>100</v>
      </c>
      <c r="G718" s="5">
        <v>100</v>
      </c>
      <c r="H718" s="5">
        <v>100</v>
      </c>
      <c r="I718" s="5">
        <v>0</v>
      </c>
      <c r="J718" s="5">
        <v>100</v>
      </c>
      <c r="K718" s="15" t="s">
        <v>55</v>
      </c>
      <c r="L718" s="6">
        <v>3</v>
      </c>
      <c r="M718" s="6">
        <v>0</v>
      </c>
      <c r="N718" s="6">
        <v>0</v>
      </c>
      <c r="O718" s="5">
        <v>0</v>
      </c>
      <c r="P718" s="5">
        <v>0</v>
      </c>
      <c r="Q718" s="5">
        <v>0</v>
      </c>
      <c r="R718" s="5">
        <v>0</v>
      </c>
      <c r="S718" s="5">
        <v>0</v>
      </c>
      <c r="T718" s="5">
        <v>0</v>
      </c>
      <c r="U718" s="6">
        <v>5</v>
      </c>
      <c r="V718" s="5">
        <v>10</v>
      </c>
      <c r="W718" s="5">
        <v>5</v>
      </c>
      <c r="X718" s="16">
        <v>2000</v>
      </c>
      <c r="Y718" s="16">
        <v>7000</v>
      </c>
      <c r="Z718" s="16">
        <v>14000</v>
      </c>
      <c r="AA718" s="12" t="str">
        <f t="shared" si="127"/>
        <v>0/30</v>
      </c>
      <c r="AB718" s="12" t="str">
        <f t="shared" si="128"/>
        <v>100,100,100,100,0,100</v>
      </c>
      <c r="AC718" s="12">
        <f t="shared" si="129"/>
        <v>4</v>
      </c>
      <c r="AD718" s="12" t="str">
        <f t="shared" si="130"/>
        <v>2000/7000/14000</v>
      </c>
      <c r="AE718" s="12" t="str">
        <f t="shared" si="131"/>
        <v/>
      </c>
      <c r="AF718" s="12" t="str">
        <f t="shared" si="132"/>
        <v/>
      </c>
      <c r="AG718" s="12" t="str">
        <f t="shared" si="133"/>
        <v/>
      </c>
      <c r="AH718" s="12" t="str">
        <f t="shared" si="134"/>
        <v/>
      </c>
      <c r="AI718" s="12" t="str">
        <f t="shared" si="135"/>
        <v>10/5</v>
      </c>
    </row>
    <row r="719" spans="1:35" s="8" customFormat="1" ht="21.95" customHeight="1">
      <c r="A719" s="9">
        <v>717</v>
      </c>
      <c r="B719" s="17">
        <v>717</v>
      </c>
      <c r="C719" s="6">
        <v>30</v>
      </c>
      <c r="D719" s="6">
        <v>0</v>
      </c>
      <c r="E719" s="5">
        <v>100</v>
      </c>
      <c r="F719" s="5">
        <v>100</v>
      </c>
      <c r="G719" s="5">
        <v>100</v>
      </c>
      <c r="H719" s="5">
        <v>100</v>
      </c>
      <c r="I719" s="5">
        <v>100</v>
      </c>
      <c r="J719" s="5">
        <v>0</v>
      </c>
      <c r="K719" s="15" t="s">
        <v>56</v>
      </c>
      <c r="L719" s="6">
        <v>3</v>
      </c>
      <c r="M719" s="6">
        <v>0</v>
      </c>
      <c r="N719" s="6">
        <v>0</v>
      </c>
      <c r="O719" s="5">
        <v>0</v>
      </c>
      <c r="P719" s="5">
        <v>0</v>
      </c>
      <c r="Q719" s="5">
        <v>0</v>
      </c>
      <c r="R719" s="5">
        <v>0</v>
      </c>
      <c r="S719" s="5">
        <v>0</v>
      </c>
      <c r="T719" s="5">
        <v>0</v>
      </c>
      <c r="U719" s="6">
        <v>0</v>
      </c>
      <c r="V719" s="5">
        <v>10</v>
      </c>
      <c r="W719" s="5">
        <v>5</v>
      </c>
      <c r="X719" s="16">
        <v>2000</v>
      </c>
      <c r="Y719" s="16">
        <v>7000</v>
      </c>
      <c r="Z719" s="16">
        <v>14000</v>
      </c>
      <c r="AA719" s="12" t="str">
        <f t="shared" si="127"/>
        <v>0/30</v>
      </c>
      <c r="AB719" s="12" t="str">
        <f t="shared" si="128"/>
        <v>100,100,100,100,100,0</v>
      </c>
      <c r="AC719" s="12">
        <f t="shared" si="129"/>
        <v>5</v>
      </c>
      <c r="AD719" s="12" t="str">
        <f t="shared" si="130"/>
        <v>2000/7000/14000</v>
      </c>
      <c r="AE719" s="12" t="str">
        <f t="shared" si="131"/>
        <v/>
      </c>
      <c r="AF719" s="12" t="str">
        <f t="shared" si="132"/>
        <v/>
      </c>
      <c r="AG719" s="12" t="str">
        <f t="shared" si="133"/>
        <v/>
      </c>
      <c r="AH719" s="12" t="str">
        <f t="shared" si="134"/>
        <v/>
      </c>
      <c r="AI719" s="12" t="str">
        <f t="shared" si="135"/>
        <v>10/5</v>
      </c>
    </row>
    <row r="720" spans="1:35" s="8" customFormat="1" ht="21.95" customHeight="1">
      <c r="A720" s="9">
        <v>718</v>
      </c>
      <c r="B720" s="17">
        <v>718</v>
      </c>
      <c r="C720" s="6">
        <v>30</v>
      </c>
      <c r="D720" s="6">
        <v>0</v>
      </c>
      <c r="E720" s="5">
        <v>0</v>
      </c>
      <c r="F720" s="5">
        <v>100</v>
      </c>
      <c r="G720" s="5">
        <v>100</v>
      </c>
      <c r="H720" s="5">
        <v>100</v>
      </c>
      <c r="I720" s="5">
        <v>100</v>
      </c>
      <c r="J720" s="5">
        <v>100</v>
      </c>
      <c r="K720" s="15" t="s">
        <v>56</v>
      </c>
      <c r="L720" s="6">
        <v>3</v>
      </c>
      <c r="M720" s="6">
        <v>0</v>
      </c>
      <c r="N720" s="6">
        <v>0</v>
      </c>
      <c r="O720" s="5">
        <v>0</v>
      </c>
      <c r="P720" s="5">
        <v>0</v>
      </c>
      <c r="Q720" s="5">
        <v>0</v>
      </c>
      <c r="R720" s="5">
        <v>0</v>
      </c>
      <c r="S720" s="5">
        <v>0</v>
      </c>
      <c r="T720" s="5">
        <v>0</v>
      </c>
      <c r="U720" s="6">
        <v>0</v>
      </c>
      <c r="V720" s="5">
        <v>10</v>
      </c>
      <c r="W720" s="5">
        <v>5</v>
      </c>
      <c r="X720" s="16">
        <v>2000</v>
      </c>
      <c r="Y720" s="16">
        <v>7000</v>
      </c>
      <c r="Z720" s="16">
        <v>14000</v>
      </c>
      <c r="AA720" s="12" t="str">
        <f t="shared" si="127"/>
        <v>0/30</v>
      </c>
      <c r="AB720" s="12" t="str">
        <f t="shared" si="128"/>
        <v>0,100,100,100,100,100</v>
      </c>
      <c r="AC720" s="12">
        <f t="shared" si="129"/>
        <v>5</v>
      </c>
      <c r="AD720" s="12" t="str">
        <f t="shared" si="130"/>
        <v>2000/7000/14000</v>
      </c>
      <c r="AE720" s="12" t="str">
        <f t="shared" si="131"/>
        <v/>
      </c>
      <c r="AF720" s="12" t="str">
        <f t="shared" si="132"/>
        <v/>
      </c>
      <c r="AG720" s="12" t="str">
        <f t="shared" si="133"/>
        <v/>
      </c>
      <c r="AH720" s="12" t="str">
        <f t="shared" si="134"/>
        <v/>
      </c>
      <c r="AI720" s="12" t="str">
        <f t="shared" si="135"/>
        <v>10/5</v>
      </c>
    </row>
    <row r="721" spans="1:35" s="8" customFormat="1" ht="21.95" customHeight="1">
      <c r="A721" s="9">
        <v>719</v>
      </c>
      <c r="B721" s="17">
        <v>719</v>
      </c>
      <c r="C721" s="6">
        <v>30</v>
      </c>
      <c r="D721" s="6">
        <v>0</v>
      </c>
      <c r="E721" s="5">
        <v>100</v>
      </c>
      <c r="F721" s="5">
        <v>0</v>
      </c>
      <c r="G721" s="5">
        <v>100</v>
      </c>
      <c r="H721" s="5">
        <v>100</v>
      </c>
      <c r="I721" s="5">
        <v>100</v>
      </c>
      <c r="J721" s="5">
        <v>100</v>
      </c>
      <c r="K721" s="15" t="s">
        <v>53</v>
      </c>
      <c r="L721" s="6">
        <v>3</v>
      </c>
      <c r="M721" s="6">
        <v>0</v>
      </c>
      <c r="N721" s="6">
        <v>0</v>
      </c>
      <c r="O721" s="5">
        <v>0</v>
      </c>
      <c r="P721" s="5">
        <v>0</v>
      </c>
      <c r="Q721" s="5">
        <v>20</v>
      </c>
      <c r="R721" s="5">
        <v>24</v>
      </c>
      <c r="S721" s="5">
        <v>0</v>
      </c>
      <c r="T721" s="5">
        <v>0</v>
      </c>
      <c r="U721" s="6">
        <v>0</v>
      </c>
      <c r="V721" s="5">
        <v>10</v>
      </c>
      <c r="W721" s="5">
        <v>5</v>
      </c>
      <c r="X721" s="16">
        <v>2000</v>
      </c>
      <c r="Y721" s="16">
        <v>7000</v>
      </c>
      <c r="Z721" s="16">
        <v>14000</v>
      </c>
      <c r="AA721" s="12" t="str">
        <f t="shared" si="127"/>
        <v>0/30</v>
      </c>
      <c r="AB721" s="12" t="str">
        <f t="shared" si="128"/>
        <v>100,0,100,100,100,100</v>
      </c>
      <c r="AC721" s="12">
        <f t="shared" si="129"/>
        <v>2</v>
      </c>
      <c r="AD721" s="12" t="str">
        <f t="shared" si="130"/>
        <v>2000/7000/14000</v>
      </c>
      <c r="AE721" s="12" t="str">
        <f t="shared" si="131"/>
        <v/>
      </c>
      <c r="AF721" s="12" t="str">
        <f t="shared" si="132"/>
        <v/>
      </c>
      <c r="AG721" s="12" t="str">
        <f t="shared" si="133"/>
        <v>2/3/</v>
      </c>
      <c r="AH721" s="12" t="str">
        <f t="shared" si="134"/>
        <v>20/24/</v>
      </c>
      <c r="AI721" s="12" t="str">
        <f t="shared" si="135"/>
        <v>10/5</v>
      </c>
    </row>
    <row r="722" spans="1:35" s="8" customFormat="1" ht="21.95" customHeight="1">
      <c r="A722" s="9">
        <v>720</v>
      </c>
      <c r="B722" s="17">
        <v>720</v>
      </c>
      <c r="C722" s="6">
        <v>30</v>
      </c>
      <c r="D722" s="6">
        <v>0</v>
      </c>
      <c r="E722" s="5">
        <v>100</v>
      </c>
      <c r="F722" s="5">
        <v>100</v>
      </c>
      <c r="G722" s="5">
        <v>0</v>
      </c>
      <c r="H722" s="5">
        <v>100</v>
      </c>
      <c r="I722" s="5">
        <v>100</v>
      </c>
      <c r="J722" s="5">
        <v>100</v>
      </c>
      <c r="K722" s="15" t="s">
        <v>53</v>
      </c>
      <c r="L722" s="6">
        <v>3</v>
      </c>
      <c r="M722" s="6">
        <v>0</v>
      </c>
      <c r="N722" s="6">
        <v>0</v>
      </c>
      <c r="O722" s="5">
        <v>0</v>
      </c>
      <c r="P722" s="5">
        <v>0</v>
      </c>
      <c r="Q722" s="5">
        <v>0</v>
      </c>
      <c r="R722" s="5">
        <v>18</v>
      </c>
      <c r="S722" s="5">
        <v>32</v>
      </c>
      <c r="T722" s="5">
        <v>0</v>
      </c>
      <c r="U722" s="6">
        <v>0</v>
      </c>
      <c r="V722" s="5">
        <v>10</v>
      </c>
      <c r="W722" s="5">
        <v>5</v>
      </c>
      <c r="X722" s="16">
        <v>2000</v>
      </c>
      <c r="Y722" s="16">
        <v>7000</v>
      </c>
      <c r="Z722" s="16">
        <v>14000</v>
      </c>
      <c r="AA722" s="12" t="str">
        <f t="shared" si="127"/>
        <v>0/30</v>
      </c>
      <c r="AB722" s="12" t="str">
        <f t="shared" si="128"/>
        <v>100,100,0,100,100,100</v>
      </c>
      <c r="AC722" s="12">
        <f t="shared" si="129"/>
        <v>2</v>
      </c>
      <c r="AD722" s="12" t="str">
        <f t="shared" si="130"/>
        <v>2000/7000/14000</v>
      </c>
      <c r="AE722" s="12" t="str">
        <f t="shared" si="131"/>
        <v/>
      </c>
      <c r="AF722" s="12" t="str">
        <f t="shared" si="132"/>
        <v/>
      </c>
      <c r="AG722" s="12" t="str">
        <f t="shared" si="133"/>
        <v>3/4/</v>
      </c>
      <c r="AH722" s="12" t="str">
        <f t="shared" si="134"/>
        <v>18/32/</v>
      </c>
      <c r="AI722" s="12" t="str">
        <f t="shared" si="135"/>
        <v>10/5</v>
      </c>
    </row>
    <row r="723" spans="1:35" s="8" customFormat="1" ht="21.95" customHeight="1">
      <c r="A723" s="9">
        <v>721</v>
      </c>
      <c r="B723" s="17">
        <v>721</v>
      </c>
      <c r="C723" s="6">
        <v>30</v>
      </c>
      <c r="D723" s="6">
        <v>0</v>
      </c>
      <c r="E723" s="5">
        <v>100</v>
      </c>
      <c r="F723" s="5">
        <v>100</v>
      </c>
      <c r="G723" s="5">
        <v>100</v>
      </c>
      <c r="H723" s="5">
        <v>0</v>
      </c>
      <c r="I723" s="5">
        <v>100</v>
      </c>
      <c r="J723" s="5">
        <v>100</v>
      </c>
      <c r="K723" s="15" t="s">
        <v>52</v>
      </c>
      <c r="L723" s="6">
        <v>3</v>
      </c>
      <c r="M723" s="6">
        <v>6</v>
      </c>
      <c r="N723" s="6">
        <v>0</v>
      </c>
      <c r="O723" s="5">
        <v>0</v>
      </c>
      <c r="P723" s="5">
        <v>0</v>
      </c>
      <c r="Q723" s="5">
        <v>0</v>
      </c>
      <c r="R723" s="5">
        <v>0</v>
      </c>
      <c r="S723" s="5">
        <v>0</v>
      </c>
      <c r="T723" s="5">
        <v>0</v>
      </c>
      <c r="U723" s="6">
        <v>0</v>
      </c>
      <c r="V723" s="5">
        <v>10</v>
      </c>
      <c r="W723" s="5">
        <v>5</v>
      </c>
      <c r="X723" s="16">
        <v>2000</v>
      </c>
      <c r="Y723" s="16">
        <v>7000</v>
      </c>
      <c r="Z723" s="16">
        <v>14000</v>
      </c>
      <c r="AA723" s="12" t="str">
        <f t="shared" si="127"/>
        <v>0/30</v>
      </c>
      <c r="AB723" s="12" t="str">
        <f t="shared" si="128"/>
        <v>100,100,100,0,100,100</v>
      </c>
      <c r="AC723" s="12">
        <f t="shared" si="129"/>
        <v>1</v>
      </c>
      <c r="AD723" s="12" t="str">
        <f t="shared" si="130"/>
        <v>2000/7000/14000</v>
      </c>
      <c r="AE723" s="12" t="str">
        <f t="shared" si="131"/>
        <v>0/</v>
      </c>
      <c r="AF723" s="12" t="str">
        <f t="shared" si="132"/>
        <v>6/</v>
      </c>
      <c r="AG723" s="12" t="str">
        <f t="shared" si="133"/>
        <v/>
      </c>
      <c r="AH723" s="12" t="str">
        <f t="shared" si="134"/>
        <v/>
      </c>
      <c r="AI723" s="12" t="str">
        <f t="shared" si="135"/>
        <v>10/5</v>
      </c>
    </row>
    <row r="724" spans="1:35" s="8" customFormat="1" ht="21.95" customHeight="1">
      <c r="A724" s="9">
        <v>722</v>
      </c>
      <c r="B724" s="17">
        <v>722</v>
      </c>
      <c r="C724" s="6">
        <v>30</v>
      </c>
      <c r="D724" s="6">
        <v>0</v>
      </c>
      <c r="E724" s="5">
        <v>100</v>
      </c>
      <c r="F724" s="5">
        <v>100</v>
      </c>
      <c r="G724" s="5">
        <v>100</v>
      </c>
      <c r="H724" s="5">
        <v>100</v>
      </c>
      <c r="I724" s="5">
        <v>0</v>
      </c>
      <c r="J724" s="5">
        <v>100</v>
      </c>
      <c r="K724" s="15" t="s">
        <v>52</v>
      </c>
      <c r="L724" s="6">
        <v>3</v>
      </c>
      <c r="M724" s="6">
        <v>2</v>
      </c>
      <c r="N724" s="6">
        <v>4</v>
      </c>
      <c r="O724" s="5">
        <v>0</v>
      </c>
      <c r="P724" s="5">
        <v>0</v>
      </c>
      <c r="Q724" s="5">
        <v>0</v>
      </c>
      <c r="R724" s="5">
        <v>0</v>
      </c>
      <c r="S724" s="5">
        <v>0</v>
      </c>
      <c r="T724" s="5">
        <v>0</v>
      </c>
      <c r="U724" s="6">
        <v>0</v>
      </c>
      <c r="V724" s="5">
        <v>10</v>
      </c>
      <c r="W724" s="5">
        <v>5</v>
      </c>
      <c r="X724" s="16">
        <v>2000</v>
      </c>
      <c r="Y724" s="16">
        <v>7000</v>
      </c>
      <c r="Z724" s="16">
        <v>14000</v>
      </c>
      <c r="AA724" s="12" t="str">
        <f t="shared" si="127"/>
        <v>0/30</v>
      </c>
      <c r="AB724" s="12" t="str">
        <f t="shared" si="128"/>
        <v>100,100,100,100,0,100</v>
      </c>
      <c r="AC724" s="12">
        <f t="shared" si="129"/>
        <v>1</v>
      </c>
      <c r="AD724" s="12" t="str">
        <f t="shared" si="130"/>
        <v>2000/7000/14000</v>
      </c>
      <c r="AE724" s="12" t="str">
        <f t="shared" si="131"/>
        <v>0/1/</v>
      </c>
      <c r="AF724" s="12" t="str">
        <f t="shared" si="132"/>
        <v>2/4/</v>
      </c>
      <c r="AG724" s="12" t="str">
        <f t="shared" si="133"/>
        <v/>
      </c>
      <c r="AH724" s="12" t="str">
        <f t="shared" si="134"/>
        <v/>
      </c>
      <c r="AI724" s="12" t="str">
        <f t="shared" si="135"/>
        <v>10/5</v>
      </c>
    </row>
    <row r="725" spans="1:35" s="8" customFormat="1" ht="21.95" customHeight="1">
      <c r="A725" s="9">
        <v>723</v>
      </c>
      <c r="B725" s="17">
        <v>723</v>
      </c>
      <c r="C725" s="6">
        <v>30</v>
      </c>
      <c r="D725" s="6">
        <v>0</v>
      </c>
      <c r="E725" s="5">
        <v>100</v>
      </c>
      <c r="F725" s="5">
        <v>100</v>
      </c>
      <c r="G725" s="5">
        <v>100</v>
      </c>
      <c r="H725" s="5">
        <v>100</v>
      </c>
      <c r="I725" s="5">
        <v>100</v>
      </c>
      <c r="J725" s="5">
        <v>0</v>
      </c>
      <c r="K725" s="15" t="s">
        <v>54</v>
      </c>
      <c r="L725" s="6">
        <v>3</v>
      </c>
      <c r="M725" s="6">
        <v>0</v>
      </c>
      <c r="N725" s="6">
        <v>0</v>
      </c>
      <c r="O725" s="5">
        <v>0</v>
      </c>
      <c r="P725" s="5">
        <v>0</v>
      </c>
      <c r="Q725" s="5">
        <v>0</v>
      </c>
      <c r="R725" s="5">
        <v>0</v>
      </c>
      <c r="S725" s="5">
        <v>0</v>
      </c>
      <c r="T725" s="5">
        <v>0</v>
      </c>
      <c r="U725" s="6">
        <v>0</v>
      </c>
      <c r="V725" s="5">
        <v>10</v>
      </c>
      <c r="W725" s="5">
        <v>5</v>
      </c>
      <c r="X725" s="16">
        <v>2000</v>
      </c>
      <c r="Y725" s="16">
        <v>7000</v>
      </c>
      <c r="Z725" s="16">
        <v>14000</v>
      </c>
      <c r="AA725" s="12" t="str">
        <f t="shared" si="127"/>
        <v>0/30</v>
      </c>
      <c r="AB725" s="12" t="str">
        <f t="shared" si="128"/>
        <v>100,100,100,100,100,0</v>
      </c>
      <c r="AC725" s="12">
        <f t="shared" si="129"/>
        <v>3</v>
      </c>
      <c r="AD725" s="12" t="str">
        <f t="shared" si="130"/>
        <v>2000/7000/14000</v>
      </c>
      <c r="AE725" s="12" t="str">
        <f t="shared" si="131"/>
        <v/>
      </c>
      <c r="AF725" s="12" t="str">
        <f t="shared" si="132"/>
        <v/>
      </c>
      <c r="AG725" s="12" t="str">
        <f t="shared" si="133"/>
        <v/>
      </c>
      <c r="AH725" s="12" t="str">
        <f t="shared" si="134"/>
        <v/>
      </c>
      <c r="AI725" s="12" t="str">
        <f t="shared" si="135"/>
        <v>10/5</v>
      </c>
    </row>
    <row r="726" spans="1:35" s="8" customFormat="1" ht="21.95" customHeight="1">
      <c r="A726" s="9">
        <v>724</v>
      </c>
      <c r="B726" s="17">
        <v>724</v>
      </c>
      <c r="C726" s="6">
        <v>30</v>
      </c>
      <c r="D726" s="6">
        <v>0</v>
      </c>
      <c r="E726" s="5">
        <v>0</v>
      </c>
      <c r="F726" s="5">
        <v>100</v>
      </c>
      <c r="G726" s="5">
        <v>100</v>
      </c>
      <c r="H726" s="5">
        <v>100</v>
      </c>
      <c r="I726" s="5">
        <v>100</v>
      </c>
      <c r="J726" s="5">
        <v>100</v>
      </c>
      <c r="K726" s="15" t="s">
        <v>54</v>
      </c>
      <c r="L726" s="6">
        <v>3</v>
      </c>
      <c r="M726" s="6">
        <v>0</v>
      </c>
      <c r="N726" s="6">
        <v>0</v>
      </c>
      <c r="O726" s="5">
        <v>0</v>
      </c>
      <c r="P726" s="5">
        <v>0</v>
      </c>
      <c r="Q726" s="5">
        <v>0</v>
      </c>
      <c r="R726" s="5">
        <v>0</v>
      </c>
      <c r="S726" s="5">
        <v>0</v>
      </c>
      <c r="T726" s="5">
        <v>0</v>
      </c>
      <c r="U726" s="6">
        <v>0</v>
      </c>
      <c r="V726" s="5">
        <v>10</v>
      </c>
      <c r="W726" s="5">
        <v>5</v>
      </c>
      <c r="X726" s="16">
        <v>2000</v>
      </c>
      <c r="Y726" s="16">
        <v>7000</v>
      </c>
      <c r="Z726" s="16">
        <v>14000</v>
      </c>
      <c r="AA726" s="12" t="str">
        <f t="shared" si="127"/>
        <v>0/30</v>
      </c>
      <c r="AB726" s="12" t="str">
        <f t="shared" si="128"/>
        <v>0,100,100,100,100,100</v>
      </c>
      <c r="AC726" s="12">
        <f t="shared" si="129"/>
        <v>3</v>
      </c>
      <c r="AD726" s="12" t="str">
        <f t="shared" si="130"/>
        <v>2000/7000/14000</v>
      </c>
      <c r="AE726" s="12" t="str">
        <f t="shared" si="131"/>
        <v/>
      </c>
      <c r="AF726" s="12" t="str">
        <f t="shared" si="132"/>
        <v/>
      </c>
      <c r="AG726" s="12" t="str">
        <f t="shared" si="133"/>
        <v/>
      </c>
      <c r="AH726" s="12" t="str">
        <f t="shared" si="134"/>
        <v/>
      </c>
      <c r="AI726" s="12" t="str">
        <f t="shared" si="135"/>
        <v>10/5</v>
      </c>
    </row>
    <row r="727" spans="1:35" s="8" customFormat="1" ht="21.95" customHeight="1">
      <c r="A727" s="9">
        <v>725</v>
      </c>
      <c r="B727" s="17">
        <v>725</v>
      </c>
      <c r="C727" s="6">
        <v>30</v>
      </c>
      <c r="D727" s="6">
        <v>0</v>
      </c>
      <c r="E727" s="5">
        <v>100</v>
      </c>
      <c r="F727" s="5">
        <v>0</v>
      </c>
      <c r="G727" s="5">
        <v>100</v>
      </c>
      <c r="H727" s="5">
        <v>100</v>
      </c>
      <c r="I727" s="5">
        <v>100</v>
      </c>
      <c r="J727" s="5">
        <v>100</v>
      </c>
      <c r="K727" s="15" t="s">
        <v>55</v>
      </c>
      <c r="L727" s="6">
        <v>3</v>
      </c>
      <c r="M727" s="6">
        <v>0</v>
      </c>
      <c r="N727" s="6">
        <v>0</v>
      </c>
      <c r="O727" s="5">
        <v>0</v>
      </c>
      <c r="P727" s="5">
        <v>0</v>
      </c>
      <c r="Q727" s="5">
        <v>0</v>
      </c>
      <c r="R727" s="5">
        <v>0</v>
      </c>
      <c r="S727" s="5">
        <v>0</v>
      </c>
      <c r="T727" s="5">
        <v>0</v>
      </c>
      <c r="U727" s="6">
        <v>5</v>
      </c>
      <c r="V727" s="5">
        <v>10</v>
      </c>
      <c r="W727" s="5">
        <v>5</v>
      </c>
      <c r="X727" s="16">
        <v>2000</v>
      </c>
      <c r="Y727" s="16">
        <v>7000</v>
      </c>
      <c r="Z727" s="16">
        <v>14000</v>
      </c>
      <c r="AA727" s="12" t="str">
        <f t="shared" si="127"/>
        <v>0/30</v>
      </c>
      <c r="AB727" s="12" t="str">
        <f t="shared" si="128"/>
        <v>100,0,100,100,100,100</v>
      </c>
      <c r="AC727" s="12">
        <f t="shared" si="129"/>
        <v>4</v>
      </c>
      <c r="AD727" s="12" t="str">
        <f t="shared" si="130"/>
        <v>2000/7000/14000</v>
      </c>
      <c r="AE727" s="12" t="str">
        <f t="shared" si="131"/>
        <v/>
      </c>
      <c r="AF727" s="12" t="str">
        <f t="shared" si="132"/>
        <v/>
      </c>
      <c r="AG727" s="12" t="str">
        <f t="shared" si="133"/>
        <v/>
      </c>
      <c r="AH727" s="12" t="str">
        <f t="shared" si="134"/>
        <v/>
      </c>
      <c r="AI727" s="12" t="str">
        <f t="shared" si="135"/>
        <v>10/5</v>
      </c>
    </row>
    <row r="728" spans="1:35" s="8" customFormat="1" ht="21.95" customHeight="1">
      <c r="A728" s="9">
        <v>726</v>
      </c>
      <c r="B728" s="17">
        <v>726</v>
      </c>
      <c r="C728" s="6">
        <v>30</v>
      </c>
      <c r="D728" s="6">
        <v>0</v>
      </c>
      <c r="E728" s="5">
        <v>100</v>
      </c>
      <c r="F728" s="5">
        <v>100</v>
      </c>
      <c r="G728" s="5">
        <v>0</v>
      </c>
      <c r="H728" s="5">
        <v>100</v>
      </c>
      <c r="I728" s="5">
        <v>100</v>
      </c>
      <c r="J728" s="5">
        <v>100</v>
      </c>
      <c r="K728" s="15" t="s">
        <v>55</v>
      </c>
      <c r="L728" s="6">
        <v>3</v>
      </c>
      <c r="M728" s="6">
        <v>0</v>
      </c>
      <c r="N728" s="6">
        <v>0</v>
      </c>
      <c r="O728" s="5">
        <v>0</v>
      </c>
      <c r="P728" s="5">
        <v>0</v>
      </c>
      <c r="Q728" s="5">
        <v>0</v>
      </c>
      <c r="R728" s="5">
        <v>0</v>
      </c>
      <c r="S728" s="5">
        <v>0</v>
      </c>
      <c r="T728" s="5">
        <v>0</v>
      </c>
      <c r="U728" s="6">
        <v>5</v>
      </c>
      <c r="V728" s="5">
        <v>10</v>
      </c>
      <c r="W728" s="5">
        <v>5</v>
      </c>
      <c r="X728" s="16">
        <v>2000</v>
      </c>
      <c r="Y728" s="16">
        <v>7000</v>
      </c>
      <c r="Z728" s="16">
        <v>14000</v>
      </c>
      <c r="AA728" s="12" t="str">
        <f t="shared" si="127"/>
        <v>0/30</v>
      </c>
      <c r="AB728" s="12" t="str">
        <f t="shared" si="128"/>
        <v>100,100,0,100,100,100</v>
      </c>
      <c r="AC728" s="12">
        <f t="shared" si="129"/>
        <v>4</v>
      </c>
      <c r="AD728" s="12" t="str">
        <f t="shared" si="130"/>
        <v>2000/7000/14000</v>
      </c>
      <c r="AE728" s="12" t="str">
        <f t="shared" si="131"/>
        <v/>
      </c>
      <c r="AF728" s="12" t="str">
        <f t="shared" si="132"/>
        <v/>
      </c>
      <c r="AG728" s="12" t="str">
        <f t="shared" si="133"/>
        <v/>
      </c>
      <c r="AH728" s="12" t="str">
        <f t="shared" si="134"/>
        <v/>
      </c>
      <c r="AI728" s="12" t="str">
        <f t="shared" si="135"/>
        <v>10/5</v>
      </c>
    </row>
    <row r="729" spans="1:35" s="8" customFormat="1" ht="21.95" customHeight="1">
      <c r="A729" s="9">
        <v>727</v>
      </c>
      <c r="B729" s="17">
        <v>727</v>
      </c>
      <c r="C729" s="6">
        <v>32</v>
      </c>
      <c r="D729" s="6">
        <v>0</v>
      </c>
      <c r="E729" s="5">
        <v>100</v>
      </c>
      <c r="F729" s="5">
        <v>100</v>
      </c>
      <c r="G729" s="5">
        <v>100</v>
      </c>
      <c r="H729" s="5">
        <v>0</v>
      </c>
      <c r="I729" s="5">
        <v>100</v>
      </c>
      <c r="J729" s="5">
        <v>100</v>
      </c>
      <c r="K729" s="15" t="s">
        <v>51</v>
      </c>
      <c r="L729" s="6">
        <v>3</v>
      </c>
      <c r="M729" s="6">
        <v>0</v>
      </c>
      <c r="N729" s="6">
        <v>0</v>
      </c>
      <c r="O729" s="5">
        <v>0</v>
      </c>
      <c r="P729" s="5">
        <v>0</v>
      </c>
      <c r="Q729" s="5">
        <v>0</v>
      </c>
      <c r="R729" s="5">
        <v>0</v>
      </c>
      <c r="S729" s="5">
        <v>0</v>
      </c>
      <c r="T729" s="5">
        <v>0</v>
      </c>
      <c r="U729" s="6">
        <v>0</v>
      </c>
      <c r="V729" s="5">
        <v>10</v>
      </c>
      <c r="W729" s="5">
        <v>5</v>
      </c>
      <c r="X729" s="16">
        <v>2000</v>
      </c>
      <c r="Y729" s="16">
        <v>7000</v>
      </c>
      <c r="Z729" s="16">
        <v>14000</v>
      </c>
      <c r="AA729" s="12" t="str">
        <f t="shared" si="127"/>
        <v>0/32</v>
      </c>
      <c r="AB729" s="12" t="str">
        <f t="shared" si="128"/>
        <v>100,100,100,0,100,100</v>
      </c>
      <c r="AC729" s="12">
        <f t="shared" si="129"/>
        <v>0</v>
      </c>
      <c r="AD729" s="12" t="str">
        <f t="shared" si="130"/>
        <v>2000/7000/14000</v>
      </c>
      <c r="AE729" s="12" t="str">
        <f t="shared" si="131"/>
        <v/>
      </c>
      <c r="AF729" s="12" t="str">
        <f t="shared" si="132"/>
        <v/>
      </c>
      <c r="AG729" s="12" t="str">
        <f t="shared" si="133"/>
        <v/>
      </c>
      <c r="AH729" s="12" t="str">
        <f t="shared" si="134"/>
        <v/>
      </c>
      <c r="AI729" s="12" t="str">
        <f t="shared" si="135"/>
        <v>10/5</v>
      </c>
    </row>
    <row r="730" spans="1:35" s="8" customFormat="1" ht="21.95" customHeight="1">
      <c r="A730" s="9">
        <v>728</v>
      </c>
      <c r="B730" s="17">
        <v>728</v>
      </c>
      <c r="C730" s="6">
        <v>0</v>
      </c>
      <c r="D730" s="6">
        <v>60</v>
      </c>
      <c r="E730" s="5">
        <v>100</v>
      </c>
      <c r="F730" s="5">
        <v>100</v>
      </c>
      <c r="G730" s="5">
        <v>0</v>
      </c>
      <c r="H730" s="5">
        <v>100</v>
      </c>
      <c r="I730" s="5">
        <v>100</v>
      </c>
      <c r="J730" s="5">
        <v>100</v>
      </c>
      <c r="K730" s="15" t="s">
        <v>56</v>
      </c>
      <c r="L730" s="6">
        <v>3</v>
      </c>
      <c r="M730" s="6">
        <v>0</v>
      </c>
      <c r="N730" s="6">
        <v>0</v>
      </c>
      <c r="O730" s="5">
        <v>0</v>
      </c>
      <c r="P730" s="5">
        <v>0</v>
      </c>
      <c r="Q730" s="5">
        <v>0</v>
      </c>
      <c r="R730" s="5">
        <v>0</v>
      </c>
      <c r="S730" s="5">
        <v>0</v>
      </c>
      <c r="T730" s="5">
        <v>0</v>
      </c>
      <c r="U730" s="6">
        <v>0</v>
      </c>
      <c r="V730" s="5">
        <v>10</v>
      </c>
      <c r="W730" s="5">
        <v>5</v>
      </c>
      <c r="X730" s="16">
        <v>2000</v>
      </c>
      <c r="Y730" s="16">
        <v>7000</v>
      </c>
      <c r="Z730" s="16">
        <v>14000</v>
      </c>
      <c r="AA730" s="12" t="str">
        <f t="shared" si="127"/>
        <v>1/60</v>
      </c>
      <c r="AB730" s="12" t="str">
        <f t="shared" si="128"/>
        <v>100,100,0,100,100,100</v>
      </c>
      <c r="AC730" s="12">
        <f t="shared" si="129"/>
        <v>5</v>
      </c>
      <c r="AD730" s="12" t="str">
        <f t="shared" si="130"/>
        <v>2000/7000/14000</v>
      </c>
      <c r="AE730" s="12" t="str">
        <f t="shared" si="131"/>
        <v/>
      </c>
      <c r="AF730" s="12" t="str">
        <f t="shared" si="132"/>
        <v/>
      </c>
      <c r="AG730" s="12" t="str">
        <f t="shared" si="133"/>
        <v/>
      </c>
      <c r="AH730" s="12" t="str">
        <f t="shared" si="134"/>
        <v/>
      </c>
      <c r="AI730" s="12" t="str">
        <f t="shared" si="135"/>
        <v>10/5</v>
      </c>
    </row>
    <row r="731" spans="1:35" s="8" customFormat="1" ht="21.95" customHeight="1">
      <c r="A731" s="9">
        <v>729</v>
      </c>
      <c r="B731" s="17">
        <v>729</v>
      </c>
      <c r="C731" s="6">
        <v>0</v>
      </c>
      <c r="D731" s="6">
        <v>60</v>
      </c>
      <c r="E731" s="5">
        <v>100</v>
      </c>
      <c r="F731" s="5">
        <v>100</v>
      </c>
      <c r="G731" s="5">
        <v>100</v>
      </c>
      <c r="H731" s="5">
        <v>0</v>
      </c>
      <c r="I731" s="5">
        <v>100</v>
      </c>
      <c r="J731" s="5">
        <v>100</v>
      </c>
      <c r="K731" s="15" t="s">
        <v>53</v>
      </c>
      <c r="L731" s="6">
        <v>3</v>
      </c>
      <c r="M731" s="6">
        <v>0</v>
      </c>
      <c r="N731" s="6">
        <v>0</v>
      </c>
      <c r="O731" s="5">
        <v>0</v>
      </c>
      <c r="P731" s="5">
        <v>0</v>
      </c>
      <c r="Q731" s="5">
        <v>0</v>
      </c>
      <c r="R731" s="5">
        <v>0</v>
      </c>
      <c r="S731" s="5">
        <v>18</v>
      </c>
      <c r="T731" s="5">
        <v>16</v>
      </c>
      <c r="U731" s="6">
        <v>0</v>
      </c>
      <c r="V731" s="5">
        <v>10</v>
      </c>
      <c r="W731" s="5">
        <v>5</v>
      </c>
      <c r="X731" s="16">
        <v>2000</v>
      </c>
      <c r="Y731" s="16">
        <v>7000</v>
      </c>
      <c r="Z731" s="16">
        <v>14000</v>
      </c>
      <c r="AA731" s="12" t="str">
        <f t="shared" si="127"/>
        <v>1/60</v>
      </c>
      <c r="AB731" s="12" t="str">
        <f t="shared" si="128"/>
        <v>100,100,100,0,100,100</v>
      </c>
      <c r="AC731" s="12">
        <f t="shared" si="129"/>
        <v>2</v>
      </c>
      <c r="AD731" s="12" t="str">
        <f t="shared" si="130"/>
        <v>2000/7000/14000</v>
      </c>
      <c r="AE731" s="12" t="str">
        <f t="shared" si="131"/>
        <v/>
      </c>
      <c r="AF731" s="12" t="str">
        <f t="shared" si="132"/>
        <v/>
      </c>
      <c r="AG731" s="12" t="str">
        <f t="shared" si="133"/>
        <v>4/5/</v>
      </c>
      <c r="AH731" s="12" t="str">
        <f t="shared" si="134"/>
        <v>18/16/</v>
      </c>
      <c r="AI731" s="12" t="str">
        <f t="shared" si="135"/>
        <v>10/5</v>
      </c>
    </row>
    <row r="732" spans="1:35" s="8" customFormat="1" ht="21.95" customHeight="1">
      <c r="A732" s="9">
        <v>730</v>
      </c>
      <c r="B732" s="17">
        <v>730</v>
      </c>
      <c r="C732" s="6">
        <v>30</v>
      </c>
      <c r="D732" s="6">
        <v>0</v>
      </c>
      <c r="E732" s="5">
        <v>100</v>
      </c>
      <c r="F732" s="5">
        <v>100</v>
      </c>
      <c r="G732" s="5">
        <v>100</v>
      </c>
      <c r="H732" s="5">
        <v>100</v>
      </c>
      <c r="I732" s="5">
        <v>0</v>
      </c>
      <c r="J732" s="5">
        <v>100</v>
      </c>
      <c r="K732" s="15" t="s">
        <v>53</v>
      </c>
      <c r="L732" s="6">
        <v>3</v>
      </c>
      <c r="M732" s="6">
        <v>0</v>
      </c>
      <c r="N732" s="6">
        <v>0</v>
      </c>
      <c r="O732" s="5">
        <v>16</v>
      </c>
      <c r="P732" s="5">
        <v>0</v>
      </c>
      <c r="Q732" s="5">
        <v>0</v>
      </c>
      <c r="R732" s="5">
        <v>0</v>
      </c>
      <c r="S732" s="5">
        <v>0</v>
      </c>
      <c r="T732" s="5">
        <v>18</v>
      </c>
      <c r="U732" s="6">
        <v>0</v>
      </c>
      <c r="V732" s="5">
        <v>10</v>
      </c>
      <c r="W732" s="5">
        <v>5</v>
      </c>
      <c r="X732" s="16">
        <v>2000</v>
      </c>
      <c r="Y732" s="16">
        <v>7000</v>
      </c>
      <c r="Z732" s="16">
        <v>14000</v>
      </c>
      <c r="AA732" s="12" t="str">
        <f t="shared" si="127"/>
        <v>0/30</v>
      </c>
      <c r="AB732" s="12" t="str">
        <f t="shared" si="128"/>
        <v>100,100,100,100,0,100</v>
      </c>
      <c r="AC732" s="12">
        <f t="shared" si="129"/>
        <v>2</v>
      </c>
      <c r="AD732" s="12" t="str">
        <f t="shared" si="130"/>
        <v>2000/7000/14000</v>
      </c>
      <c r="AE732" s="12" t="str">
        <f t="shared" si="131"/>
        <v/>
      </c>
      <c r="AF732" s="12" t="str">
        <f t="shared" si="132"/>
        <v/>
      </c>
      <c r="AG732" s="12" t="str">
        <f t="shared" si="133"/>
        <v>0/5/</v>
      </c>
      <c r="AH732" s="12" t="str">
        <f t="shared" si="134"/>
        <v>16/18/</v>
      </c>
      <c r="AI732" s="12" t="str">
        <f t="shared" si="135"/>
        <v>10/5</v>
      </c>
    </row>
    <row r="733" spans="1:35" s="8" customFormat="1" ht="21.95" customHeight="1">
      <c r="A733" s="9">
        <v>731</v>
      </c>
      <c r="B733" s="17">
        <v>731</v>
      </c>
      <c r="C733" s="6">
        <v>30</v>
      </c>
      <c r="D733" s="6">
        <v>0</v>
      </c>
      <c r="E733" s="5">
        <v>100</v>
      </c>
      <c r="F733" s="5">
        <v>100</v>
      </c>
      <c r="G733" s="5">
        <v>100</v>
      </c>
      <c r="H733" s="5">
        <v>100</v>
      </c>
      <c r="I733" s="5">
        <v>100</v>
      </c>
      <c r="J733" s="5">
        <v>0</v>
      </c>
      <c r="K733" s="15" t="s">
        <v>52</v>
      </c>
      <c r="L733" s="6">
        <v>3</v>
      </c>
      <c r="M733" s="6">
        <v>6</v>
      </c>
      <c r="N733" s="6">
        <v>0</v>
      </c>
      <c r="O733" s="5">
        <v>0</v>
      </c>
      <c r="P733" s="5">
        <v>0</v>
      </c>
      <c r="Q733" s="5">
        <v>0</v>
      </c>
      <c r="R733" s="5">
        <v>0</v>
      </c>
      <c r="S733" s="5">
        <v>0</v>
      </c>
      <c r="T733" s="5">
        <v>0</v>
      </c>
      <c r="U733" s="6">
        <v>0</v>
      </c>
      <c r="V733" s="5">
        <v>10</v>
      </c>
      <c r="W733" s="5">
        <v>5</v>
      </c>
      <c r="X733" s="16">
        <v>2000</v>
      </c>
      <c r="Y733" s="16">
        <v>7000</v>
      </c>
      <c r="Z733" s="16">
        <v>14000</v>
      </c>
      <c r="AA733" s="12" t="str">
        <f t="shared" si="127"/>
        <v>0/30</v>
      </c>
      <c r="AB733" s="12" t="str">
        <f t="shared" si="128"/>
        <v>100,100,100,100,100,0</v>
      </c>
      <c r="AC733" s="12">
        <f t="shared" si="129"/>
        <v>1</v>
      </c>
      <c r="AD733" s="12" t="str">
        <f t="shared" si="130"/>
        <v>2000/7000/14000</v>
      </c>
      <c r="AE733" s="12" t="str">
        <f t="shared" si="131"/>
        <v>0/</v>
      </c>
      <c r="AF733" s="12" t="str">
        <f t="shared" si="132"/>
        <v>6/</v>
      </c>
      <c r="AG733" s="12" t="str">
        <f t="shared" si="133"/>
        <v/>
      </c>
      <c r="AH733" s="12" t="str">
        <f t="shared" si="134"/>
        <v/>
      </c>
      <c r="AI733" s="12" t="str">
        <f t="shared" si="135"/>
        <v>10/5</v>
      </c>
    </row>
    <row r="734" spans="1:35" s="8" customFormat="1" ht="21.95" customHeight="1">
      <c r="A734" s="9">
        <v>732</v>
      </c>
      <c r="B734" s="17">
        <v>732</v>
      </c>
      <c r="C734" s="6">
        <v>30</v>
      </c>
      <c r="D734" s="6">
        <v>0</v>
      </c>
      <c r="E734" s="5">
        <v>0</v>
      </c>
      <c r="F734" s="5">
        <v>100</v>
      </c>
      <c r="G734" s="5">
        <v>100</v>
      </c>
      <c r="H734" s="5">
        <v>100</v>
      </c>
      <c r="I734" s="5">
        <v>100</v>
      </c>
      <c r="J734" s="5">
        <v>100</v>
      </c>
      <c r="K734" s="15" t="s">
        <v>52</v>
      </c>
      <c r="L734" s="6">
        <v>3</v>
      </c>
      <c r="M734" s="6">
        <v>0</v>
      </c>
      <c r="N734" s="6">
        <v>6</v>
      </c>
      <c r="O734" s="5">
        <v>0</v>
      </c>
      <c r="P734" s="5">
        <v>0</v>
      </c>
      <c r="Q734" s="5">
        <v>0</v>
      </c>
      <c r="R734" s="5">
        <v>0</v>
      </c>
      <c r="S734" s="5">
        <v>0</v>
      </c>
      <c r="T734" s="5">
        <v>0</v>
      </c>
      <c r="U734" s="6">
        <v>0</v>
      </c>
      <c r="V734" s="5">
        <v>10</v>
      </c>
      <c r="W734" s="5">
        <v>5</v>
      </c>
      <c r="X734" s="16">
        <v>2000</v>
      </c>
      <c r="Y734" s="16">
        <v>7000</v>
      </c>
      <c r="Z734" s="16">
        <v>14000</v>
      </c>
      <c r="AA734" s="12" t="str">
        <f t="shared" si="127"/>
        <v>0/30</v>
      </c>
      <c r="AB734" s="12" t="str">
        <f t="shared" si="128"/>
        <v>0,100,100,100,100,100</v>
      </c>
      <c r="AC734" s="12">
        <f t="shared" si="129"/>
        <v>1</v>
      </c>
      <c r="AD734" s="12" t="str">
        <f t="shared" si="130"/>
        <v>2000/7000/14000</v>
      </c>
      <c r="AE734" s="12" t="str">
        <f t="shared" si="131"/>
        <v>1/</v>
      </c>
      <c r="AF734" s="12" t="str">
        <f t="shared" si="132"/>
        <v>6/</v>
      </c>
      <c r="AG734" s="12" t="str">
        <f t="shared" si="133"/>
        <v/>
      </c>
      <c r="AH734" s="12" t="str">
        <f t="shared" si="134"/>
        <v/>
      </c>
      <c r="AI734" s="12" t="str">
        <f t="shared" si="135"/>
        <v>10/5</v>
      </c>
    </row>
    <row r="735" spans="1:35" s="8" customFormat="1" ht="21.95" customHeight="1">
      <c r="A735" s="9">
        <v>733</v>
      </c>
      <c r="B735" s="17">
        <v>733</v>
      </c>
      <c r="C735" s="6">
        <v>0</v>
      </c>
      <c r="D735" s="6">
        <v>60</v>
      </c>
      <c r="E735" s="5">
        <v>100</v>
      </c>
      <c r="F735" s="5">
        <v>0</v>
      </c>
      <c r="G735" s="5">
        <v>100</v>
      </c>
      <c r="H735" s="5">
        <v>100</v>
      </c>
      <c r="I735" s="5">
        <v>100</v>
      </c>
      <c r="J735" s="5">
        <v>100</v>
      </c>
      <c r="K735" s="15" t="s">
        <v>54</v>
      </c>
      <c r="L735" s="6">
        <v>3</v>
      </c>
      <c r="M735" s="6">
        <v>0</v>
      </c>
      <c r="N735" s="6">
        <v>0</v>
      </c>
      <c r="O735" s="5">
        <v>0</v>
      </c>
      <c r="P735" s="5">
        <v>0</v>
      </c>
      <c r="Q735" s="5">
        <v>0</v>
      </c>
      <c r="R735" s="5">
        <v>0</v>
      </c>
      <c r="S735" s="5">
        <v>0</v>
      </c>
      <c r="T735" s="5">
        <v>0</v>
      </c>
      <c r="U735" s="6">
        <v>0</v>
      </c>
      <c r="V735" s="5">
        <v>10</v>
      </c>
      <c r="W735" s="5">
        <v>5</v>
      </c>
      <c r="X735" s="16">
        <v>2000</v>
      </c>
      <c r="Y735" s="16">
        <v>7000</v>
      </c>
      <c r="Z735" s="16">
        <v>14000</v>
      </c>
      <c r="AA735" s="12" t="str">
        <f t="shared" si="127"/>
        <v>1/60</v>
      </c>
      <c r="AB735" s="12" t="str">
        <f t="shared" si="128"/>
        <v>100,0,100,100,100,100</v>
      </c>
      <c r="AC735" s="12">
        <f t="shared" si="129"/>
        <v>3</v>
      </c>
      <c r="AD735" s="12" t="str">
        <f t="shared" si="130"/>
        <v>2000/7000/14000</v>
      </c>
      <c r="AE735" s="12" t="str">
        <f t="shared" si="131"/>
        <v/>
      </c>
      <c r="AF735" s="12" t="str">
        <f t="shared" si="132"/>
        <v/>
      </c>
      <c r="AG735" s="12" t="str">
        <f t="shared" si="133"/>
        <v/>
      </c>
      <c r="AH735" s="12" t="str">
        <f t="shared" si="134"/>
        <v/>
      </c>
      <c r="AI735" s="12" t="str">
        <f t="shared" si="135"/>
        <v>10/5</v>
      </c>
    </row>
    <row r="736" spans="1:35" s="8" customFormat="1" ht="21.95" customHeight="1">
      <c r="A736" s="9">
        <v>734</v>
      </c>
      <c r="B736" s="17">
        <v>734</v>
      </c>
      <c r="C736" s="6">
        <v>0</v>
      </c>
      <c r="D736" s="6">
        <v>60</v>
      </c>
      <c r="E736" s="5">
        <v>100</v>
      </c>
      <c r="F736" s="5">
        <v>100</v>
      </c>
      <c r="G736" s="5">
        <v>0</v>
      </c>
      <c r="H736" s="5">
        <v>100</v>
      </c>
      <c r="I736" s="5">
        <v>100</v>
      </c>
      <c r="J736" s="5">
        <v>100</v>
      </c>
      <c r="K736" s="15" t="s">
        <v>54</v>
      </c>
      <c r="L736" s="6">
        <v>3</v>
      </c>
      <c r="M736" s="6">
        <v>0</v>
      </c>
      <c r="N736" s="6">
        <v>0</v>
      </c>
      <c r="O736" s="5">
        <v>0</v>
      </c>
      <c r="P736" s="5">
        <v>0</v>
      </c>
      <c r="Q736" s="5">
        <v>0</v>
      </c>
      <c r="R736" s="5">
        <v>0</v>
      </c>
      <c r="S736" s="5">
        <v>0</v>
      </c>
      <c r="T736" s="5">
        <v>0</v>
      </c>
      <c r="U736" s="6">
        <v>0</v>
      </c>
      <c r="V736" s="5">
        <v>10</v>
      </c>
      <c r="W736" s="5">
        <v>5</v>
      </c>
      <c r="X736" s="16">
        <v>2000</v>
      </c>
      <c r="Y736" s="16">
        <v>7000</v>
      </c>
      <c r="Z736" s="16">
        <v>14000</v>
      </c>
      <c r="AA736" s="12" t="str">
        <f t="shared" si="127"/>
        <v>1/60</v>
      </c>
      <c r="AB736" s="12" t="str">
        <f t="shared" si="128"/>
        <v>100,100,0,100,100,100</v>
      </c>
      <c r="AC736" s="12">
        <f t="shared" si="129"/>
        <v>3</v>
      </c>
      <c r="AD736" s="12" t="str">
        <f t="shared" si="130"/>
        <v>2000/7000/14000</v>
      </c>
      <c r="AE736" s="12" t="str">
        <f t="shared" si="131"/>
        <v/>
      </c>
      <c r="AF736" s="12" t="str">
        <f t="shared" si="132"/>
        <v/>
      </c>
      <c r="AG736" s="12" t="str">
        <f t="shared" si="133"/>
        <v/>
      </c>
      <c r="AH736" s="12" t="str">
        <f t="shared" si="134"/>
        <v/>
      </c>
      <c r="AI736" s="12" t="str">
        <f t="shared" si="135"/>
        <v>10/5</v>
      </c>
    </row>
    <row r="737" spans="1:35" s="8" customFormat="1" ht="21.95" customHeight="1">
      <c r="A737" s="9">
        <v>735</v>
      </c>
      <c r="B737" s="17">
        <v>735</v>
      </c>
      <c r="C737" s="6">
        <v>30</v>
      </c>
      <c r="D737" s="6">
        <v>0</v>
      </c>
      <c r="E737" s="5">
        <v>100</v>
      </c>
      <c r="F737" s="5">
        <v>100</v>
      </c>
      <c r="G737" s="5">
        <v>100</v>
      </c>
      <c r="H737" s="5">
        <v>0</v>
      </c>
      <c r="I737" s="5">
        <v>100</v>
      </c>
      <c r="J737" s="5">
        <v>100</v>
      </c>
      <c r="K737" s="15" t="s">
        <v>55</v>
      </c>
      <c r="L737" s="6">
        <v>3</v>
      </c>
      <c r="M737" s="6">
        <v>0</v>
      </c>
      <c r="N737" s="6">
        <v>0</v>
      </c>
      <c r="O737" s="5">
        <v>0</v>
      </c>
      <c r="P737" s="5">
        <v>0</v>
      </c>
      <c r="Q737" s="5">
        <v>0</v>
      </c>
      <c r="R737" s="5">
        <v>0</v>
      </c>
      <c r="S737" s="5">
        <v>0</v>
      </c>
      <c r="T737" s="5">
        <v>0</v>
      </c>
      <c r="U737" s="6">
        <v>5</v>
      </c>
      <c r="V737" s="5">
        <v>10</v>
      </c>
      <c r="W737" s="5">
        <v>5</v>
      </c>
      <c r="X737" s="16">
        <v>2000</v>
      </c>
      <c r="Y737" s="16">
        <v>7000</v>
      </c>
      <c r="Z737" s="16">
        <v>14000</v>
      </c>
      <c r="AA737" s="12" t="str">
        <f t="shared" si="127"/>
        <v>0/30</v>
      </c>
      <c r="AB737" s="12" t="str">
        <f t="shared" si="128"/>
        <v>100,100,100,0,100,100</v>
      </c>
      <c r="AC737" s="12">
        <f t="shared" si="129"/>
        <v>4</v>
      </c>
      <c r="AD737" s="12" t="str">
        <f t="shared" si="130"/>
        <v>2000/7000/14000</v>
      </c>
      <c r="AE737" s="12" t="str">
        <f t="shared" si="131"/>
        <v/>
      </c>
      <c r="AF737" s="12" t="str">
        <f t="shared" si="132"/>
        <v/>
      </c>
      <c r="AG737" s="12" t="str">
        <f t="shared" si="133"/>
        <v/>
      </c>
      <c r="AH737" s="12" t="str">
        <f t="shared" si="134"/>
        <v/>
      </c>
      <c r="AI737" s="12" t="str">
        <f t="shared" si="135"/>
        <v>10/5</v>
      </c>
    </row>
    <row r="738" spans="1:35" s="8" customFormat="1" ht="21.95" customHeight="1">
      <c r="A738" s="9">
        <v>736</v>
      </c>
      <c r="B738" s="17">
        <v>736</v>
      </c>
      <c r="C738" s="6">
        <v>30</v>
      </c>
      <c r="D738" s="6">
        <v>0</v>
      </c>
      <c r="E738" s="5">
        <v>100</v>
      </c>
      <c r="F738" s="5">
        <v>100</v>
      </c>
      <c r="G738" s="5">
        <v>100</v>
      </c>
      <c r="H738" s="5">
        <v>100</v>
      </c>
      <c r="I738" s="5">
        <v>0</v>
      </c>
      <c r="J738" s="5">
        <v>100</v>
      </c>
      <c r="K738" s="15" t="s">
        <v>55</v>
      </c>
      <c r="L738" s="6">
        <v>3</v>
      </c>
      <c r="M738" s="6">
        <v>0</v>
      </c>
      <c r="N738" s="6">
        <v>0</v>
      </c>
      <c r="O738" s="5">
        <v>0</v>
      </c>
      <c r="P738" s="5">
        <v>0</v>
      </c>
      <c r="Q738" s="5">
        <v>0</v>
      </c>
      <c r="R738" s="5">
        <v>0</v>
      </c>
      <c r="S738" s="5">
        <v>0</v>
      </c>
      <c r="T738" s="5">
        <v>0</v>
      </c>
      <c r="U738" s="6">
        <v>5</v>
      </c>
      <c r="V738" s="5">
        <v>10</v>
      </c>
      <c r="W738" s="5">
        <v>5</v>
      </c>
      <c r="X738" s="16">
        <v>2000</v>
      </c>
      <c r="Y738" s="16">
        <v>7000</v>
      </c>
      <c r="Z738" s="16">
        <v>14000</v>
      </c>
      <c r="AA738" s="12" t="str">
        <f t="shared" ref="AA738:AA801" si="136">IF(C738=0,CONCATENATE("1/",D738),CONCATENATE("0/",C738))</f>
        <v>0/30</v>
      </c>
      <c r="AB738" s="12" t="str">
        <f t="shared" ref="AB738:AB801" si="137">CONCATENATE(E738,",",F738,",",G738,",",H738,",",I738,",",J738)</f>
        <v>100,100,100,100,0,100</v>
      </c>
      <c r="AC738" s="12">
        <f t="shared" ref="AC738:AC801" si="138">VLOOKUP(K738,$I$1005:$J$1012,2,FALSE)</f>
        <v>4</v>
      </c>
      <c r="AD738" s="12" t="str">
        <f t="shared" ref="AD738:AD801" si="139">CONCATENATE(X738,"/",Y738,"/",Z738)</f>
        <v>2000/7000/14000</v>
      </c>
      <c r="AE738" s="12" t="str">
        <f t="shared" ref="AE738:AE801" si="140">CONCATENATE(IF(M738=0,"","0/"),IF(N738=0,"","1/"))</f>
        <v/>
      </c>
      <c r="AF738" s="12" t="str">
        <f t="shared" ref="AF738:AF801" si="141">CONCATENATE(IF(M738=0,"",CONCATENATE(M738,"/")),IF(N738=0,"",CONCATENATE(N738,"/")))</f>
        <v/>
      </c>
      <c r="AG738" s="12" t="str">
        <f t="shared" ref="AG738:AG801" si="142">CONCATENATE(IF(O738=0,"","0/"),IF(P738=0,"","1/"),IF(Q738=0,"","2/"),IF(R738=0,"","3/"),IF(S738=0,"","4/"),IF(T738=0,"","5/"))</f>
        <v/>
      </c>
      <c r="AH738" s="12" t="str">
        <f t="shared" ref="AH738:AH801" si="143">CONCATENATE(IF(O738=0,"",CONCATENATE(O738,"/")),IF(P738=0,"",CONCATENATE(P738,"/")),IF(Q738=0,"",CONCATENATE(Q738,"/")),IF(R738=0,"",CONCATENATE(R738,"/")),IF(S738=0,"",CONCATENATE(S738,"/")),IF(T738=0,"",CONCATENATE(T738,"/")))</f>
        <v/>
      </c>
      <c r="AI738" s="12" t="str">
        <f t="shared" ref="AI738:AI801" si="144">CONCATENATE(V738,"/",W738)</f>
        <v>10/5</v>
      </c>
    </row>
    <row r="739" spans="1:35" s="8" customFormat="1" ht="21.95" customHeight="1">
      <c r="A739" s="9">
        <v>737</v>
      </c>
      <c r="B739" s="17">
        <v>737</v>
      </c>
      <c r="C739" s="6">
        <v>30</v>
      </c>
      <c r="D739" s="6">
        <v>0</v>
      </c>
      <c r="E739" s="5">
        <v>100</v>
      </c>
      <c r="F739" s="5">
        <v>100</v>
      </c>
      <c r="G739" s="5">
        <v>100</v>
      </c>
      <c r="H739" s="5">
        <v>100</v>
      </c>
      <c r="I739" s="5">
        <v>100</v>
      </c>
      <c r="J739" s="5">
        <v>0</v>
      </c>
      <c r="K739" s="15" t="s">
        <v>56</v>
      </c>
      <c r="L739" s="6">
        <v>3</v>
      </c>
      <c r="M739" s="6">
        <v>0</v>
      </c>
      <c r="N739" s="6">
        <v>0</v>
      </c>
      <c r="O739" s="5">
        <v>0</v>
      </c>
      <c r="P739" s="5">
        <v>0</v>
      </c>
      <c r="Q739" s="5">
        <v>0</v>
      </c>
      <c r="R739" s="5">
        <v>0</v>
      </c>
      <c r="S739" s="5">
        <v>0</v>
      </c>
      <c r="T739" s="5">
        <v>0</v>
      </c>
      <c r="U739" s="6">
        <v>0</v>
      </c>
      <c r="V739" s="5">
        <v>10</v>
      </c>
      <c r="W739" s="5">
        <v>5</v>
      </c>
      <c r="X739" s="16">
        <v>2000</v>
      </c>
      <c r="Y739" s="16">
        <v>7000</v>
      </c>
      <c r="Z739" s="16">
        <v>14000</v>
      </c>
      <c r="AA739" s="12" t="str">
        <f t="shared" si="136"/>
        <v>0/30</v>
      </c>
      <c r="AB739" s="12" t="str">
        <f t="shared" si="137"/>
        <v>100,100,100,100,100,0</v>
      </c>
      <c r="AC739" s="12">
        <f t="shared" si="138"/>
        <v>5</v>
      </c>
      <c r="AD739" s="12" t="str">
        <f t="shared" si="139"/>
        <v>2000/7000/14000</v>
      </c>
      <c r="AE739" s="12" t="str">
        <f t="shared" si="140"/>
        <v/>
      </c>
      <c r="AF739" s="12" t="str">
        <f t="shared" si="141"/>
        <v/>
      </c>
      <c r="AG739" s="12" t="str">
        <f t="shared" si="142"/>
        <v/>
      </c>
      <c r="AH739" s="12" t="str">
        <f t="shared" si="143"/>
        <v/>
      </c>
      <c r="AI739" s="12" t="str">
        <f t="shared" si="144"/>
        <v>10/5</v>
      </c>
    </row>
    <row r="740" spans="1:35" s="8" customFormat="1" ht="21.95" customHeight="1">
      <c r="A740" s="9">
        <v>738</v>
      </c>
      <c r="B740" s="17">
        <v>738</v>
      </c>
      <c r="C740" s="6">
        <v>30</v>
      </c>
      <c r="D740" s="6">
        <v>0</v>
      </c>
      <c r="E740" s="5">
        <v>0</v>
      </c>
      <c r="F740" s="5">
        <v>100</v>
      </c>
      <c r="G740" s="5">
        <v>100</v>
      </c>
      <c r="H740" s="5">
        <v>100</v>
      </c>
      <c r="I740" s="5">
        <v>100</v>
      </c>
      <c r="J740" s="5">
        <v>100</v>
      </c>
      <c r="K740" s="15" t="s">
        <v>56</v>
      </c>
      <c r="L740" s="6">
        <v>3</v>
      </c>
      <c r="M740" s="6">
        <v>0</v>
      </c>
      <c r="N740" s="6">
        <v>0</v>
      </c>
      <c r="O740" s="5">
        <v>0</v>
      </c>
      <c r="P740" s="5">
        <v>0</v>
      </c>
      <c r="Q740" s="5">
        <v>0</v>
      </c>
      <c r="R740" s="5">
        <v>0</v>
      </c>
      <c r="S740" s="5">
        <v>0</v>
      </c>
      <c r="T740" s="5">
        <v>0</v>
      </c>
      <c r="U740" s="6">
        <v>0</v>
      </c>
      <c r="V740" s="5">
        <v>10</v>
      </c>
      <c r="W740" s="5">
        <v>5</v>
      </c>
      <c r="X740" s="16">
        <v>2000</v>
      </c>
      <c r="Y740" s="16">
        <v>7000</v>
      </c>
      <c r="Z740" s="16">
        <v>14000</v>
      </c>
      <c r="AA740" s="12" t="str">
        <f t="shared" si="136"/>
        <v>0/30</v>
      </c>
      <c r="AB740" s="12" t="str">
        <f t="shared" si="137"/>
        <v>0,100,100,100,100,100</v>
      </c>
      <c r="AC740" s="12">
        <f t="shared" si="138"/>
        <v>5</v>
      </c>
      <c r="AD740" s="12" t="str">
        <f t="shared" si="139"/>
        <v>2000/7000/14000</v>
      </c>
      <c r="AE740" s="12" t="str">
        <f t="shared" si="140"/>
        <v/>
      </c>
      <c r="AF740" s="12" t="str">
        <f t="shared" si="141"/>
        <v/>
      </c>
      <c r="AG740" s="12" t="str">
        <f t="shared" si="142"/>
        <v/>
      </c>
      <c r="AH740" s="12" t="str">
        <f t="shared" si="143"/>
        <v/>
      </c>
      <c r="AI740" s="12" t="str">
        <f t="shared" si="144"/>
        <v>10/5</v>
      </c>
    </row>
    <row r="741" spans="1:35" s="8" customFormat="1" ht="21.95" customHeight="1">
      <c r="A741" s="9">
        <v>739</v>
      </c>
      <c r="B741" s="17">
        <v>739</v>
      </c>
      <c r="C741" s="6">
        <v>30</v>
      </c>
      <c r="D741" s="6">
        <v>0</v>
      </c>
      <c r="E741" s="5">
        <v>100</v>
      </c>
      <c r="F741" s="5">
        <v>0</v>
      </c>
      <c r="G741" s="5">
        <v>100</v>
      </c>
      <c r="H741" s="5">
        <v>100</v>
      </c>
      <c r="I741" s="5">
        <v>100</v>
      </c>
      <c r="J741" s="5">
        <v>100</v>
      </c>
      <c r="K741" s="15" t="s">
        <v>53</v>
      </c>
      <c r="L741" s="6">
        <v>3</v>
      </c>
      <c r="M741" s="6">
        <v>0</v>
      </c>
      <c r="N741" s="6">
        <v>0</v>
      </c>
      <c r="O741" s="5">
        <v>0</v>
      </c>
      <c r="P741" s="5">
        <v>0</v>
      </c>
      <c r="Q741" s="5">
        <v>20</v>
      </c>
      <c r="R741" s="5">
        <v>24</v>
      </c>
      <c r="S741" s="5">
        <v>0</v>
      </c>
      <c r="T741" s="5">
        <v>0</v>
      </c>
      <c r="U741" s="6">
        <v>0</v>
      </c>
      <c r="V741" s="5">
        <v>10</v>
      </c>
      <c r="W741" s="5">
        <v>5</v>
      </c>
      <c r="X741" s="16">
        <v>2000</v>
      </c>
      <c r="Y741" s="16">
        <v>7000</v>
      </c>
      <c r="Z741" s="16">
        <v>14000</v>
      </c>
      <c r="AA741" s="12" t="str">
        <f t="shared" si="136"/>
        <v>0/30</v>
      </c>
      <c r="AB741" s="12" t="str">
        <f t="shared" si="137"/>
        <v>100,0,100,100,100,100</v>
      </c>
      <c r="AC741" s="12">
        <f t="shared" si="138"/>
        <v>2</v>
      </c>
      <c r="AD741" s="12" t="str">
        <f t="shared" si="139"/>
        <v>2000/7000/14000</v>
      </c>
      <c r="AE741" s="12" t="str">
        <f t="shared" si="140"/>
        <v/>
      </c>
      <c r="AF741" s="12" t="str">
        <f t="shared" si="141"/>
        <v/>
      </c>
      <c r="AG741" s="12" t="str">
        <f t="shared" si="142"/>
        <v>2/3/</v>
      </c>
      <c r="AH741" s="12" t="str">
        <f t="shared" si="143"/>
        <v>20/24/</v>
      </c>
      <c r="AI741" s="12" t="str">
        <f t="shared" si="144"/>
        <v>10/5</v>
      </c>
    </row>
    <row r="742" spans="1:35" s="8" customFormat="1" ht="21.95" customHeight="1">
      <c r="A742" s="9">
        <v>740</v>
      </c>
      <c r="B742" s="17">
        <v>740</v>
      </c>
      <c r="C742" s="6">
        <v>30</v>
      </c>
      <c r="D742" s="6">
        <v>0</v>
      </c>
      <c r="E742" s="5">
        <v>100</v>
      </c>
      <c r="F742" s="5">
        <v>100</v>
      </c>
      <c r="G742" s="5">
        <v>0</v>
      </c>
      <c r="H742" s="5">
        <v>100</v>
      </c>
      <c r="I742" s="5">
        <v>100</v>
      </c>
      <c r="J742" s="5">
        <v>100</v>
      </c>
      <c r="K742" s="15" t="s">
        <v>53</v>
      </c>
      <c r="L742" s="6">
        <v>3</v>
      </c>
      <c r="M742" s="6">
        <v>0</v>
      </c>
      <c r="N742" s="6">
        <v>0</v>
      </c>
      <c r="O742" s="5">
        <v>0</v>
      </c>
      <c r="P742" s="5">
        <v>0</v>
      </c>
      <c r="Q742" s="5">
        <v>0</v>
      </c>
      <c r="R742" s="5">
        <v>18</v>
      </c>
      <c r="S742" s="5">
        <v>32</v>
      </c>
      <c r="T742" s="5">
        <v>0</v>
      </c>
      <c r="U742" s="6">
        <v>0</v>
      </c>
      <c r="V742" s="5">
        <v>10</v>
      </c>
      <c r="W742" s="5">
        <v>5</v>
      </c>
      <c r="X742" s="16">
        <v>2000</v>
      </c>
      <c r="Y742" s="16">
        <v>7000</v>
      </c>
      <c r="Z742" s="16">
        <v>14000</v>
      </c>
      <c r="AA742" s="12" t="str">
        <f t="shared" si="136"/>
        <v>0/30</v>
      </c>
      <c r="AB742" s="12" t="str">
        <f t="shared" si="137"/>
        <v>100,100,0,100,100,100</v>
      </c>
      <c r="AC742" s="12">
        <f t="shared" si="138"/>
        <v>2</v>
      </c>
      <c r="AD742" s="12" t="str">
        <f t="shared" si="139"/>
        <v>2000/7000/14000</v>
      </c>
      <c r="AE742" s="12" t="str">
        <f t="shared" si="140"/>
        <v/>
      </c>
      <c r="AF742" s="12" t="str">
        <f t="shared" si="141"/>
        <v/>
      </c>
      <c r="AG742" s="12" t="str">
        <f t="shared" si="142"/>
        <v>3/4/</v>
      </c>
      <c r="AH742" s="12" t="str">
        <f t="shared" si="143"/>
        <v>18/32/</v>
      </c>
      <c r="AI742" s="12" t="str">
        <f t="shared" si="144"/>
        <v>10/5</v>
      </c>
    </row>
    <row r="743" spans="1:35" s="8" customFormat="1" ht="21.95" customHeight="1">
      <c r="A743" s="9">
        <v>741</v>
      </c>
      <c r="B743" s="17">
        <v>741</v>
      </c>
      <c r="C743" s="6">
        <v>0</v>
      </c>
      <c r="D743" s="6">
        <v>60</v>
      </c>
      <c r="E743" s="5">
        <v>100</v>
      </c>
      <c r="F743" s="5">
        <v>100</v>
      </c>
      <c r="G743" s="5">
        <v>100</v>
      </c>
      <c r="H743" s="5">
        <v>0</v>
      </c>
      <c r="I743" s="5">
        <v>100</v>
      </c>
      <c r="J743" s="5">
        <v>100</v>
      </c>
      <c r="K743" s="15" t="s">
        <v>52</v>
      </c>
      <c r="L743" s="6">
        <v>3</v>
      </c>
      <c r="M743" s="6">
        <v>6</v>
      </c>
      <c r="N743" s="6">
        <v>0</v>
      </c>
      <c r="O743" s="5">
        <v>0</v>
      </c>
      <c r="P743" s="5">
        <v>0</v>
      </c>
      <c r="Q743" s="5">
        <v>0</v>
      </c>
      <c r="R743" s="5">
        <v>0</v>
      </c>
      <c r="S743" s="5">
        <v>0</v>
      </c>
      <c r="T743" s="5">
        <v>0</v>
      </c>
      <c r="U743" s="6">
        <v>0</v>
      </c>
      <c r="V743" s="5">
        <v>10</v>
      </c>
      <c r="W743" s="5">
        <v>5</v>
      </c>
      <c r="X743" s="16">
        <v>2000</v>
      </c>
      <c r="Y743" s="16">
        <v>7000</v>
      </c>
      <c r="Z743" s="16">
        <v>14000</v>
      </c>
      <c r="AA743" s="12" t="str">
        <f t="shared" si="136"/>
        <v>1/60</v>
      </c>
      <c r="AB743" s="12" t="str">
        <f t="shared" si="137"/>
        <v>100,100,100,0,100,100</v>
      </c>
      <c r="AC743" s="12">
        <f t="shared" si="138"/>
        <v>1</v>
      </c>
      <c r="AD743" s="12" t="str">
        <f t="shared" si="139"/>
        <v>2000/7000/14000</v>
      </c>
      <c r="AE743" s="12" t="str">
        <f t="shared" si="140"/>
        <v>0/</v>
      </c>
      <c r="AF743" s="12" t="str">
        <f t="shared" si="141"/>
        <v>6/</v>
      </c>
      <c r="AG743" s="12" t="str">
        <f t="shared" si="142"/>
        <v/>
      </c>
      <c r="AH743" s="12" t="str">
        <f t="shared" si="143"/>
        <v/>
      </c>
      <c r="AI743" s="12" t="str">
        <f t="shared" si="144"/>
        <v>10/5</v>
      </c>
    </row>
    <row r="744" spans="1:35" s="8" customFormat="1" ht="21.95" customHeight="1">
      <c r="A744" s="9">
        <v>742</v>
      </c>
      <c r="B744" s="17">
        <v>742</v>
      </c>
      <c r="C744" s="6">
        <v>0</v>
      </c>
      <c r="D744" s="6">
        <v>60</v>
      </c>
      <c r="E744" s="5">
        <v>100</v>
      </c>
      <c r="F744" s="5">
        <v>100</v>
      </c>
      <c r="G744" s="5">
        <v>100</v>
      </c>
      <c r="H744" s="5">
        <v>100</v>
      </c>
      <c r="I744" s="5">
        <v>0</v>
      </c>
      <c r="J744" s="5">
        <v>100</v>
      </c>
      <c r="K744" s="15" t="s">
        <v>52</v>
      </c>
      <c r="L744" s="6">
        <v>3</v>
      </c>
      <c r="M744" s="6">
        <v>2</v>
      </c>
      <c r="N744" s="6">
        <v>4</v>
      </c>
      <c r="O744" s="5">
        <v>0</v>
      </c>
      <c r="P744" s="5">
        <v>0</v>
      </c>
      <c r="Q744" s="5">
        <v>0</v>
      </c>
      <c r="R744" s="5">
        <v>0</v>
      </c>
      <c r="S744" s="5">
        <v>0</v>
      </c>
      <c r="T744" s="5">
        <v>0</v>
      </c>
      <c r="U744" s="6">
        <v>0</v>
      </c>
      <c r="V744" s="5">
        <v>10</v>
      </c>
      <c r="W744" s="5">
        <v>5</v>
      </c>
      <c r="X744" s="16">
        <v>2000</v>
      </c>
      <c r="Y744" s="16">
        <v>7000</v>
      </c>
      <c r="Z744" s="16">
        <v>14000</v>
      </c>
      <c r="AA744" s="12" t="str">
        <f t="shared" si="136"/>
        <v>1/60</v>
      </c>
      <c r="AB744" s="12" t="str">
        <f t="shared" si="137"/>
        <v>100,100,100,100,0,100</v>
      </c>
      <c r="AC744" s="12">
        <f t="shared" si="138"/>
        <v>1</v>
      </c>
      <c r="AD744" s="12" t="str">
        <f t="shared" si="139"/>
        <v>2000/7000/14000</v>
      </c>
      <c r="AE744" s="12" t="str">
        <f t="shared" si="140"/>
        <v>0/1/</v>
      </c>
      <c r="AF744" s="12" t="str">
        <f t="shared" si="141"/>
        <v>2/4/</v>
      </c>
      <c r="AG744" s="12" t="str">
        <f t="shared" si="142"/>
        <v/>
      </c>
      <c r="AH744" s="12" t="str">
        <f t="shared" si="143"/>
        <v/>
      </c>
      <c r="AI744" s="12" t="str">
        <f t="shared" si="144"/>
        <v>10/5</v>
      </c>
    </row>
    <row r="745" spans="1:35" s="8" customFormat="1" ht="21.95" customHeight="1">
      <c r="A745" s="9">
        <v>743</v>
      </c>
      <c r="B745" s="17">
        <v>743</v>
      </c>
      <c r="C745" s="6">
        <v>30</v>
      </c>
      <c r="D745" s="6">
        <v>0</v>
      </c>
      <c r="E745" s="5">
        <v>100</v>
      </c>
      <c r="F745" s="5">
        <v>100</v>
      </c>
      <c r="G745" s="5">
        <v>100</v>
      </c>
      <c r="H745" s="5">
        <v>100</v>
      </c>
      <c r="I745" s="5">
        <v>100</v>
      </c>
      <c r="J745" s="5">
        <v>0</v>
      </c>
      <c r="K745" s="15" t="s">
        <v>54</v>
      </c>
      <c r="L745" s="6">
        <v>3</v>
      </c>
      <c r="M745" s="6">
        <v>0</v>
      </c>
      <c r="N745" s="6">
        <v>0</v>
      </c>
      <c r="O745" s="5">
        <v>0</v>
      </c>
      <c r="P745" s="5">
        <v>0</v>
      </c>
      <c r="Q745" s="5">
        <v>0</v>
      </c>
      <c r="R745" s="5">
        <v>0</v>
      </c>
      <c r="S745" s="5">
        <v>0</v>
      </c>
      <c r="T745" s="5">
        <v>0</v>
      </c>
      <c r="U745" s="6">
        <v>0</v>
      </c>
      <c r="V745" s="5">
        <v>10</v>
      </c>
      <c r="W745" s="5">
        <v>5</v>
      </c>
      <c r="X745" s="16">
        <v>2000</v>
      </c>
      <c r="Y745" s="16">
        <v>7000</v>
      </c>
      <c r="Z745" s="16">
        <v>14000</v>
      </c>
      <c r="AA745" s="12" t="str">
        <f t="shared" si="136"/>
        <v>0/30</v>
      </c>
      <c r="AB745" s="12" t="str">
        <f t="shared" si="137"/>
        <v>100,100,100,100,100,0</v>
      </c>
      <c r="AC745" s="12">
        <f t="shared" si="138"/>
        <v>3</v>
      </c>
      <c r="AD745" s="12" t="str">
        <f t="shared" si="139"/>
        <v>2000/7000/14000</v>
      </c>
      <c r="AE745" s="12" t="str">
        <f t="shared" si="140"/>
        <v/>
      </c>
      <c r="AF745" s="12" t="str">
        <f t="shared" si="141"/>
        <v/>
      </c>
      <c r="AG745" s="12" t="str">
        <f t="shared" si="142"/>
        <v/>
      </c>
      <c r="AH745" s="12" t="str">
        <f t="shared" si="143"/>
        <v/>
      </c>
      <c r="AI745" s="12" t="str">
        <f t="shared" si="144"/>
        <v>10/5</v>
      </c>
    </row>
    <row r="746" spans="1:35" s="8" customFormat="1" ht="21.95" customHeight="1">
      <c r="A746" s="9">
        <v>744</v>
      </c>
      <c r="B746" s="17">
        <v>744</v>
      </c>
      <c r="C746" s="6">
        <v>30</v>
      </c>
      <c r="D746" s="6">
        <v>0</v>
      </c>
      <c r="E746" s="5">
        <v>0</v>
      </c>
      <c r="F746" s="5">
        <v>100</v>
      </c>
      <c r="G746" s="5">
        <v>100</v>
      </c>
      <c r="H746" s="5">
        <v>100</v>
      </c>
      <c r="I746" s="5">
        <v>100</v>
      </c>
      <c r="J746" s="5">
        <v>100</v>
      </c>
      <c r="K746" s="15" t="s">
        <v>54</v>
      </c>
      <c r="L746" s="6">
        <v>3</v>
      </c>
      <c r="M746" s="6">
        <v>0</v>
      </c>
      <c r="N746" s="6">
        <v>0</v>
      </c>
      <c r="O746" s="5">
        <v>0</v>
      </c>
      <c r="P746" s="5">
        <v>0</v>
      </c>
      <c r="Q746" s="5">
        <v>0</v>
      </c>
      <c r="R746" s="5">
        <v>0</v>
      </c>
      <c r="S746" s="5">
        <v>0</v>
      </c>
      <c r="T746" s="5">
        <v>0</v>
      </c>
      <c r="U746" s="6">
        <v>0</v>
      </c>
      <c r="V746" s="5">
        <v>10</v>
      </c>
      <c r="W746" s="5">
        <v>5</v>
      </c>
      <c r="X746" s="16">
        <v>2000</v>
      </c>
      <c r="Y746" s="16">
        <v>7000</v>
      </c>
      <c r="Z746" s="16">
        <v>14000</v>
      </c>
      <c r="AA746" s="12" t="str">
        <f t="shared" si="136"/>
        <v>0/30</v>
      </c>
      <c r="AB746" s="12" t="str">
        <f t="shared" si="137"/>
        <v>0,100,100,100,100,100</v>
      </c>
      <c r="AC746" s="12">
        <f t="shared" si="138"/>
        <v>3</v>
      </c>
      <c r="AD746" s="12" t="str">
        <f t="shared" si="139"/>
        <v>2000/7000/14000</v>
      </c>
      <c r="AE746" s="12" t="str">
        <f t="shared" si="140"/>
        <v/>
      </c>
      <c r="AF746" s="12" t="str">
        <f t="shared" si="141"/>
        <v/>
      </c>
      <c r="AG746" s="12" t="str">
        <f t="shared" si="142"/>
        <v/>
      </c>
      <c r="AH746" s="12" t="str">
        <f t="shared" si="143"/>
        <v/>
      </c>
      <c r="AI746" s="12" t="str">
        <f t="shared" si="144"/>
        <v>10/5</v>
      </c>
    </row>
    <row r="747" spans="1:35" s="8" customFormat="1" ht="21.95" customHeight="1">
      <c r="A747" s="9">
        <v>745</v>
      </c>
      <c r="B747" s="17">
        <v>745</v>
      </c>
      <c r="C747" s="6">
        <v>30</v>
      </c>
      <c r="D747" s="6">
        <v>0</v>
      </c>
      <c r="E747" s="5">
        <v>100</v>
      </c>
      <c r="F747" s="5">
        <v>0</v>
      </c>
      <c r="G747" s="5">
        <v>100</v>
      </c>
      <c r="H747" s="5">
        <v>100</v>
      </c>
      <c r="I747" s="5">
        <v>100</v>
      </c>
      <c r="J747" s="5">
        <v>100</v>
      </c>
      <c r="K747" s="15" t="s">
        <v>55</v>
      </c>
      <c r="L747" s="6">
        <v>3</v>
      </c>
      <c r="M747" s="6">
        <v>0</v>
      </c>
      <c r="N747" s="6">
        <v>0</v>
      </c>
      <c r="O747" s="5">
        <v>0</v>
      </c>
      <c r="P747" s="5">
        <v>0</v>
      </c>
      <c r="Q747" s="5">
        <v>0</v>
      </c>
      <c r="R747" s="5">
        <v>0</v>
      </c>
      <c r="S747" s="5">
        <v>0</v>
      </c>
      <c r="T747" s="5">
        <v>0</v>
      </c>
      <c r="U747" s="6">
        <v>5</v>
      </c>
      <c r="V747" s="5">
        <v>10</v>
      </c>
      <c r="W747" s="5">
        <v>5</v>
      </c>
      <c r="X747" s="16">
        <v>2000</v>
      </c>
      <c r="Y747" s="16">
        <v>7000</v>
      </c>
      <c r="Z747" s="16">
        <v>14000</v>
      </c>
      <c r="AA747" s="12" t="str">
        <f t="shared" si="136"/>
        <v>0/30</v>
      </c>
      <c r="AB747" s="12" t="str">
        <f t="shared" si="137"/>
        <v>100,0,100,100,100,100</v>
      </c>
      <c r="AC747" s="12">
        <f t="shared" si="138"/>
        <v>4</v>
      </c>
      <c r="AD747" s="12" t="str">
        <f t="shared" si="139"/>
        <v>2000/7000/14000</v>
      </c>
      <c r="AE747" s="12" t="str">
        <f t="shared" si="140"/>
        <v/>
      </c>
      <c r="AF747" s="12" t="str">
        <f t="shared" si="141"/>
        <v/>
      </c>
      <c r="AG747" s="12" t="str">
        <f t="shared" si="142"/>
        <v/>
      </c>
      <c r="AH747" s="12" t="str">
        <f t="shared" si="143"/>
        <v/>
      </c>
      <c r="AI747" s="12" t="str">
        <f t="shared" si="144"/>
        <v>10/5</v>
      </c>
    </row>
    <row r="748" spans="1:35" s="8" customFormat="1" ht="21.95" customHeight="1">
      <c r="A748" s="9">
        <v>746</v>
      </c>
      <c r="B748" s="17">
        <v>746</v>
      </c>
      <c r="C748" s="6">
        <v>30</v>
      </c>
      <c r="D748" s="6">
        <v>0</v>
      </c>
      <c r="E748" s="5">
        <v>100</v>
      </c>
      <c r="F748" s="5">
        <v>100</v>
      </c>
      <c r="G748" s="5">
        <v>0</v>
      </c>
      <c r="H748" s="5">
        <v>100</v>
      </c>
      <c r="I748" s="5">
        <v>100</v>
      </c>
      <c r="J748" s="5">
        <v>100</v>
      </c>
      <c r="K748" s="15" t="s">
        <v>55</v>
      </c>
      <c r="L748" s="6">
        <v>3</v>
      </c>
      <c r="M748" s="6">
        <v>0</v>
      </c>
      <c r="N748" s="6">
        <v>0</v>
      </c>
      <c r="O748" s="5">
        <v>0</v>
      </c>
      <c r="P748" s="5">
        <v>0</v>
      </c>
      <c r="Q748" s="5">
        <v>0</v>
      </c>
      <c r="R748" s="5">
        <v>0</v>
      </c>
      <c r="S748" s="5">
        <v>0</v>
      </c>
      <c r="T748" s="5">
        <v>0</v>
      </c>
      <c r="U748" s="6">
        <v>5</v>
      </c>
      <c r="V748" s="5">
        <v>10</v>
      </c>
      <c r="W748" s="5">
        <v>5</v>
      </c>
      <c r="X748" s="16">
        <v>2000</v>
      </c>
      <c r="Y748" s="16">
        <v>7000</v>
      </c>
      <c r="Z748" s="16">
        <v>14000</v>
      </c>
      <c r="AA748" s="12" t="str">
        <f t="shared" si="136"/>
        <v>0/30</v>
      </c>
      <c r="AB748" s="12" t="str">
        <f t="shared" si="137"/>
        <v>100,100,0,100,100,100</v>
      </c>
      <c r="AC748" s="12">
        <f t="shared" si="138"/>
        <v>4</v>
      </c>
      <c r="AD748" s="12" t="str">
        <f t="shared" si="139"/>
        <v>2000/7000/14000</v>
      </c>
      <c r="AE748" s="12" t="str">
        <f t="shared" si="140"/>
        <v/>
      </c>
      <c r="AF748" s="12" t="str">
        <f t="shared" si="141"/>
        <v/>
      </c>
      <c r="AG748" s="12" t="str">
        <f t="shared" si="142"/>
        <v/>
      </c>
      <c r="AH748" s="12" t="str">
        <f t="shared" si="143"/>
        <v/>
      </c>
      <c r="AI748" s="12" t="str">
        <f t="shared" si="144"/>
        <v>10/5</v>
      </c>
    </row>
    <row r="749" spans="1:35" s="8" customFormat="1" ht="21.95" customHeight="1">
      <c r="A749" s="9">
        <v>747</v>
      </c>
      <c r="B749" s="17">
        <v>747</v>
      </c>
      <c r="C749" s="6">
        <v>32</v>
      </c>
      <c r="D749" s="6">
        <v>0</v>
      </c>
      <c r="E749" s="5">
        <v>100</v>
      </c>
      <c r="F749" s="5">
        <v>100</v>
      </c>
      <c r="G749" s="5">
        <v>100</v>
      </c>
      <c r="H749" s="5">
        <v>0</v>
      </c>
      <c r="I749" s="5">
        <v>100</v>
      </c>
      <c r="J749" s="5">
        <v>100</v>
      </c>
      <c r="K749" s="15" t="s">
        <v>51</v>
      </c>
      <c r="L749" s="6">
        <v>3</v>
      </c>
      <c r="M749" s="6">
        <v>0</v>
      </c>
      <c r="N749" s="6">
        <v>0</v>
      </c>
      <c r="O749" s="5">
        <v>0</v>
      </c>
      <c r="P749" s="5">
        <v>0</v>
      </c>
      <c r="Q749" s="5">
        <v>0</v>
      </c>
      <c r="R749" s="5">
        <v>0</v>
      </c>
      <c r="S749" s="5">
        <v>0</v>
      </c>
      <c r="T749" s="5">
        <v>0</v>
      </c>
      <c r="U749" s="6">
        <v>0</v>
      </c>
      <c r="V749" s="5">
        <v>10</v>
      </c>
      <c r="W749" s="5">
        <v>5</v>
      </c>
      <c r="X749" s="16">
        <v>2000</v>
      </c>
      <c r="Y749" s="16">
        <v>7000</v>
      </c>
      <c r="Z749" s="16">
        <v>14000</v>
      </c>
      <c r="AA749" s="12" t="str">
        <f t="shared" si="136"/>
        <v>0/32</v>
      </c>
      <c r="AB749" s="12" t="str">
        <f t="shared" si="137"/>
        <v>100,100,100,0,100,100</v>
      </c>
      <c r="AC749" s="12">
        <f t="shared" si="138"/>
        <v>0</v>
      </c>
      <c r="AD749" s="12" t="str">
        <f t="shared" si="139"/>
        <v>2000/7000/14000</v>
      </c>
      <c r="AE749" s="12" t="str">
        <f t="shared" si="140"/>
        <v/>
      </c>
      <c r="AF749" s="12" t="str">
        <f t="shared" si="141"/>
        <v/>
      </c>
      <c r="AG749" s="12" t="str">
        <f t="shared" si="142"/>
        <v/>
      </c>
      <c r="AH749" s="12" t="str">
        <f t="shared" si="143"/>
        <v/>
      </c>
      <c r="AI749" s="12" t="str">
        <f t="shared" si="144"/>
        <v>10/5</v>
      </c>
    </row>
    <row r="750" spans="1:35" s="8" customFormat="1" ht="21.95" customHeight="1">
      <c r="A750" s="9">
        <v>748</v>
      </c>
      <c r="B750" s="17">
        <v>748</v>
      </c>
      <c r="C750" s="6">
        <v>30</v>
      </c>
      <c r="D750" s="6">
        <v>0</v>
      </c>
      <c r="E750" s="5">
        <v>100</v>
      </c>
      <c r="F750" s="5">
        <v>100</v>
      </c>
      <c r="G750" s="5">
        <v>0</v>
      </c>
      <c r="H750" s="5">
        <v>100</v>
      </c>
      <c r="I750" s="5">
        <v>100</v>
      </c>
      <c r="J750" s="5">
        <v>100</v>
      </c>
      <c r="K750" s="15" t="s">
        <v>56</v>
      </c>
      <c r="L750" s="6">
        <v>3</v>
      </c>
      <c r="M750" s="6">
        <v>0</v>
      </c>
      <c r="N750" s="6">
        <v>0</v>
      </c>
      <c r="O750" s="5">
        <v>0</v>
      </c>
      <c r="P750" s="5">
        <v>0</v>
      </c>
      <c r="Q750" s="5">
        <v>0</v>
      </c>
      <c r="R750" s="5">
        <v>0</v>
      </c>
      <c r="S750" s="5">
        <v>0</v>
      </c>
      <c r="T750" s="5">
        <v>0</v>
      </c>
      <c r="U750" s="6">
        <v>0</v>
      </c>
      <c r="V750" s="5">
        <v>10</v>
      </c>
      <c r="W750" s="5">
        <v>5</v>
      </c>
      <c r="X750" s="16">
        <v>2000</v>
      </c>
      <c r="Y750" s="16">
        <v>7000</v>
      </c>
      <c r="Z750" s="16">
        <v>14000</v>
      </c>
      <c r="AA750" s="12" t="str">
        <f t="shared" si="136"/>
        <v>0/30</v>
      </c>
      <c r="AB750" s="12" t="str">
        <f t="shared" si="137"/>
        <v>100,100,0,100,100,100</v>
      </c>
      <c r="AC750" s="12">
        <f t="shared" si="138"/>
        <v>5</v>
      </c>
      <c r="AD750" s="12" t="str">
        <f t="shared" si="139"/>
        <v>2000/7000/14000</v>
      </c>
      <c r="AE750" s="12" t="str">
        <f t="shared" si="140"/>
        <v/>
      </c>
      <c r="AF750" s="12" t="str">
        <f t="shared" si="141"/>
        <v/>
      </c>
      <c r="AG750" s="12" t="str">
        <f t="shared" si="142"/>
        <v/>
      </c>
      <c r="AH750" s="12" t="str">
        <f t="shared" si="143"/>
        <v/>
      </c>
      <c r="AI750" s="12" t="str">
        <f t="shared" si="144"/>
        <v>10/5</v>
      </c>
    </row>
    <row r="751" spans="1:35" s="8" customFormat="1" ht="21.95" customHeight="1">
      <c r="A751" s="9">
        <v>749</v>
      </c>
      <c r="B751" s="17">
        <v>749</v>
      </c>
      <c r="C751" s="6">
        <v>30</v>
      </c>
      <c r="D751" s="6">
        <v>0</v>
      </c>
      <c r="E751" s="5">
        <v>100</v>
      </c>
      <c r="F751" s="5">
        <v>100</v>
      </c>
      <c r="G751" s="5">
        <v>100</v>
      </c>
      <c r="H751" s="5">
        <v>0</v>
      </c>
      <c r="I751" s="5">
        <v>100</v>
      </c>
      <c r="J751" s="5">
        <v>100</v>
      </c>
      <c r="K751" s="15" t="s">
        <v>53</v>
      </c>
      <c r="L751" s="6">
        <v>3</v>
      </c>
      <c r="M751" s="6">
        <v>0</v>
      </c>
      <c r="N751" s="6">
        <v>0</v>
      </c>
      <c r="O751" s="5">
        <v>0</v>
      </c>
      <c r="P751" s="5">
        <v>0</v>
      </c>
      <c r="Q751" s="5">
        <v>0</v>
      </c>
      <c r="R751" s="5">
        <v>0</v>
      </c>
      <c r="S751" s="5">
        <v>18</v>
      </c>
      <c r="T751" s="5">
        <v>16</v>
      </c>
      <c r="U751" s="6">
        <v>0</v>
      </c>
      <c r="V751" s="5">
        <v>10</v>
      </c>
      <c r="W751" s="5">
        <v>5</v>
      </c>
      <c r="X751" s="16">
        <v>2000</v>
      </c>
      <c r="Y751" s="16">
        <v>7000</v>
      </c>
      <c r="Z751" s="16">
        <v>14000</v>
      </c>
      <c r="AA751" s="12" t="str">
        <f t="shared" si="136"/>
        <v>0/30</v>
      </c>
      <c r="AB751" s="12" t="str">
        <f t="shared" si="137"/>
        <v>100,100,100,0,100,100</v>
      </c>
      <c r="AC751" s="12">
        <f t="shared" si="138"/>
        <v>2</v>
      </c>
      <c r="AD751" s="12" t="str">
        <f t="shared" si="139"/>
        <v>2000/7000/14000</v>
      </c>
      <c r="AE751" s="12" t="str">
        <f t="shared" si="140"/>
        <v/>
      </c>
      <c r="AF751" s="12" t="str">
        <f t="shared" si="141"/>
        <v/>
      </c>
      <c r="AG751" s="12" t="str">
        <f t="shared" si="142"/>
        <v>4/5/</v>
      </c>
      <c r="AH751" s="12" t="str">
        <f t="shared" si="143"/>
        <v>18/16/</v>
      </c>
      <c r="AI751" s="12" t="str">
        <f t="shared" si="144"/>
        <v>10/5</v>
      </c>
    </row>
    <row r="752" spans="1:35" s="8" customFormat="1" ht="21.95" customHeight="1">
      <c r="A752" s="9">
        <v>750</v>
      </c>
      <c r="B752" s="17">
        <v>750</v>
      </c>
      <c r="C752" s="6">
        <v>30</v>
      </c>
      <c r="D752" s="6">
        <v>0</v>
      </c>
      <c r="E752" s="5">
        <v>100</v>
      </c>
      <c r="F752" s="5">
        <v>100</v>
      </c>
      <c r="G752" s="5">
        <v>100</v>
      </c>
      <c r="H752" s="5">
        <v>100</v>
      </c>
      <c r="I752" s="5">
        <v>0</v>
      </c>
      <c r="J752" s="5">
        <v>100</v>
      </c>
      <c r="K752" s="15" t="s">
        <v>53</v>
      </c>
      <c r="L752" s="6">
        <v>3</v>
      </c>
      <c r="M752" s="6">
        <v>0</v>
      </c>
      <c r="N752" s="6">
        <v>0</v>
      </c>
      <c r="O752" s="5">
        <v>16</v>
      </c>
      <c r="P752" s="5">
        <v>0</v>
      </c>
      <c r="Q752" s="5">
        <v>0</v>
      </c>
      <c r="R752" s="5">
        <v>0</v>
      </c>
      <c r="S752" s="5">
        <v>0</v>
      </c>
      <c r="T752" s="5">
        <v>18</v>
      </c>
      <c r="U752" s="6">
        <v>0</v>
      </c>
      <c r="V752" s="5">
        <v>10</v>
      </c>
      <c r="W752" s="5">
        <v>5</v>
      </c>
      <c r="X752" s="16">
        <v>2000</v>
      </c>
      <c r="Y752" s="16">
        <v>7000</v>
      </c>
      <c r="Z752" s="16">
        <v>14000</v>
      </c>
      <c r="AA752" s="12" t="str">
        <f t="shared" si="136"/>
        <v>0/30</v>
      </c>
      <c r="AB752" s="12" t="str">
        <f t="shared" si="137"/>
        <v>100,100,100,100,0,100</v>
      </c>
      <c r="AC752" s="12">
        <f t="shared" si="138"/>
        <v>2</v>
      </c>
      <c r="AD752" s="12" t="str">
        <f t="shared" si="139"/>
        <v>2000/7000/14000</v>
      </c>
      <c r="AE752" s="12" t="str">
        <f t="shared" si="140"/>
        <v/>
      </c>
      <c r="AF752" s="12" t="str">
        <f t="shared" si="141"/>
        <v/>
      </c>
      <c r="AG752" s="12" t="str">
        <f t="shared" si="142"/>
        <v>0/5/</v>
      </c>
      <c r="AH752" s="12" t="str">
        <f t="shared" si="143"/>
        <v>16/18/</v>
      </c>
      <c r="AI752" s="12" t="str">
        <f t="shared" si="144"/>
        <v>10/5</v>
      </c>
    </row>
    <row r="753" spans="1:35" s="8" customFormat="1" ht="21.95" customHeight="1">
      <c r="A753" s="9">
        <v>751</v>
      </c>
      <c r="B753" s="17">
        <v>751</v>
      </c>
      <c r="C753" s="6">
        <v>30</v>
      </c>
      <c r="D753" s="6">
        <v>0</v>
      </c>
      <c r="E753" s="5">
        <v>100</v>
      </c>
      <c r="F753" s="5">
        <v>100</v>
      </c>
      <c r="G753" s="5">
        <v>100</v>
      </c>
      <c r="H753" s="5">
        <v>100</v>
      </c>
      <c r="I753" s="5">
        <v>100</v>
      </c>
      <c r="J753" s="5">
        <v>0</v>
      </c>
      <c r="K753" s="15" t="s">
        <v>52</v>
      </c>
      <c r="L753" s="6">
        <v>3</v>
      </c>
      <c r="M753" s="6">
        <v>6</v>
      </c>
      <c r="N753" s="6">
        <v>0</v>
      </c>
      <c r="O753" s="5">
        <v>0</v>
      </c>
      <c r="P753" s="5">
        <v>0</v>
      </c>
      <c r="Q753" s="5">
        <v>0</v>
      </c>
      <c r="R753" s="5">
        <v>0</v>
      </c>
      <c r="S753" s="5">
        <v>0</v>
      </c>
      <c r="T753" s="5">
        <v>0</v>
      </c>
      <c r="U753" s="6">
        <v>0</v>
      </c>
      <c r="V753" s="5">
        <v>10</v>
      </c>
      <c r="W753" s="5">
        <v>5</v>
      </c>
      <c r="X753" s="16">
        <v>2000</v>
      </c>
      <c r="Y753" s="16">
        <v>7000</v>
      </c>
      <c r="Z753" s="16">
        <v>14000</v>
      </c>
      <c r="AA753" s="12" t="str">
        <f t="shared" si="136"/>
        <v>0/30</v>
      </c>
      <c r="AB753" s="12" t="str">
        <f t="shared" si="137"/>
        <v>100,100,100,100,100,0</v>
      </c>
      <c r="AC753" s="12">
        <f t="shared" si="138"/>
        <v>1</v>
      </c>
      <c r="AD753" s="12" t="str">
        <f t="shared" si="139"/>
        <v>2000/7000/14000</v>
      </c>
      <c r="AE753" s="12" t="str">
        <f t="shared" si="140"/>
        <v>0/</v>
      </c>
      <c r="AF753" s="12" t="str">
        <f t="shared" si="141"/>
        <v>6/</v>
      </c>
      <c r="AG753" s="12" t="str">
        <f t="shared" si="142"/>
        <v/>
      </c>
      <c r="AH753" s="12" t="str">
        <f t="shared" si="143"/>
        <v/>
      </c>
      <c r="AI753" s="12" t="str">
        <f t="shared" si="144"/>
        <v>10/5</v>
      </c>
    </row>
    <row r="754" spans="1:35" s="8" customFormat="1" ht="21.95" customHeight="1">
      <c r="A754" s="9">
        <v>752</v>
      </c>
      <c r="B754" s="17">
        <v>752</v>
      </c>
      <c r="C754" s="6">
        <v>30</v>
      </c>
      <c r="D754" s="6">
        <v>0</v>
      </c>
      <c r="E754" s="5">
        <v>0</v>
      </c>
      <c r="F754" s="5">
        <v>100</v>
      </c>
      <c r="G754" s="5">
        <v>100</v>
      </c>
      <c r="H754" s="5">
        <v>100</v>
      </c>
      <c r="I754" s="5">
        <v>100</v>
      </c>
      <c r="J754" s="5">
        <v>100</v>
      </c>
      <c r="K754" s="15" t="s">
        <v>52</v>
      </c>
      <c r="L754" s="6">
        <v>3</v>
      </c>
      <c r="M754" s="6">
        <v>0</v>
      </c>
      <c r="N754" s="6">
        <v>6</v>
      </c>
      <c r="O754" s="5">
        <v>0</v>
      </c>
      <c r="P754" s="5">
        <v>0</v>
      </c>
      <c r="Q754" s="5">
        <v>0</v>
      </c>
      <c r="R754" s="5">
        <v>0</v>
      </c>
      <c r="S754" s="5">
        <v>0</v>
      </c>
      <c r="T754" s="5">
        <v>0</v>
      </c>
      <c r="U754" s="6">
        <v>0</v>
      </c>
      <c r="V754" s="5">
        <v>10</v>
      </c>
      <c r="W754" s="5">
        <v>5</v>
      </c>
      <c r="X754" s="16">
        <v>2000</v>
      </c>
      <c r="Y754" s="16">
        <v>7000</v>
      </c>
      <c r="Z754" s="16">
        <v>14000</v>
      </c>
      <c r="AA754" s="12" t="str">
        <f t="shared" si="136"/>
        <v>0/30</v>
      </c>
      <c r="AB754" s="12" t="str">
        <f t="shared" si="137"/>
        <v>0,100,100,100,100,100</v>
      </c>
      <c r="AC754" s="12">
        <f t="shared" si="138"/>
        <v>1</v>
      </c>
      <c r="AD754" s="12" t="str">
        <f t="shared" si="139"/>
        <v>2000/7000/14000</v>
      </c>
      <c r="AE754" s="12" t="str">
        <f t="shared" si="140"/>
        <v>1/</v>
      </c>
      <c r="AF754" s="12" t="str">
        <f t="shared" si="141"/>
        <v>6/</v>
      </c>
      <c r="AG754" s="12" t="str">
        <f t="shared" si="142"/>
        <v/>
      </c>
      <c r="AH754" s="12" t="str">
        <f t="shared" si="143"/>
        <v/>
      </c>
      <c r="AI754" s="12" t="str">
        <f t="shared" si="144"/>
        <v>10/5</v>
      </c>
    </row>
    <row r="755" spans="1:35" s="8" customFormat="1" ht="21.95" customHeight="1">
      <c r="A755" s="9">
        <v>753</v>
      </c>
      <c r="B755" s="17">
        <v>753</v>
      </c>
      <c r="C755" s="6">
        <v>0</v>
      </c>
      <c r="D755" s="6">
        <v>60</v>
      </c>
      <c r="E755" s="5">
        <v>100</v>
      </c>
      <c r="F755" s="5">
        <v>0</v>
      </c>
      <c r="G755" s="5">
        <v>100</v>
      </c>
      <c r="H755" s="5">
        <v>100</v>
      </c>
      <c r="I755" s="5">
        <v>100</v>
      </c>
      <c r="J755" s="5">
        <v>100</v>
      </c>
      <c r="K755" s="15" t="s">
        <v>54</v>
      </c>
      <c r="L755" s="6">
        <v>3</v>
      </c>
      <c r="M755" s="6">
        <v>0</v>
      </c>
      <c r="N755" s="6">
        <v>0</v>
      </c>
      <c r="O755" s="5">
        <v>0</v>
      </c>
      <c r="P755" s="5">
        <v>0</v>
      </c>
      <c r="Q755" s="5">
        <v>0</v>
      </c>
      <c r="R755" s="5">
        <v>0</v>
      </c>
      <c r="S755" s="5">
        <v>0</v>
      </c>
      <c r="T755" s="5">
        <v>0</v>
      </c>
      <c r="U755" s="6">
        <v>0</v>
      </c>
      <c r="V755" s="5">
        <v>10</v>
      </c>
      <c r="W755" s="5">
        <v>5</v>
      </c>
      <c r="X755" s="16">
        <v>2000</v>
      </c>
      <c r="Y755" s="16">
        <v>7000</v>
      </c>
      <c r="Z755" s="16">
        <v>14000</v>
      </c>
      <c r="AA755" s="12" t="str">
        <f t="shared" si="136"/>
        <v>1/60</v>
      </c>
      <c r="AB755" s="12" t="str">
        <f t="shared" si="137"/>
        <v>100,0,100,100,100,100</v>
      </c>
      <c r="AC755" s="12">
        <f t="shared" si="138"/>
        <v>3</v>
      </c>
      <c r="AD755" s="12" t="str">
        <f t="shared" si="139"/>
        <v>2000/7000/14000</v>
      </c>
      <c r="AE755" s="12" t="str">
        <f t="shared" si="140"/>
        <v/>
      </c>
      <c r="AF755" s="12" t="str">
        <f t="shared" si="141"/>
        <v/>
      </c>
      <c r="AG755" s="12" t="str">
        <f t="shared" si="142"/>
        <v/>
      </c>
      <c r="AH755" s="12" t="str">
        <f t="shared" si="143"/>
        <v/>
      </c>
      <c r="AI755" s="12" t="str">
        <f t="shared" si="144"/>
        <v>10/5</v>
      </c>
    </row>
    <row r="756" spans="1:35" s="8" customFormat="1" ht="21.95" customHeight="1">
      <c r="A756" s="9">
        <v>754</v>
      </c>
      <c r="B756" s="17">
        <v>754</v>
      </c>
      <c r="C756" s="6">
        <v>0</v>
      </c>
      <c r="D756" s="6">
        <v>60</v>
      </c>
      <c r="E756" s="5">
        <v>100</v>
      </c>
      <c r="F756" s="5">
        <v>100</v>
      </c>
      <c r="G756" s="5">
        <v>0</v>
      </c>
      <c r="H756" s="5">
        <v>100</v>
      </c>
      <c r="I756" s="5">
        <v>100</v>
      </c>
      <c r="J756" s="5">
        <v>100</v>
      </c>
      <c r="K756" s="15" t="s">
        <v>54</v>
      </c>
      <c r="L756" s="6">
        <v>3</v>
      </c>
      <c r="M756" s="6">
        <v>0</v>
      </c>
      <c r="N756" s="6">
        <v>0</v>
      </c>
      <c r="O756" s="5">
        <v>0</v>
      </c>
      <c r="P756" s="5">
        <v>0</v>
      </c>
      <c r="Q756" s="5">
        <v>0</v>
      </c>
      <c r="R756" s="5">
        <v>0</v>
      </c>
      <c r="S756" s="5">
        <v>0</v>
      </c>
      <c r="T756" s="5">
        <v>0</v>
      </c>
      <c r="U756" s="6">
        <v>0</v>
      </c>
      <c r="V756" s="5">
        <v>10</v>
      </c>
      <c r="W756" s="5">
        <v>5</v>
      </c>
      <c r="X756" s="16">
        <v>2000</v>
      </c>
      <c r="Y756" s="16">
        <v>7000</v>
      </c>
      <c r="Z756" s="16">
        <v>14000</v>
      </c>
      <c r="AA756" s="12" t="str">
        <f t="shared" si="136"/>
        <v>1/60</v>
      </c>
      <c r="AB756" s="12" t="str">
        <f t="shared" si="137"/>
        <v>100,100,0,100,100,100</v>
      </c>
      <c r="AC756" s="12">
        <f t="shared" si="138"/>
        <v>3</v>
      </c>
      <c r="AD756" s="12" t="str">
        <f t="shared" si="139"/>
        <v>2000/7000/14000</v>
      </c>
      <c r="AE756" s="12" t="str">
        <f t="shared" si="140"/>
        <v/>
      </c>
      <c r="AF756" s="12" t="str">
        <f t="shared" si="141"/>
        <v/>
      </c>
      <c r="AG756" s="12" t="str">
        <f t="shared" si="142"/>
        <v/>
      </c>
      <c r="AH756" s="12" t="str">
        <f t="shared" si="143"/>
        <v/>
      </c>
      <c r="AI756" s="12" t="str">
        <f t="shared" si="144"/>
        <v>10/5</v>
      </c>
    </row>
    <row r="757" spans="1:35" s="8" customFormat="1" ht="21.95" customHeight="1">
      <c r="A757" s="9">
        <v>755</v>
      </c>
      <c r="B757" s="17">
        <v>755</v>
      </c>
      <c r="C757" s="6">
        <v>30</v>
      </c>
      <c r="D757" s="6">
        <v>0</v>
      </c>
      <c r="E757" s="5">
        <v>100</v>
      </c>
      <c r="F757" s="5">
        <v>100</v>
      </c>
      <c r="G757" s="5">
        <v>100</v>
      </c>
      <c r="H757" s="5">
        <v>0</v>
      </c>
      <c r="I757" s="5">
        <v>100</v>
      </c>
      <c r="J757" s="5">
        <v>100</v>
      </c>
      <c r="K757" s="15" t="s">
        <v>55</v>
      </c>
      <c r="L757" s="6">
        <v>3</v>
      </c>
      <c r="M757" s="6">
        <v>0</v>
      </c>
      <c r="N757" s="6">
        <v>0</v>
      </c>
      <c r="O757" s="5">
        <v>0</v>
      </c>
      <c r="P757" s="5">
        <v>0</v>
      </c>
      <c r="Q757" s="5">
        <v>0</v>
      </c>
      <c r="R757" s="5">
        <v>0</v>
      </c>
      <c r="S757" s="5">
        <v>0</v>
      </c>
      <c r="T757" s="5">
        <v>0</v>
      </c>
      <c r="U757" s="6">
        <v>5</v>
      </c>
      <c r="V757" s="5">
        <v>10</v>
      </c>
      <c r="W757" s="5">
        <v>5</v>
      </c>
      <c r="X757" s="16">
        <v>2000</v>
      </c>
      <c r="Y757" s="16">
        <v>7000</v>
      </c>
      <c r="Z757" s="16">
        <v>14000</v>
      </c>
      <c r="AA757" s="12" t="str">
        <f t="shared" si="136"/>
        <v>0/30</v>
      </c>
      <c r="AB757" s="12" t="str">
        <f t="shared" si="137"/>
        <v>100,100,100,0,100,100</v>
      </c>
      <c r="AC757" s="12">
        <f t="shared" si="138"/>
        <v>4</v>
      </c>
      <c r="AD757" s="12" t="str">
        <f t="shared" si="139"/>
        <v>2000/7000/14000</v>
      </c>
      <c r="AE757" s="12" t="str">
        <f t="shared" si="140"/>
        <v/>
      </c>
      <c r="AF757" s="12" t="str">
        <f t="shared" si="141"/>
        <v/>
      </c>
      <c r="AG757" s="12" t="str">
        <f t="shared" si="142"/>
        <v/>
      </c>
      <c r="AH757" s="12" t="str">
        <f t="shared" si="143"/>
        <v/>
      </c>
      <c r="AI757" s="12" t="str">
        <f t="shared" si="144"/>
        <v>10/5</v>
      </c>
    </row>
    <row r="758" spans="1:35" s="8" customFormat="1" ht="21.95" customHeight="1">
      <c r="A758" s="9">
        <v>756</v>
      </c>
      <c r="B758" s="17">
        <v>756</v>
      </c>
      <c r="C758" s="6">
        <v>30</v>
      </c>
      <c r="D758" s="6">
        <v>0</v>
      </c>
      <c r="E758" s="5">
        <v>100</v>
      </c>
      <c r="F758" s="5">
        <v>100</v>
      </c>
      <c r="G758" s="5">
        <v>100</v>
      </c>
      <c r="H758" s="5">
        <v>100</v>
      </c>
      <c r="I758" s="5">
        <v>0</v>
      </c>
      <c r="J758" s="5">
        <v>100</v>
      </c>
      <c r="K758" s="15" t="s">
        <v>55</v>
      </c>
      <c r="L758" s="6">
        <v>3</v>
      </c>
      <c r="M758" s="6">
        <v>0</v>
      </c>
      <c r="N758" s="6">
        <v>0</v>
      </c>
      <c r="O758" s="5">
        <v>0</v>
      </c>
      <c r="P758" s="5">
        <v>0</v>
      </c>
      <c r="Q758" s="5">
        <v>0</v>
      </c>
      <c r="R758" s="5">
        <v>0</v>
      </c>
      <c r="S758" s="5">
        <v>0</v>
      </c>
      <c r="T758" s="5">
        <v>0</v>
      </c>
      <c r="U758" s="6">
        <v>5</v>
      </c>
      <c r="V758" s="5">
        <v>10</v>
      </c>
      <c r="W758" s="5">
        <v>5</v>
      </c>
      <c r="X758" s="16">
        <v>2000</v>
      </c>
      <c r="Y758" s="16">
        <v>7000</v>
      </c>
      <c r="Z758" s="16">
        <v>14000</v>
      </c>
      <c r="AA758" s="12" t="str">
        <f t="shared" si="136"/>
        <v>0/30</v>
      </c>
      <c r="AB758" s="12" t="str">
        <f t="shared" si="137"/>
        <v>100,100,100,100,0,100</v>
      </c>
      <c r="AC758" s="12">
        <f t="shared" si="138"/>
        <v>4</v>
      </c>
      <c r="AD758" s="12" t="str">
        <f t="shared" si="139"/>
        <v>2000/7000/14000</v>
      </c>
      <c r="AE758" s="12" t="str">
        <f t="shared" si="140"/>
        <v/>
      </c>
      <c r="AF758" s="12" t="str">
        <f t="shared" si="141"/>
        <v/>
      </c>
      <c r="AG758" s="12" t="str">
        <f t="shared" si="142"/>
        <v/>
      </c>
      <c r="AH758" s="12" t="str">
        <f t="shared" si="143"/>
        <v/>
      </c>
      <c r="AI758" s="12" t="str">
        <f t="shared" si="144"/>
        <v>10/5</v>
      </c>
    </row>
    <row r="759" spans="1:35" s="8" customFormat="1" ht="21.95" customHeight="1">
      <c r="A759" s="9">
        <v>757</v>
      </c>
      <c r="B759" s="17">
        <v>757</v>
      </c>
      <c r="C759" s="6">
        <v>30</v>
      </c>
      <c r="D759" s="6">
        <v>0</v>
      </c>
      <c r="E759" s="5">
        <v>100</v>
      </c>
      <c r="F759" s="5">
        <v>100</v>
      </c>
      <c r="G759" s="5">
        <v>100</v>
      </c>
      <c r="H759" s="5">
        <v>100</v>
      </c>
      <c r="I759" s="5">
        <v>100</v>
      </c>
      <c r="J759" s="5">
        <v>0</v>
      </c>
      <c r="K759" s="15" t="s">
        <v>56</v>
      </c>
      <c r="L759" s="6">
        <v>3</v>
      </c>
      <c r="M759" s="6">
        <v>0</v>
      </c>
      <c r="N759" s="6">
        <v>0</v>
      </c>
      <c r="O759" s="5">
        <v>0</v>
      </c>
      <c r="P759" s="5">
        <v>0</v>
      </c>
      <c r="Q759" s="5">
        <v>0</v>
      </c>
      <c r="R759" s="5">
        <v>0</v>
      </c>
      <c r="S759" s="5">
        <v>0</v>
      </c>
      <c r="T759" s="5">
        <v>0</v>
      </c>
      <c r="U759" s="6">
        <v>0</v>
      </c>
      <c r="V759" s="5">
        <v>10</v>
      </c>
      <c r="W759" s="5">
        <v>5</v>
      </c>
      <c r="X759" s="16">
        <v>2000</v>
      </c>
      <c r="Y759" s="16">
        <v>7000</v>
      </c>
      <c r="Z759" s="16">
        <v>14000</v>
      </c>
      <c r="AA759" s="12" t="str">
        <f t="shared" si="136"/>
        <v>0/30</v>
      </c>
      <c r="AB759" s="12" t="str">
        <f t="shared" si="137"/>
        <v>100,100,100,100,100,0</v>
      </c>
      <c r="AC759" s="12">
        <f t="shared" si="138"/>
        <v>5</v>
      </c>
      <c r="AD759" s="12" t="str">
        <f t="shared" si="139"/>
        <v>2000/7000/14000</v>
      </c>
      <c r="AE759" s="12" t="str">
        <f t="shared" si="140"/>
        <v/>
      </c>
      <c r="AF759" s="12" t="str">
        <f t="shared" si="141"/>
        <v/>
      </c>
      <c r="AG759" s="12" t="str">
        <f t="shared" si="142"/>
        <v/>
      </c>
      <c r="AH759" s="12" t="str">
        <f t="shared" si="143"/>
        <v/>
      </c>
      <c r="AI759" s="12" t="str">
        <f t="shared" si="144"/>
        <v>10/5</v>
      </c>
    </row>
    <row r="760" spans="1:35" s="8" customFormat="1" ht="21.95" customHeight="1">
      <c r="A760" s="9">
        <v>758</v>
      </c>
      <c r="B760" s="17">
        <v>758</v>
      </c>
      <c r="C760" s="6">
        <v>0</v>
      </c>
      <c r="D760" s="6">
        <v>60</v>
      </c>
      <c r="E760" s="5">
        <v>0</v>
      </c>
      <c r="F760" s="5">
        <v>100</v>
      </c>
      <c r="G760" s="5">
        <v>100</v>
      </c>
      <c r="H760" s="5">
        <v>100</v>
      </c>
      <c r="I760" s="5">
        <v>100</v>
      </c>
      <c r="J760" s="5">
        <v>100</v>
      </c>
      <c r="K760" s="15" t="s">
        <v>56</v>
      </c>
      <c r="L760" s="6">
        <v>3</v>
      </c>
      <c r="M760" s="6">
        <v>0</v>
      </c>
      <c r="N760" s="6">
        <v>0</v>
      </c>
      <c r="O760" s="5">
        <v>0</v>
      </c>
      <c r="P760" s="5">
        <v>0</v>
      </c>
      <c r="Q760" s="5">
        <v>0</v>
      </c>
      <c r="R760" s="5">
        <v>0</v>
      </c>
      <c r="S760" s="5">
        <v>0</v>
      </c>
      <c r="T760" s="5">
        <v>0</v>
      </c>
      <c r="U760" s="6">
        <v>0</v>
      </c>
      <c r="V760" s="5">
        <v>10</v>
      </c>
      <c r="W760" s="5">
        <v>5</v>
      </c>
      <c r="X760" s="16">
        <v>2000</v>
      </c>
      <c r="Y760" s="16">
        <v>7000</v>
      </c>
      <c r="Z760" s="16">
        <v>14000</v>
      </c>
      <c r="AA760" s="12" t="str">
        <f t="shared" si="136"/>
        <v>1/60</v>
      </c>
      <c r="AB760" s="12" t="str">
        <f t="shared" si="137"/>
        <v>0,100,100,100,100,100</v>
      </c>
      <c r="AC760" s="12">
        <f t="shared" si="138"/>
        <v>5</v>
      </c>
      <c r="AD760" s="12" t="str">
        <f t="shared" si="139"/>
        <v>2000/7000/14000</v>
      </c>
      <c r="AE760" s="12" t="str">
        <f t="shared" si="140"/>
        <v/>
      </c>
      <c r="AF760" s="12" t="str">
        <f t="shared" si="141"/>
        <v/>
      </c>
      <c r="AG760" s="12" t="str">
        <f t="shared" si="142"/>
        <v/>
      </c>
      <c r="AH760" s="12" t="str">
        <f t="shared" si="143"/>
        <v/>
      </c>
      <c r="AI760" s="12" t="str">
        <f t="shared" si="144"/>
        <v>10/5</v>
      </c>
    </row>
    <row r="761" spans="1:35" s="8" customFormat="1" ht="21.95" customHeight="1">
      <c r="A761" s="9">
        <v>759</v>
      </c>
      <c r="B761" s="17">
        <v>759</v>
      </c>
      <c r="C761" s="6">
        <v>30</v>
      </c>
      <c r="D761" s="6">
        <v>0</v>
      </c>
      <c r="E761" s="5">
        <v>100</v>
      </c>
      <c r="F761" s="5">
        <v>0</v>
      </c>
      <c r="G761" s="5">
        <v>100</v>
      </c>
      <c r="H761" s="5">
        <v>100</v>
      </c>
      <c r="I761" s="5">
        <v>100</v>
      </c>
      <c r="J761" s="5">
        <v>100</v>
      </c>
      <c r="K761" s="15" t="s">
        <v>53</v>
      </c>
      <c r="L761" s="6">
        <v>3</v>
      </c>
      <c r="M761" s="6">
        <v>0</v>
      </c>
      <c r="N761" s="6">
        <v>0</v>
      </c>
      <c r="O761" s="5">
        <v>0</v>
      </c>
      <c r="P761" s="5">
        <v>0</v>
      </c>
      <c r="Q761" s="5">
        <v>20</v>
      </c>
      <c r="R761" s="5">
        <v>24</v>
      </c>
      <c r="S761" s="5">
        <v>0</v>
      </c>
      <c r="T761" s="5">
        <v>0</v>
      </c>
      <c r="U761" s="6">
        <v>0</v>
      </c>
      <c r="V761" s="5">
        <v>10</v>
      </c>
      <c r="W761" s="5">
        <v>5</v>
      </c>
      <c r="X761" s="16">
        <v>2000</v>
      </c>
      <c r="Y761" s="16">
        <v>7000</v>
      </c>
      <c r="Z761" s="16">
        <v>14000</v>
      </c>
      <c r="AA761" s="12" t="str">
        <f t="shared" si="136"/>
        <v>0/30</v>
      </c>
      <c r="AB761" s="12" t="str">
        <f t="shared" si="137"/>
        <v>100,0,100,100,100,100</v>
      </c>
      <c r="AC761" s="12">
        <f t="shared" si="138"/>
        <v>2</v>
      </c>
      <c r="AD761" s="12" t="str">
        <f t="shared" si="139"/>
        <v>2000/7000/14000</v>
      </c>
      <c r="AE761" s="12" t="str">
        <f t="shared" si="140"/>
        <v/>
      </c>
      <c r="AF761" s="12" t="str">
        <f t="shared" si="141"/>
        <v/>
      </c>
      <c r="AG761" s="12" t="str">
        <f t="shared" si="142"/>
        <v>2/3/</v>
      </c>
      <c r="AH761" s="12" t="str">
        <f t="shared" si="143"/>
        <v>20/24/</v>
      </c>
      <c r="AI761" s="12" t="str">
        <f t="shared" si="144"/>
        <v>10/5</v>
      </c>
    </row>
    <row r="762" spans="1:35" s="8" customFormat="1" ht="21.95" customHeight="1">
      <c r="A762" s="9">
        <v>760</v>
      </c>
      <c r="B762" s="17">
        <v>760</v>
      </c>
      <c r="C762" s="6">
        <v>30</v>
      </c>
      <c r="D762" s="6">
        <v>0</v>
      </c>
      <c r="E762" s="5">
        <v>100</v>
      </c>
      <c r="F762" s="5">
        <v>100</v>
      </c>
      <c r="G762" s="5">
        <v>0</v>
      </c>
      <c r="H762" s="5">
        <v>100</v>
      </c>
      <c r="I762" s="5">
        <v>100</v>
      </c>
      <c r="J762" s="5">
        <v>100</v>
      </c>
      <c r="K762" s="15" t="s">
        <v>53</v>
      </c>
      <c r="L762" s="6">
        <v>3</v>
      </c>
      <c r="M762" s="6">
        <v>0</v>
      </c>
      <c r="N762" s="6">
        <v>0</v>
      </c>
      <c r="O762" s="5">
        <v>0</v>
      </c>
      <c r="P762" s="5">
        <v>0</v>
      </c>
      <c r="Q762" s="5">
        <v>0</v>
      </c>
      <c r="R762" s="5">
        <v>18</v>
      </c>
      <c r="S762" s="5">
        <v>32</v>
      </c>
      <c r="T762" s="5">
        <v>0</v>
      </c>
      <c r="U762" s="6">
        <v>0</v>
      </c>
      <c r="V762" s="5">
        <v>10</v>
      </c>
      <c r="W762" s="5">
        <v>5</v>
      </c>
      <c r="X762" s="16">
        <v>2000</v>
      </c>
      <c r="Y762" s="16">
        <v>7000</v>
      </c>
      <c r="Z762" s="16">
        <v>14000</v>
      </c>
      <c r="AA762" s="12" t="str">
        <f t="shared" si="136"/>
        <v>0/30</v>
      </c>
      <c r="AB762" s="12" t="str">
        <f t="shared" si="137"/>
        <v>100,100,0,100,100,100</v>
      </c>
      <c r="AC762" s="12">
        <f t="shared" si="138"/>
        <v>2</v>
      </c>
      <c r="AD762" s="12" t="str">
        <f t="shared" si="139"/>
        <v>2000/7000/14000</v>
      </c>
      <c r="AE762" s="12" t="str">
        <f t="shared" si="140"/>
        <v/>
      </c>
      <c r="AF762" s="12" t="str">
        <f t="shared" si="141"/>
        <v/>
      </c>
      <c r="AG762" s="12" t="str">
        <f t="shared" si="142"/>
        <v>3/4/</v>
      </c>
      <c r="AH762" s="12" t="str">
        <f t="shared" si="143"/>
        <v>18/32/</v>
      </c>
      <c r="AI762" s="12" t="str">
        <f t="shared" si="144"/>
        <v>10/5</v>
      </c>
    </row>
    <row r="763" spans="1:35" s="8" customFormat="1" ht="21.95" customHeight="1">
      <c r="A763" s="9">
        <v>761</v>
      </c>
      <c r="B763" s="17">
        <v>761</v>
      </c>
      <c r="C763" s="6">
        <v>30</v>
      </c>
      <c r="D763" s="6">
        <v>0</v>
      </c>
      <c r="E763" s="5">
        <v>100</v>
      </c>
      <c r="F763" s="5">
        <v>100</v>
      </c>
      <c r="G763" s="5">
        <v>100</v>
      </c>
      <c r="H763" s="5">
        <v>0</v>
      </c>
      <c r="I763" s="5">
        <v>100</v>
      </c>
      <c r="J763" s="5">
        <v>100</v>
      </c>
      <c r="K763" s="15" t="s">
        <v>52</v>
      </c>
      <c r="L763" s="6">
        <v>3</v>
      </c>
      <c r="M763" s="6">
        <v>6</v>
      </c>
      <c r="N763" s="6">
        <v>0</v>
      </c>
      <c r="O763" s="5">
        <v>0</v>
      </c>
      <c r="P763" s="5">
        <v>0</v>
      </c>
      <c r="Q763" s="5">
        <v>0</v>
      </c>
      <c r="R763" s="5">
        <v>0</v>
      </c>
      <c r="S763" s="5">
        <v>0</v>
      </c>
      <c r="T763" s="5">
        <v>0</v>
      </c>
      <c r="U763" s="6">
        <v>0</v>
      </c>
      <c r="V763" s="5">
        <v>10</v>
      </c>
      <c r="W763" s="5">
        <v>5</v>
      </c>
      <c r="X763" s="16">
        <v>2000</v>
      </c>
      <c r="Y763" s="16">
        <v>7000</v>
      </c>
      <c r="Z763" s="16">
        <v>14000</v>
      </c>
      <c r="AA763" s="12" t="str">
        <f t="shared" si="136"/>
        <v>0/30</v>
      </c>
      <c r="AB763" s="12" t="str">
        <f t="shared" si="137"/>
        <v>100,100,100,0,100,100</v>
      </c>
      <c r="AC763" s="12">
        <f t="shared" si="138"/>
        <v>1</v>
      </c>
      <c r="AD763" s="12" t="str">
        <f t="shared" si="139"/>
        <v>2000/7000/14000</v>
      </c>
      <c r="AE763" s="12" t="str">
        <f t="shared" si="140"/>
        <v>0/</v>
      </c>
      <c r="AF763" s="12" t="str">
        <f t="shared" si="141"/>
        <v>6/</v>
      </c>
      <c r="AG763" s="12" t="str">
        <f t="shared" si="142"/>
        <v/>
      </c>
      <c r="AH763" s="12" t="str">
        <f t="shared" si="143"/>
        <v/>
      </c>
      <c r="AI763" s="12" t="str">
        <f t="shared" si="144"/>
        <v>10/5</v>
      </c>
    </row>
    <row r="764" spans="1:35" s="8" customFormat="1" ht="21.95" customHeight="1">
      <c r="A764" s="9">
        <v>762</v>
      </c>
      <c r="B764" s="17">
        <v>762</v>
      </c>
      <c r="C764" s="6">
        <v>30</v>
      </c>
      <c r="D764" s="6">
        <v>0</v>
      </c>
      <c r="E764" s="5">
        <v>100</v>
      </c>
      <c r="F764" s="5">
        <v>100</v>
      </c>
      <c r="G764" s="5">
        <v>100</v>
      </c>
      <c r="H764" s="5">
        <v>100</v>
      </c>
      <c r="I764" s="5">
        <v>0</v>
      </c>
      <c r="J764" s="5">
        <v>100</v>
      </c>
      <c r="K764" s="15" t="s">
        <v>52</v>
      </c>
      <c r="L764" s="6">
        <v>3</v>
      </c>
      <c r="M764" s="6">
        <v>2</v>
      </c>
      <c r="N764" s="6">
        <v>4</v>
      </c>
      <c r="O764" s="5">
        <v>0</v>
      </c>
      <c r="P764" s="5">
        <v>0</v>
      </c>
      <c r="Q764" s="5">
        <v>0</v>
      </c>
      <c r="R764" s="5">
        <v>0</v>
      </c>
      <c r="S764" s="5">
        <v>0</v>
      </c>
      <c r="T764" s="5">
        <v>0</v>
      </c>
      <c r="U764" s="6">
        <v>0</v>
      </c>
      <c r="V764" s="5">
        <v>10</v>
      </c>
      <c r="W764" s="5">
        <v>5</v>
      </c>
      <c r="X764" s="16">
        <v>2000</v>
      </c>
      <c r="Y764" s="16">
        <v>7000</v>
      </c>
      <c r="Z764" s="16">
        <v>14000</v>
      </c>
      <c r="AA764" s="12" t="str">
        <f t="shared" si="136"/>
        <v>0/30</v>
      </c>
      <c r="AB764" s="12" t="str">
        <f t="shared" si="137"/>
        <v>100,100,100,100,0,100</v>
      </c>
      <c r="AC764" s="12">
        <f t="shared" si="138"/>
        <v>1</v>
      </c>
      <c r="AD764" s="12" t="str">
        <f t="shared" si="139"/>
        <v>2000/7000/14000</v>
      </c>
      <c r="AE764" s="12" t="str">
        <f t="shared" si="140"/>
        <v>0/1/</v>
      </c>
      <c r="AF764" s="12" t="str">
        <f t="shared" si="141"/>
        <v>2/4/</v>
      </c>
      <c r="AG764" s="12" t="str">
        <f t="shared" si="142"/>
        <v/>
      </c>
      <c r="AH764" s="12" t="str">
        <f t="shared" si="143"/>
        <v/>
      </c>
      <c r="AI764" s="12" t="str">
        <f t="shared" si="144"/>
        <v>10/5</v>
      </c>
    </row>
    <row r="765" spans="1:35" s="8" customFormat="1" ht="21.95" customHeight="1">
      <c r="A765" s="9">
        <v>763</v>
      </c>
      <c r="B765" s="17">
        <v>763</v>
      </c>
      <c r="C765" s="6">
        <v>0</v>
      </c>
      <c r="D765" s="6">
        <v>60</v>
      </c>
      <c r="E765" s="5">
        <v>100</v>
      </c>
      <c r="F765" s="5">
        <v>100</v>
      </c>
      <c r="G765" s="5">
        <v>100</v>
      </c>
      <c r="H765" s="5">
        <v>100</v>
      </c>
      <c r="I765" s="5">
        <v>100</v>
      </c>
      <c r="J765" s="5">
        <v>0</v>
      </c>
      <c r="K765" s="15" t="s">
        <v>54</v>
      </c>
      <c r="L765" s="6">
        <v>3</v>
      </c>
      <c r="M765" s="6">
        <v>0</v>
      </c>
      <c r="N765" s="6">
        <v>0</v>
      </c>
      <c r="O765" s="5">
        <v>0</v>
      </c>
      <c r="P765" s="5">
        <v>0</v>
      </c>
      <c r="Q765" s="5">
        <v>0</v>
      </c>
      <c r="R765" s="5">
        <v>0</v>
      </c>
      <c r="S765" s="5">
        <v>0</v>
      </c>
      <c r="T765" s="5">
        <v>0</v>
      </c>
      <c r="U765" s="6">
        <v>0</v>
      </c>
      <c r="V765" s="5">
        <v>10</v>
      </c>
      <c r="W765" s="5">
        <v>5</v>
      </c>
      <c r="X765" s="16">
        <v>2000</v>
      </c>
      <c r="Y765" s="16">
        <v>7000</v>
      </c>
      <c r="Z765" s="16">
        <v>14000</v>
      </c>
      <c r="AA765" s="12" t="str">
        <f t="shared" si="136"/>
        <v>1/60</v>
      </c>
      <c r="AB765" s="12" t="str">
        <f t="shared" si="137"/>
        <v>100,100,100,100,100,0</v>
      </c>
      <c r="AC765" s="12">
        <f t="shared" si="138"/>
        <v>3</v>
      </c>
      <c r="AD765" s="12" t="str">
        <f t="shared" si="139"/>
        <v>2000/7000/14000</v>
      </c>
      <c r="AE765" s="12" t="str">
        <f t="shared" si="140"/>
        <v/>
      </c>
      <c r="AF765" s="12" t="str">
        <f t="shared" si="141"/>
        <v/>
      </c>
      <c r="AG765" s="12" t="str">
        <f t="shared" si="142"/>
        <v/>
      </c>
      <c r="AH765" s="12" t="str">
        <f t="shared" si="143"/>
        <v/>
      </c>
      <c r="AI765" s="12" t="str">
        <f t="shared" si="144"/>
        <v>10/5</v>
      </c>
    </row>
    <row r="766" spans="1:35" s="8" customFormat="1" ht="21.95" customHeight="1">
      <c r="A766" s="9">
        <v>764</v>
      </c>
      <c r="B766" s="17">
        <v>764</v>
      </c>
      <c r="C766" s="6">
        <v>0</v>
      </c>
      <c r="D766" s="6">
        <v>60</v>
      </c>
      <c r="E766" s="5">
        <v>0</v>
      </c>
      <c r="F766" s="5">
        <v>100</v>
      </c>
      <c r="G766" s="5">
        <v>100</v>
      </c>
      <c r="H766" s="5">
        <v>100</v>
      </c>
      <c r="I766" s="5">
        <v>100</v>
      </c>
      <c r="J766" s="5">
        <v>100</v>
      </c>
      <c r="K766" s="15" t="s">
        <v>54</v>
      </c>
      <c r="L766" s="6">
        <v>3</v>
      </c>
      <c r="M766" s="6">
        <v>0</v>
      </c>
      <c r="N766" s="6">
        <v>0</v>
      </c>
      <c r="O766" s="5">
        <v>0</v>
      </c>
      <c r="P766" s="5">
        <v>0</v>
      </c>
      <c r="Q766" s="5">
        <v>0</v>
      </c>
      <c r="R766" s="5">
        <v>0</v>
      </c>
      <c r="S766" s="5">
        <v>0</v>
      </c>
      <c r="T766" s="5">
        <v>0</v>
      </c>
      <c r="U766" s="6">
        <v>0</v>
      </c>
      <c r="V766" s="5">
        <v>10</v>
      </c>
      <c r="W766" s="5">
        <v>5</v>
      </c>
      <c r="X766" s="16">
        <v>2000</v>
      </c>
      <c r="Y766" s="16">
        <v>7000</v>
      </c>
      <c r="Z766" s="16">
        <v>14000</v>
      </c>
      <c r="AA766" s="12" t="str">
        <f t="shared" si="136"/>
        <v>1/60</v>
      </c>
      <c r="AB766" s="12" t="str">
        <f t="shared" si="137"/>
        <v>0,100,100,100,100,100</v>
      </c>
      <c r="AC766" s="12">
        <f t="shared" si="138"/>
        <v>3</v>
      </c>
      <c r="AD766" s="12" t="str">
        <f t="shared" si="139"/>
        <v>2000/7000/14000</v>
      </c>
      <c r="AE766" s="12" t="str">
        <f t="shared" si="140"/>
        <v/>
      </c>
      <c r="AF766" s="12" t="str">
        <f t="shared" si="141"/>
        <v/>
      </c>
      <c r="AG766" s="12" t="str">
        <f t="shared" si="142"/>
        <v/>
      </c>
      <c r="AH766" s="12" t="str">
        <f t="shared" si="143"/>
        <v/>
      </c>
      <c r="AI766" s="12" t="str">
        <f t="shared" si="144"/>
        <v>10/5</v>
      </c>
    </row>
    <row r="767" spans="1:35" s="8" customFormat="1" ht="21.95" customHeight="1">
      <c r="A767" s="9">
        <v>765</v>
      </c>
      <c r="B767" s="17">
        <v>765</v>
      </c>
      <c r="C767" s="6">
        <v>30</v>
      </c>
      <c r="D767" s="6">
        <v>0</v>
      </c>
      <c r="E767" s="5">
        <v>100</v>
      </c>
      <c r="F767" s="5">
        <v>0</v>
      </c>
      <c r="G767" s="5">
        <v>100</v>
      </c>
      <c r="H767" s="5">
        <v>100</v>
      </c>
      <c r="I767" s="5">
        <v>100</v>
      </c>
      <c r="J767" s="5">
        <v>100</v>
      </c>
      <c r="K767" s="15" t="s">
        <v>55</v>
      </c>
      <c r="L767" s="6">
        <v>3</v>
      </c>
      <c r="M767" s="6">
        <v>0</v>
      </c>
      <c r="N767" s="6">
        <v>0</v>
      </c>
      <c r="O767" s="5">
        <v>0</v>
      </c>
      <c r="P767" s="5">
        <v>0</v>
      </c>
      <c r="Q767" s="5">
        <v>0</v>
      </c>
      <c r="R767" s="5">
        <v>0</v>
      </c>
      <c r="S767" s="5">
        <v>0</v>
      </c>
      <c r="T767" s="5">
        <v>0</v>
      </c>
      <c r="U767" s="6">
        <v>5</v>
      </c>
      <c r="V767" s="5">
        <v>10</v>
      </c>
      <c r="W767" s="5">
        <v>5</v>
      </c>
      <c r="X767" s="16">
        <v>2000</v>
      </c>
      <c r="Y767" s="16">
        <v>7000</v>
      </c>
      <c r="Z767" s="16">
        <v>14000</v>
      </c>
      <c r="AA767" s="12" t="str">
        <f t="shared" si="136"/>
        <v>0/30</v>
      </c>
      <c r="AB767" s="12" t="str">
        <f t="shared" si="137"/>
        <v>100,0,100,100,100,100</v>
      </c>
      <c r="AC767" s="12">
        <f t="shared" si="138"/>
        <v>4</v>
      </c>
      <c r="AD767" s="12" t="str">
        <f t="shared" si="139"/>
        <v>2000/7000/14000</v>
      </c>
      <c r="AE767" s="12" t="str">
        <f t="shared" si="140"/>
        <v/>
      </c>
      <c r="AF767" s="12" t="str">
        <f t="shared" si="141"/>
        <v/>
      </c>
      <c r="AG767" s="12" t="str">
        <f t="shared" si="142"/>
        <v/>
      </c>
      <c r="AH767" s="12" t="str">
        <f t="shared" si="143"/>
        <v/>
      </c>
      <c r="AI767" s="12" t="str">
        <f t="shared" si="144"/>
        <v>10/5</v>
      </c>
    </row>
    <row r="768" spans="1:35" s="8" customFormat="1" ht="21.95" customHeight="1">
      <c r="A768" s="9">
        <v>766</v>
      </c>
      <c r="B768" s="17">
        <v>766</v>
      </c>
      <c r="C768" s="6">
        <v>30</v>
      </c>
      <c r="D768" s="6">
        <v>0</v>
      </c>
      <c r="E768" s="5">
        <v>100</v>
      </c>
      <c r="F768" s="5">
        <v>100</v>
      </c>
      <c r="G768" s="5">
        <v>0</v>
      </c>
      <c r="H768" s="5">
        <v>100</v>
      </c>
      <c r="I768" s="5">
        <v>100</v>
      </c>
      <c r="J768" s="5">
        <v>100</v>
      </c>
      <c r="K768" s="15" t="s">
        <v>55</v>
      </c>
      <c r="L768" s="6">
        <v>3</v>
      </c>
      <c r="M768" s="6">
        <v>0</v>
      </c>
      <c r="N768" s="6">
        <v>0</v>
      </c>
      <c r="O768" s="5">
        <v>0</v>
      </c>
      <c r="P768" s="5">
        <v>0</v>
      </c>
      <c r="Q768" s="5">
        <v>0</v>
      </c>
      <c r="R768" s="5">
        <v>0</v>
      </c>
      <c r="S768" s="5">
        <v>0</v>
      </c>
      <c r="T768" s="5">
        <v>0</v>
      </c>
      <c r="U768" s="6">
        <v>5</v>
      </c>
      <c r="V768" s="5">
        <v>10</v>
      </c>
      <c r="W768" s="5">
        <v>5</v>
      </c>
      <c r="X768" s="16">
        <v>2000</v>
      </c>
      <c r="Y768" s="16">
        <v>7000</v>
      </c>
      <c r="Z768" s="16">
        <v>14000</v>
      </c>
      <c r="AA768" s="12" t="str">
        <f t="shared" si="136"/>
        <v>0/30</v>
      </c>
      <c r="AB768" s="12" t="str">
        <f t="shared" si="137"/>
        <v>100,100,0,100,100,100</v>
      </c>
      <c r="AC768" s="12">
        <f t="shared" si="138"/>
        <v>4</v>
      </c>
      <c r="AD768" s="12" t="str">
        <f t="shared" si="139"/>
        <v>2000/7000/14000</v>
      </c>
      <c r="AE768" s="12" t="str">
        <f t="shared" si="140"/>
        <v/>
      </c>
      <c r="AF768" s="12" t="str">
        <f t="shared" si="141"/>
        <v/>
      </c>
      <c r="AG768" s="12" t="str">
        <f t="shared" si="142"/>
        <v/>
      </c>
      <c r="AH768" s="12" t="str">
        <f t="shared" si="143"/>
        <v/>
      </c>
      <c r="AI768" s="12" t="str">
        <f t="shared" si="144"/>
        <v>10/5</v>
      </c>
    </row>
    <row r="769" spans="1:35" s="8" customFormat="1" ht="21.95" customHeight="1">
      <c r="A769" s="9">
        <v>767</v>
      </c>
      <c r="B769" s="17">
        <v>767</v>
      </c>
      <c r="C769" s="6">
        <v>32</v>
      </c>
      <c r="D769" s="6">
        <v>0</v>
      </c>
      <c r="E769" s="5">
        <v>100</v>
      </c>
      <c r="F769" s="5">
        <v>100</v>
      </c>
      <c r="G769" s="5">
        <v>100</v>
      </c>
      <c r="H769" s="5">
        <v>0</v>
      </c>
      <c r="I769" s="5">
        <v>100</v>
      </c>
      <c r="J769" s="5">
        <v>100</v>
      </c>
      <c r="K769" s="15" t="s">
        <v>51</v>
      </c>
      <c r="L769" s="6">
        <v>3</v>
      </c>
      <c r="M769" s="6">
        <v>0</v>
      </c>
      <c r="N769" s="6">
        <v>0</v>
      </c>
      <c r="O769" s="5">
        <v>0</v>
      </c>
      <c r="P769" s="5">
        <v>0</v>
      </c>
      <c r="Q769" s="5">
        <v>0</v>
      </c>
      <c r="R769" s="5">
        <v>0</v>
      </c>
      <c r="S769" s="5">
        <v>0</v>
      </c>
      <c r="T769" s="5">
        <v>0</v>
      </c>
      <c r="U769" s="6">
        <v>0</v>
      </c>
      <c r="V769" s="5">
        <v>10</v>
      </c>
      <c r="W769" s="5">
        <v>5</v>
      </c>
      <c r="X769" s="16">
        <v>2000</v>
      </c>
      <c r="Y769" s="16">
        <v>7000</v>
      </c>
      <c r="Z769" s="16">
        <v>14000</v>
      </c>
      <c r="AA769" s="12" t="str">
        <f t="shared" si="136"/>
        <v>0/32</v>
      </c>
      <c r="AB769" s="12" t="str">
        <f t="shared" si="137"/>
        <v>100,100,100,0,100,100</v>
      </c>
      <c r="AC769" s="12">
        <f t="shared" si="138"/>
        <v>0</v>
      </c>
      <c r="AD769" s="12" t="str">
        <f t="shared" si="139"/>
        <v>2000/7000/14000</v>
      </c>
      <c r="AE769" s="12" t="str">
        <f t="shared" si="140"/>
        <v/>
      </c>
      <c r="AF769" s="12" t="str">
        <f t="shared" si="141"/>
        <v/>
      </c>
      <c r="AG769" s="12" t="str">
        <f t="shared" si="142"/>
        <v/>
      </c>
      <c r="AH769" s="12" t="str">
        <f t="shared" si="143"/>
        <v/>
      </c>
      <c r="AI769" s="12" t="str">
        <f t="shared" si="144"/>
        <v>10/5</v>
      </c>
    </row>
    <row r="770" spans="1:35" s="8" customFormat="1" ht="21.95" customHeight="1">
      <c r="A770" s="9">
        <v>768</v>
      </c>
      <c r="B770" s="17">
        <v>768</v>
      </c>
      <c r="C770" s="6">
        <v>30</v>
      </c>
      <c r="D770" s="6">
        <v>0</v>
      </c>
      <c r="E770" s="5">
        <v>100</v>
      </c>
      <c r="F770" s="5">
        <v>100</v>
      </c>
      <c r="G770" s="5">
        <v>100</v>
      </c>
      <c r="H770" s="5">
        <v>100</v>
      </c>
      <c r="I770" s="5">
        <v>0</v>
      </c>
      <c r="J770" s="5">
        <v>100</v>
      </c>
      <c r="K770" s="15" t="s">
        <v>53</v>
      </c>
      <c r="L770" s="6">
        <v>3</v>
      </c>
      <c r="M770" s="6">
        <v>0</v>
      </c>
      <c r="N770" s="6">
        <v>0</v>
      </c>
      <c r="O770" s="5">
        <v>16</v>
      </c>
      <c r="P770" s="5">
        <v>0</v>
      </c>
      <c r="Q770" s="5">
        <v>0</v>
      </c>
      <c r="R770" s="5">
        <v>0</v>
      </c>
      <c r="S770" s="5">
        <v>0</v>
      </c>
      <c r="T770" s="5">
        <v>18</v>
      </c>
      <c r="U770" s="6">
        <v>0</v>
      </c>
      <c r="V770" s="5">
        <v>10</v>
      </c>
      <c r="W770" s="5">
        <v>5</v>
      </c>
      <c r="X770" s="16">
        <v>2000</v>
      </c>
      <c r="Y770" s="16">
        <v>7000</v>
      </c>
      <c r="Z770" s="16">
        <v>14000</v>
      </c>
      <c r="AA770" s="12" t="str">
        <f t="shared" si="136"/>
        <v>0/30</v>
      </c>
      <c r="AB770" s="12" t="str">
        <f t="shared" si="137"/>
        <v>100,100,100,100,0,100</v>
      </c>
      <c r="AC770" s="12">
        <f t="shared" si="138"/>
        <v>2</v>
      </c>
      <c r="AD770" s="12" t="str">
        <f t="shared" si="139"/>
        <v>2000/7000/14000</v>
      </c>
      <c r="AE770" s="12" t="str">
        <f t="shared" si="140"/>
        <v/>
      </c>
      <c r="AF770" s="12" t="str">
        <f t="shared" si="141"/>
        <v/>
      </c>
      <c r="AG770" s="12" t="str">
        <f t="shared" si="142"/>
        <v>0/5/</v>
      </c>
      <c r="AH770" s="12" t="str">
        <f t="shared" si="143"/>
        <v>16/18/</v>
      </c>
      <c r="AI770" s="12" t="str">
        <f t="shared" si="144"/>
        <v>10/5</v>
      </c>
    </row>
    <row r="771" spans="1:35" s="8" customFormat="1" ht="21.95" customHeight="1">
      <c r="A771" s="9">
        <v>769</v>
      </c>
      <c r="B771" s="17">
        <v>769</v>
      </c>
      <c r="C771" s="6">
        <v>30</v>
      </c>
      <c r="D771" s="6">
        <v>0</v>
      </c>
      <c r="E771" s="5">
        <v>100</v>
      </c>
      <c r="F771" s="5">
        <v>100</v>
      </c>
      <c r="G771" s="5">
        <v>100</v>
      </c>
      <c r="H771" s="5">
        <v>100</v>
      </c>
      <c r="I771" s="5">
        <v>100</v>
      </c>
      <c r="J771" s="5">
        <v>0</v>
      </c>
      <c r="K771" s="15" t="s">
        <v>52</v>
      </c>
      <c r="L771" s="6">
        <v>3</v>
      </c>
      <c r="M771" s="6">
        <v>6</v>
      </c>
      <c r="N771" s="6">
        <v>0</v>
      </c>
      <c r="O771" s="5">
        <v>0</v>
      </c>
      <c r="P771" s="5">
        <v>0</v>
      </c>
      <c r="Q771" s="5">
        <v>0</v>
      </c>
      <c r="R771" s="5">
        <v>0</v>
      </c>
      <c r="S771" s="5">
        <v>0</v>
      </c>
      <c r="T771" s="5">
        <v>0</v>
      </c>
      <c r="U771" s="6">
        <v>0</v>
      </c>
      <c r="V771" s="5">
        <v>10</v>
      </c>
      <c r="W771" s="5">
        <v>5</v>
      </c>
      <c r="X771" s="16">
        <v>2000</v>
      </c>
      <c r="Y771" s="16">
        <v>7000</v>
      </c>
      <c r="Z771" s="16">
        <v>14000</v>
      </c>
      <c r="AA771" s="12" t="str">
        <f t="shared" si="136"/>
        <v>0/30</v>
      </c>
      <c r="AB771" s="12" t="str">
        <f t="shared" si="137"/>
        <v>100,100,100,100,100,0</v>
      </c>
      <c r="AC771" s="12">
        <f t="shared" si="138"/>
        <v>1</v>
      </c>
      <c r="AD771" s="12" t="str">
        <f t="shared" si="139"/>
        <v>2000/7000/14000</v>
      </c>
      <c r="AE771" s="12" t="str">
        <f t="shared" si="140"/>
        <v>0/</v>
      </c>
      <c r="AF771" s="12" t="str">
        <f t="shared" si="141"/>
        <v>6/</v>
      </c>
      <c r="AG771" s="12" t="str">
        <f t="shared" si="142"/>
        <v/>
      </c>
      <c r="AH771" s="12" t="str">
        <f t="shared" si="143"/>
        <v/>
      </c>
      <c r="AI771" s="12" t="str">
        <f t="shared" si="144"/>
        <v>10/5</v>
      </c>
    </row>
    <row r="772" spans="1:35" s="8" customFormat="1" ht="21.95" customHeight="1">
      <c r="A772" s="9">
        <v>770</v>
      </c>
      <c r="B772" s="17">
        <v>770</v>
      </c>
      <c r="C772" s="6">
        <v>30</v>
      </c>
      <c r="D772" s="6">
        <v>0</v>
      </c>
      <c r="E772" s="5">
        <v>0</v>
      </c>
      <c r="F772" s="5">
        <v>100</v>
      </c>
      <c r="G772" s="5">
        <v>100</v>
      </c>
      <c r="H772" s="5">
        <v>100</v>
      </c>
      <c r="I772" s="5">
        <v>100</v>
      </c>
      <c r="J772" s="5">
        <v>100</v>
      </c>
      <c r="K772" s="15" t="s">
        <v>52</v>
      </c>
      <c r="L772" s="6">
        <v>3</v>
      </c>
      <c r="M772" s="6">
        <v>0</v>
      </c>
      <c r="N772" s="6">
        <v>6</v>
      </c>
      <c r="O772" s="5">
        <v>0</v>
      </c>
      <c r="P772" s="5">
        <v>0</v>
      </c>
      <c r="Q772" s="5">
        <v>0</v>
      </c>
      <c r="R772" s="5">
        <v>0</v>
      </c>
      <c r="S772" s="5">
        <v>0</v>
      </c>
      <c r="T772" s="5">
        <v>0</v>
      </c>
      <c r="U772" s="6">
        <v>0</v>
      </c>
      <c r="V772" s="5">
        <v>10</v>
      </c>
      <c r="W772" s="5">
        <v>5</v>
      </c>
      <c r="X772" s="16">
        <v>2000</v>
      </c>
      <c r="Y772" s="16">
        <v>7000</v>
      </c>
      <c r="Z772" s="16">
        <v>14000</v>
      </c>
      <c r="AA772" s="12" t="str">
        <f t="shared" si="136"/>
        <v>0/30</v>
      </c>
      <c r="AB772" s="12" t="str">
        <f t="shared" si="137"/>
        <v>0,100,100,100,100,100</v>
      </c>
      <c r="AC772" s="12">
        <f t="shared" si="138"/>
        <v>1</v>
      </c>
      <c r="AD772" s="12" t="str">
        <f t="shared" si="139"/>
        <v>2000/7000/14000</v>
      </c>
      <c r="AE772" s="12" t="str">
        <f t="shared" si="140"/>
        <v>1/</v>
      </c>
      <c r="AF772" s="12" t="str">
        <f t="shared" si="141"/>
        <v>6/</v>
      </c>
      <c r="AG772" s="12" t="str">
        <f t="shared" si="142"/>
        <v/>
      </c>
      <c r="AH772" s="12" t="str">
        <f t="shared" si="143"/>
        <v/>
      </c>
      <c r="AI772" s="12" t="str">
        <f t="shared" si="144"/>
        <v>10/5</v>
      </c>
    </row>
    <row r="773" spans="1:35" s="8" customFormat="1" ht="21.95" customHeight="1">
      <c r="A773" s="9">
        <v>771</v>
      </c>
      <c r="B773" s="17">
        <v>771</v>
      </c>
      <c r="C773" s="6">
        <v>0</v>
      </c>
      <c r="D773" s="6">
        <v>60</v>
      </c>
      <c r="E773" s="5">
        <v>100</v>
      </c>
      <c r="F773" s="5">
        <v>0</v>
      </c>
      <c r="G773" s="5">
        <v>100</v>
      </c>
      <c r="H773" s="5">
        <v>100</v>
      </c>
      <c r="I773" s="5">
        <v>100</v>
      </c>
      <c r="J773" s="5">
        <v>100</v>
      </c>
      <c r="K773" s="15" t="s">
        <v>54</v>
      </c>
      <c r="L773" s="6">
        <v>3</v>
      </c>
      <c r="M773" s="6">
        <v>0</v>
      </c>
      <c r="N773" s="6">
        <v>0</v>
      </c>
      <c r="O773" s="5">
        <v>0</v>
      </c>
      <c r="P773" s="5">
        <v>0</v>
      </c>
      <c r="Q773" s="5">
        <v>0</v>
      </c>
      <c r="R773" s="5">
        <v>0</v>
      </c>
      <c r="S773" s="5">
        <v>0</v>
      </c>
      <c r="T773" s="5">
        <v>0</v>
      </c>
      <c r="U773" s="6">
        <v>0</v>
      </c>
      <c r="V773" s="5">
        <v>10</v>
      </c>
      <c r="W773" s="5">
        <v>5</v>
      </c>
      <c r="X773" s="16">
        <v>2000</v>
      </c>
      <c r="Y773" s="16">
        <v>7000</v>
      </c>
      <c r="Z773" s="16">
        <v>14000</v>
      </c>
      <c r="AA773" s="12" t="str">
        <f t="shared" si="136"/>
        <v>1/60</v>
      </c>
      <c r="AB773" s="12" t="str">
        <f t="shared" si="137"/>
        <v>100,0,100,100,100,100</v>
      </c>
      <c r="AC773" s="12">
        <f t="shared" si="138"/>
        <v>3</v>
      </c>
      <c r="AD773" s="12" t="str">
        <f t="shared" si="139"/>
        <v>2000/7000/14000</v>
      </c>
      <c r="AE773" s="12" t="str">
        <f t="shared" si="140"/>
        <v/>
      </c>
      <c r="AF773" s="12" t="str">
        <f t="shared" si="141"/>
        <v/>
      </c>
      <c r="AG773" s="12" t="str">
        <f t="shared" si="142"/>
        <v/>
      </c>
      <c r="AH773" s="12" t="str">
        <f t="shared" si="143"/>
        <v/>
      </c>
      <c r="AI773" s="12" t="str">
        <f t="shared" si="144"/>
        <v>10/5</v>
      </c>
    </row>
    <row r="774" spans="1:35" s="8" customFormat="1" ht="21.95" customHeight="1">
      <c r="A774" s="9">
        <v>772</v>
      </c>
      <c r="B774" s="17">
        <v>772</v>
      </c>
      <c r="C774" s="6">
        <v>0</v>
      </c>
      <c r="D774" s="6">
        <v>60</v>
      </c>
      <c r="E774" s="5">
        <v>100</v>
      </c>
      <c r="F774" s="5">
        <v>100</v>
      </c>
      <c r="G774" s="5">
        <v>0</v>
      </c>
      <c r="H774" s="5">
        <v>100</v>
      </c>
      <c r="I774" s="5">
        <v>100</v>
      </c>
      <c r="J774" s="5">
        <v>100</v>
      </c>
      <c r="K774" s="15" t="s">
        <v>54</v>
      </c>
      <c r="L774" s="6">
        <v>3</v>
      </c>
      <c r="M774" s="6">
        <v>0</v>
      </c>
      <c r="N774" s="6">
        <v>0</v>
      </c>
      <c r="O774" s="5">
        <v>0</v>
      </c>
      <c r="P774" s="5">
        <v>0</v>
      </c>
      <c r="Q774" s="5">
        <v>0</v>
      </c>
      <c r="R774" s="5">
        <v>0</v>
      </c>
      <c r="S774" s="5">
        <v>0</v>
      </c>
      <c r="T774" s="5">
        <v>0</v>
      </c>
      <c r="U774" s="6">
        <v>0</v>
      </c>
      <c r="V774" s="5">
        <v>10</v>
      </c>
      <c r="W774" s="5">
        <v>5</v>
      </c>
      <c r="X774" s="16">
        <v>2000</v>
      </c>
      <c r="Y774" s="16">
        <v>7000</v>
      </c>
      <c r="Z774" s="16">
        <v>14000</v>
      </c>
      <c r="AA774" s="12" t="str">
        <f t="shared" si="136"/>
        <v>1/60</v>
      </c>
      <c r="AB774" s="12" t="str">
        <f t="shared" si="137"/>
        <v>100,100,0,100,100,100</v>
      </c>
      <c r="AC774" s="12">
        <f t="shared" si="138"/>
        <v>3</v>
      </c>
      <c r="AD774" s="12" t="str">
        <f t="shared" si="139"/>
        <v>2000/7000/14000</v>
      </c>
      <c r="AE774" s="12" t="str">
        <f t="shared" si="140"/>
        <v/>
      </c>
      <c r="AF774" s="12" t="str">
        <f t="shared" si="141"/>
        <v/>
      </c>
      <c r="AG774" s="12" t="str">
        <f t="shared" si="142"/>
        <v/>
      </c>
      <c r="AH774" s="12" t="str">
        <f t="shared" si="143"/>
        <v/>
      </c>
      <c r="AI774" s="12" t="str">
        <f t="shared" si="144"/>
        <v>10/5</v>
      </c>
    </row>
    <row r="775" spans="1:35" s="8" customFormat="1" ht="21.95" customHeight="1">
      <c r="A775" s="9">
        <v>773</v>
      </c>
      <c r="B775" s="17">
        <v>773</v>
      </c>
      <c r="C775" s="6">
        <v>30</v>
      </c>
      <c r="D775" s="6">
        <v>0</v>
      </c>
      <c r="E775" s="5">
        <v>100</v>
      </c>
      <c r="F775" s="5">
        <v>100</v>
      </c>
      <c r="G775" s="5">
        <v>100</v>
      </c>
      <c r="H775" s="5">
        <v>0</v>
      </c>
      <c r="I775" s="5">
        <v>100</v>
      </c>
      <c r="J775" s="5">
        <v>100</v>
      </c>
      <c r="K775" s="15" t="s">
        <v>55</v>
      </c>
      <c r="L775" s="6">
        <v>3</v>
      </c>
      <c r="M775" s="6">
        <v>0</v>
      </c>
      <c r="N775" s="6">
        <v>0</v>
      </c>
      <c r="O775" s="5">
        <v>0</v>
      </c>
      <c r="P775" s="5">
        <v>0</v>
      </c>
      <c r="Q775" s="5">
        <v>0</v>
      </c>
      <c r="R775" s="5">
        <v>0</v>
      </c>
      <c r="S775" s="5">
        <v>0</v>
      </c>
      <c r="T775" s="5">
        <v>0</v>
      </c>
      <c r="U775" s="6">
        <v>5</v>
      </c>
      <c r="V775" s="5">
        <v>10</v>
      </c>
      <c r="W775" s="5">
        <v>5</v>
      </c>
      <c r="X775" s="16">
        <v>2000</v>
      </c>
      <c r="Y775" s="16">
        <v>7000</v>
      </c>
      <c r="Z775" s="16">
        <v>14000</v>
      </c>
      <c r="AA775" s="12" t="str">
        <f t="shared" si="136"/>
        <v>0/30</v>
      </c>
      <c r="AB775" s="12" t="str">
        <f t="shared" si="137"/>
        <v>100,100,100,0,100,100</v>
      </c>
      <c r="AC775" s="12">
        <f t="shared" si="138"/>
        <v>4</v>
      </c>
      <c r="AD775" s="12" t="str">
        <f t="shared" si="139"/>
        <v>2000/7000/14000</v>
      </c>
      <c r="AE775" s="12" t="str">
        <f t="shared" si="140"/>
        <v/>
      </c>
      <c r="AF775" s="12" t="str">
        <f t="shared" si="141"/>
        <v/>
      </c>
      <c r="AG775" s="12" t="str">
        <f t="shared" si="142"/>
        <v/>
      </c>
      <c r="AH775" s="12" t="str">
        <f t="shared" si="143"/>
        <v/>
      </c>
      <c r="AI775" s="12" t="str">
        <f t="shared" si="144"/>
        <v>10/5</v>
      </c>
    </row>
    <row r="776" spans="1:35" s="8" customFormat="1" ht="21.95" customHeight="1">
      <c r="A776" s="9">
        <v>774</v>
      </c>
      <c r="B776" s="17">
        <v>774</v>
      </c>
      <c r="C776" s="6">
        <v>30</v>
      </c>
      <c r="D776" s="6">
        <v>0</v>
      </c>
      <c r="E776" s="5">
        <v>100</v>
      </c>
      <c r="F776" s="5">
        <v>100</v>
      </c>
      <c r="G776" s="5">
        <v>100</v>
      </c>
      <c r="H776" s="5">
        <v>100</v>
      </c>
      <c r="I776" s="5">
        <v>0</v>
      </c>
      <c r="J776" s="5">
        <v>100</v>
      </c>
      <c r="K776" s="15" t="s">
        <v>55</v>
      </c>
      <c r="L776" s="6">
        <v>3</v>
      </c>
      <c r="M776" s="6">
        <v>0</v>
      </c>
      <c r="N776" s="6">
        <v>0</v>
      </c>
      <c r="O776" s="5">
        <v>0</v>
      </c>
      <c r="P776" s="5">
        <v>0</v>
      </c>
      <c r="Q776" s="5">
        <v>0</v>
      </c>
      <c r="R776" s="5">
        <v>0</v>
      </c>
      <c r="S776" s="5">
        <v>0</v>
      </c>
      <c r="T776" s="5">
        <v>0</v>
      </c>
      <c r="U776" s="6">
        <v>5</v>
      </c>
      <c r="V776" s="5">
        <v>10</v>
      </c>
      <c r="W776" s="5">
        <v>5</v>
      </c>
      <c r="X776" s="16">
        <v>2000</v>
      </c>
      <c r="Y776" s="16">
        <v>7000</v>
      </c>
      <c r="Z776" s="16">
        <v>14000</v>
      </c>
      <c r="AA776" s="12" t="str">
        <f t="shared" si="136"/>
        <v>0/30</v>
      </c>
      <c r="AB776" s="12" t="str">
        <f t="shared" si="137"/>
        <v>100,100,100,100,0,100</v>
      </c>
      <c r="AC776" s="12">
        <f t="shared" si="138"/>
        <v>4</v>
      </c>
      <c r="AD776" s="12" t="str">
        <f t="shared" si="139"/>
        <v>2000/7000/14000</v>
      </c>
      <c r="AE776" s="12" t="str">
        <f t="shared" si="140"/>
        <v/>
      </c>
      <c r="AF776" s="12" t="str">
        <f t="shared" si="141"/>
        <v/>
      </c>
      <c r="AG776" s="12" t="str">
        <f t="shared" si="142"/>
        <v/>
      </c>
      <c r="AH776" s="12" t="str">
        <f t="shared" si="143"/>
        <v/>
      </c>
      <c r="AI776" s="12" t="str">
        <f t="shared" si="144"/>
        <v>10/5</v>
      </c>
    </row>
    <row r="777" spans="1:35" s="8" customFormat="1" ht="21.95" customHeight="1">
      <c r="A777" s="9">
        <v>775</v>
      </c>
      <c r="B777" s="17">
        <v>775</v>
      </c>
      <c r="C777" s="6">
        <v>30</v>
      </c>
      <c r="D777" s="6">
        <v>0</v>
      </c>
      <c r="E777" s="5">
        <v>100</v>
      </c>
      <c r="F777" s="5">
        <v>100</v>
      </c>
      <c r="G777" s="5">
        <v>100</v>
      </c>
      <c r="H777" s="5">
        <v>100</v>
      </c>
      <c r="I777" s="5">
        <v>100</v>
      </c>
      <c r="J777" s="5">
        <v>0</v>
      </c>
      <c r="K777" s="15" t="s">
        <v>56</v>
      </c>
      <c r="L777" s="6">
        <v>3</v>
      </c>
      <c r="M777" s="6">
        <v>0</v>
      </c>
      <c r="N777" s="6">
        <v>0</v>
      </c>
      <c r="O777" s="5">
        <v>0</v>
      </c>
      <c r="P777" s="5">
        <v>0</v>
      </c>
      <c r="Q777" s="5">
        <v>0</v>
      </c>
      <c r="R777" s="5">
        <v>0</v>
      </c>
      <c r="S777" s="5">
        <v>0</v>
      </c>
      <c r="T777" s="5">
        <v>0</v>
      </c>
      <c r="U777" s="6">
        <v>0</v>
      </c>
      <c r="V777" s="5">
        <v>10</v>
      </c>
      <c r="W777" s="5">
        <v>5</v>
      </c>
      <c r="X777" s="16">
        <v>2000</v>
      </c>
      <c r="Y777" s="16">
        <v>7000</v>
      </c>
      <c r="Z777" s="16">
        <v>14000</v>
      </c>
      <c r="AA777" s="12" t="str">
        <f t="shared" si="136"/>
        <v>0/30</v>
      </c>
      <c r="AB777" s="12" t="str">
        <f t="shared" si="137"/>
        <v>100,100,100,100,100,0</v>
      </c>
      <c r="AC777" s="12">
        <f t="shared" si="138"/>
        <v>5</v>
      </c>
      <c r="AD777" s="12" t="str">
        <f t="shared" si="139"/>
        <v>2000/7000/14000</v>
      </c>
      <c r="AE777" s="12" t="str">
        <f t="shared" si="140"/>
        <v/>
      </c>
      <c r="AF777" s="12" t="str">
        <f t="shared" si="141"/>
        <v/>
      </c>
      <c r="AG777" s="12" t="str">
        <f t="shared" si="142"/>
        <v/>
      </c>
      <c r="AH777" s="12" t="str">
        <f t="shared" si="143"/>
        <v/>
      </c>
      <c r="AI777" s="12" t="str">
        <f t="shared" si="144"/>
        <v>10/5</v>
      </c>
    </row>
    <row r="778" spans="1:35" s="8" customFormat="1" ht="21.95" customHeight="1">
      <c r="A778" s="9">
        <v>776</v>
      </c>
      <c r="B778" s="17">
        <v>776</v>
      </c>
      <c r="C778" s="6">
        <v>0</v>
      </c>
      <c r="D778" s="6">
        <v>60</v>
      </c>
      <c r="E778" s="5">
        <v>0</v>
      </c>
      <c r="F778" s="5">
        <v>100</v>
      </c>
      <c r="G778" s="5">
        <v>100</v>
      </c>
      <c r="H778" s="5">
        <v>100</v>
      </c>
      <c r="I778" s="5">
        <v>100</v>
      </c>
      <c r="J778" s="5">
        <v>100</v>
      </c>
      <c r="K778" s="15" t="s">
        <v>56</v>
      </c>
      <c r="L778" s="6">
        <v>3</v>
      </c>
      <c r="M778" s="6">
        <v>0</v>
      </c>
      <c r="N778" s="6">
        <v>0</v>
      </c>
      <c r="O778" s="5">
        <v>0</v>
      </c>
      <c r="P778" s="5">
        <v>0</v>
      </c>
      <c r="Q778" s="5">
        <v>0</v>
      </c>
      <c r="R778" s="5">
        <v>0</v>
      </c>
      <c r="S778" s="5">
        <v>0</v>
      </c>
      <c r="T778" s="5">
        <v>0</v>
      </c>
      <c r="U778" s="6">
        <v>0</v>
      </c>
      <c r="V778" s="5">
        <v>10</v>
      </c>
      <c r="W778" s="5">
        <v>5</v>
      </c>
      <c r="X778" s="16">
        <v>2000</v>
      </c>
      <c r="Y778" s="16">
        <v>7000</v>
      </c>
      <c r="Z778" s="16">
        <v>14000</v>
      </c>
      <c r="AA778" s="12" t="str">
        <f t="shared" si="136"/>
        <v>1/60</v>
      </c>
      <c r="AB778" s="12" t="str">
        <f t="shared" si="137"/>
        <v>0,100,100,100,100,100</v>
      </c>
      <c r="AC778" s="12">
        <f t="shared" si="138"/>
        <v>5</v>
      </c>
      <c r="AD778" s="12" t="str">
        <f t="shared" si="139"/>
        <v>2000/7000/14000</v>
      </c>
      <c r="AE778" s="12" t="str">
        <f t="shared" si="140"/>
        <v/>
      </c>
      <c r="AF778" s="12" t="str">
        <f t="shared" si="141"/>
        <v/>
      </c>
      <c r="AG778" s="12" t="str">
        <f t="shared" si="142"/>
        <v/>
      </c>
      <c r="AH778" s="12" t="str">
        <f t="shared" si="143"/>
        <v/>
      </c>
      <c r="AI778" s="12" t="str">
        <f t="shared" si="144"/>
        <v>10/5</v>
      </c>
    </row>
    <row r="779" spans="1:35" s="8" customFormat="1" ht="21.95" customHeight="1">
      <c r="A779" s="9">
        <v>777</v>
      </c>
      <c r="B779" s="17">
        <v>777</v>
      </c>
      <c r="C779" s="6">
        <v>0</v>
      </c>
      <c r="D779" s="6">
        <v>60</v>
      </c>
      <c r="E779" s="5">
        <v>0</v>
      </c>
      <c r="F779" s="5">
        <v>100</v>
      </c>
      <c r="G779" s="5">
        <v>100</v>
      </c>
      <c r="H779" s="5">
        <v>100</v>
      </c>
      <c r="I779" s="5">
        <v>100</v>
      </c>
      <c r="J779" s="5">
        <v>100</v>
      </c>
      <c r="K779" s="15" t="s">
        <v>56</v>
      </c>
      <c r="L779" s="6">
        <v>3</v>
      </c>
      <c r="M779" s="6">
        <v>0</v>
      </c>
      <c r="N779" s="6">
        <v>0</v>
      </c>
      <c r="O779" s="5">
        <v>0</v>
      </c>
      <c r="P779" s="5">
        <v>0</v>
      </c>
      <c r="Q779" s="5">
        <v>0</v>
      </c>
      <c r="R779" s="5">
        <v>0</v>
      </c>
      <c r="S779" s="5">
        <v>0</v>
      </c>
      <c r="T779" s="5">
        <v>0</v>
      </c>
      <c r="U779" s="6">
        <v>0</v>
      </c>
      <c r="V779" s="5">
        <v>10</v>
      </c>
      <c r="W779" s="5">
        <v>5</v>
      </c>
      <c r="X779" s="16">
        <v>2000</v>
      </c>
      <c r="Y779" s="16">
        <v>7000</v>
      </c>
      <c r="Z779" s="16">
        <v>14000</v>
      </c>
      <c r="AA779" s="12" t="str">
        <f t="shared" si="136"/>
        <v>1/60</v>
      </c>
      <c r="AB779" s="12" t="str">
        <f t="shared" si="137"/>
        <v>0,100,100,100,100,100</v>
      </c>
      <c r="AC779" s="12">
        <f t="shared" si="138"/>
        <v>5</v>
      </c>
      <c r="AD779" s="12" t="str">
        <f t="shared" si="139"/>
        <v>2000/7000/14000</v>
      </c>
      <c r="AE779" s="12" t="str">
        <f t="shared" si="140"/>
        <v/>
      </c>
      <c r="AF779" s="12" t="str">
        <f t="shared" si="141"/>
        <v/>
      </c>
      <c r="AG779" s="12" t="str">
        <f t="shared" si="142"/>
        <v/>
      </c>
      <c r="AH779" s="12" t="str">
        <f t="shared" si="143"/>
        <v/>
      </c>
      <c r="AI779" s="12" t="str">
        <f t="shared" si="144"/>
        <v>10/5</v>
      </c>
    </row>
    <row r="780" spans="1:35" s="8" customFormat="1" ht="21.95" customHeight="1">
      <c r="A780" s="9">
        <v>778</v>
      </c>
      <c r="B780" s="17">
        <v>778</v>
      </c>
      <c r="C780" s="6">
        <v>30</v>
      </c>
      <c r="D780" s="6">
        <v>0</v>
      </c>
      <c r="E780" s="5">
        <v>100</v>
      </c>
      <c r="F780" s="5">
        <v>0</v>
      </c>
      <c r="G780" s="5">
        <v>100</v>
      </c>
      <c r="H780" s="5">
        <v>100</v>
      </c>
      <c r="I780" s="5">
        <v>100</v>
      </c>
      <c r="J780" s="5">
        <v>100</v>
      </c>
      <c r="K780" s="15" t="s">
        <v>53</v>
      </c>
      <c r="L780" s="6">
        <v>3</v>
      </c>
      <c r="M780" s="6">
        <v>0</v>
      </c>
      <c r="N780" s="6">
        <v>0</v>
      </c>
      <c r="O780" s="5">
        <v>0</v>
      </c>
      <c r="P780" s="5">
        <v>0</v>
      </c>
      <c r="Q780" s="5">
        <v>20</v>
      </c>
      <c r="R780" s="5">
        <v>24</v>
      </c>
      <c r="S780" s="5">
        <v>0</v>
      </c>
      <c r="T780" s="5">
        <v>0</v>
      </c>
      <c r="U780" s="6">
        <v>0</v>
      </c>
      <c r="V780" s="5">
        <v>10</v>
      </c>
      <c r="W780" s="5">
        <v>5</v>
      </c>
      <c r="X780" s="16">
        <v>2000</v>
      </c>
      <c r="Y780" s="16">
        <v>7000</v>
      </c>
      <c r="Z780" s="16">
        <v>14000</v>
      </c>
      <c r="AA780" s="12" t="str">
        <f t="shared" si="136"/>
        <v>0/30</v>
      </c>
      <c r="AB780" s="12" t="str">
        <f t="shared" si="137"/>
        <v>100,0,100,100,100,100</v>
      </c>
      <c r="AC780" s="12">
        <f t="shared" si="138"/>
        <v>2</v>
      </c>
      <c r="AD780" s="12" t="str">
        <f t="shared" si="139"/>
        <v>2000/7000/14000</v>
      </c>
      <c r="AE780" s="12" t="str">
        <f t="shared" si="140"/>
        <v/>
      </c>
      <c r="AF780" s="12" t="str">
        <f t="shared" si="141"/>
        <v/>
      </c>
      <c r="AG780" s="12" t="str">
        <f t="shared" si="142"/>
        <v>2/3/</v>
      </c>
      <c r="AH780" s="12" t="str">
        <f t="shared" si="143"/>
        <v>20/24/</v>
      </c>
      <c r="AI780" s="12" t="str">
        <f t="shared" si="144"/>
        <v>10/5</v>
      </c>
    </row>
    <row r="781" spans="1:35" s="8" customFormat="1" ht="21.95" customHeight="1">
      <c r="A781" s="9">
        <v>779</v>
      </c>
      <c r="B781" s="17">
        <v>779</v>
      </c>
      <c r="C781" s="6">
        <v>30</v>
      </c>
      <c r="D781" s="6">
        <v>0</v>
      </c>
      <c r="E781" s="5">
        <v>100</v>
      </c>
      <c r="F781" s="5">
        <v>100</v>
      </c>
      <c r="G781" s="5">
        <v>0</v>
      </c>
      <c r="H781" s="5">
        <v>100</v>
      </c>
      <c r="I781" s="5">
        <v>100</v>
      </c>
      <c r="J781" s="5">
        <v>100</v>
      </c>
      <c r="K781" s="15" t="s">
        <v>53</v>
      </c>
      <c r="L781" s="6">
        <v>3</v>
      </c>
      <c r="M781" s="6">
        <v>0</v>
      </c>
      <c r="N781" s="6">
        <v>0</v>
      </c>
      <c r="O781" s="5">
        <v>0</v>
      </c>
      <c r="P781" s="5">
        <v>0</v>
      </c>
      <c r="Q781" s="5">
        <v>0</v>
      </c>
      <c r="R781" s="5">
        <v>18</v>
      </c>
      <c r="S781" s="5">
        <v>32</v>
      </c>
      <c r="T781" s="5">
        <v>0</v>
      </c>
      <c r="U781" s="6">
        <v>0</v>
      </c>
      <c r="V781" s="5">
        <v>10</v>
      </c>
      <c r="W781" s="5">
        <v>5</v>
      </c>
      <c r="X781" s="16">
        <v>2000</v>
      </c>
      <c r="Y781" s="16">
        <v>7000</v>
      </c>
      <c r="Z781" s="16">
        <v>14000</v>
      </c>
      <c r="AA781" s="12" t="str">
        <f t="shared" si="136"/>
        <v>0/30</v>
      </c>
      <c r="AB781" s="12" t="str">
        <f t="shared" si="137"/>
        <v>100,100,0,100,100,100</v>
      </c>
      <c r="AC781" s="12">
        <f t="shared" si="138"/>
        <v>2</v>
      </c>
      <c r="AD781" s="12" t="str">
        <f t="shared" si="139"/>
        <v>2000/7000/14000</v>
      </c>
      <c r="AE781" s="12" t="str">
        <f t="shared" si="140"/>
        <v/>
      </c>
      <c r="AF781" s="12" t="str">
        <f t="shared" si="141"/>
        <v/>
      </c>
      <c r="AG781" s="12" t="str">
        <f t="shared" si="142"/>
        <v>3/4/</v>
      </c>
      <c r="AH781" s="12" t="str">
        <f t="shared" si="143"/>
        <v>18/32/</v>
      </c>
      <c r="AI781" s="12" t="str">
        <f t="shared" si="144"/>
        <v>10/5</v>
      </c>
    </row>
    <row r="782" spans="1:35" s="8" customFormat="1" ht="21.95" customHeight="1">
      <c r="A782" s="9">
        <v>780</v>
      </c>
      <c r="B782" s="17">
        <v>780</v>
      </c>
      <c r="C782" s="6">
        <v>30</v>
      </c>
      <c r="D782" s="6">
        <v>0</v>
      </c>
      <c r="E782" s="5">
        <v>100</v>
      </c>
      <c r="F782" s="5">
        <v>100</v>
      </c>
      <c r="G782" s="5">
        <v>100</v>
      </c>
      <c r="H782" s="5">
        <v>0</v>
      </c>
      <c r="I782" s="5">
        <v>100</v>
      </c>
      <c r="J782" s="5">
        <v>100</v>
      </c>
      <c r="K782" s="15" t="s">
        <v>52</v>
      </c>
      <c r="L782" s="6">
        <v>3</v>
      </c>
      <c r="M782" s="6">
        <v>6</v>
      </c>
      <c r="N782" s="6">
        <v>0</v>
      </c>
      <c r="O782" s="5">
        <v>0</v>
      </c>
      <c r="P782" s="5">
        <v>0</v>
      </c>
      <c r="Q782" s="5">
        <v>0</v>
      </c>
      <c r="R782" s="5">
        <v>0</v>
      </c>
      <c r="S782" s="5">
        <v>0</v>
      </c>
      <c r="T782" s="5">
        <v>0</v>
      </c>
      <c r="U782" s="6">
        <v>0</v>
      </c>
      <c r="V782" s="5">
        <v>10</v>
      </c>
      <c r="W782" s="5">
        <v>5</v>
      </c>
      <c r="X782" s="16">
        <v>2000</v>
      </c>
      <c r="Y782" s="16">
        <v>7000</v>
      </c>
      <c r="Z782" s="16">
        <v>14000</v>
      </c>
      <c r="AA782" s="12" t="str">
        <f t="shared" si="136"/>
        <v>0/30</v>
      </c>
      <c r="AB782" s="12" t="str">
        <f t="shared" si="137"/>
        <v>100,100,100,0,100,100</v>
      </c>
      <c r="AC782" s="12">
        <f t="shared" si="138"/>
        <v>1</v>
      </c>
      <c r="AD782" s="12" t="str">
        <f t="shared" si="139"/>
        <v>2000/7000/14000</v>
      </c>
      <c r="AE782" s="12" t="str">
        <f t="shared" si="140"/>
        <v>0/</v>
      </c>
      <c r="AF782" s="12" t="str">
        <f t="shared" si="141"/>
        <v>6/</v>
      </c>
      <c r="AG782" s="12" t="str">
        <f t="shared" si="142"/>
        <v/>
      </c>
      <c r="AH782" s="12" t="str">
        <f t="shared" si="143"/>
        <v/>
      </c>
      <c r="AI782" s="12" t="str">
        <f t="shared" si="144"/>
        <v>10/5</v>
      </c>
    </row>
    <row r="783" spans="1:35" s="8" customFormat="1" ht="21.95" customHeight="1">
      <c r="A783" s="9">
        <v>781</v>
      </c>
      <c r="B783" s="17">
        <v>781</v>
      </c>
      <c r="C783" s="6">
        <v>30</v>
      </c>
      <c r="D783" s="6">
        <v>0</v>
      </c>
      <c r="E783" s="5">
        <v>100</v>
      </c>
      <c r="F783" s="5">
        <v>100</v>
      </c>
      <c r="G783" s="5">
        <v>100</v>
      </c>
      <c r="H783" s="5">
        <v>100</v>
      </c>
      <c r="I783" s="5">
        <v>0</v>
      </c>
      <c r="J783" s="5">
        <v>100</v>
      </c>
      <c r="K783" s="15" t="s">
        <v>52</v>
      </c>
      <c r="L783" s="6">
        <v>3</v>
      </c>
      <c r="M783" s="6">
        <v>2</v>
      </c>
      <c r="N783" s="6">
        <v>4</v>
      </c>
      <c r="O783" s="5">
        <v>0</v>
      </c>
      <c r="P783" s="5">
        <v>0</v>
      </c>
      <c r="Q783" s="5">
        <v>0</v>
      </c>
      <c r="R783" s="5">
        <v>0</v>
      </c>
      <c r="S783" s="5">
        <v>0</v>
      </c>
      <c r="T783" s="5">
        <v>0</v>
      </c>
      <c r="U783" s="6">
        <v>0</v>
      </c>
      <c r="V783" s="5">
        <v>10</v>
      </c>
      <c r="W783" s="5">
        <v>5</v>
      </c>
      <c r="X783" s="16">
        <v>2000</v>
      </c>
      <c r="Y783" s="16">
        <v>7000</v>
      </c>
      <c r="Z783" s="16">
        <v>14000</v>
      </c>
      <c r="AA783" s="12" t="str">
        <f t="shared" si="136"/>
        <v>0/30</v>
      </c>
      <c r="AB783" s="12" t="str">
        <f t="shared" si="137"/>
        <v>100,100,100,100,0,100</v>
      </c>
      <c r="AC783" s="12">
        <f t="shared" si="138"/>
        <v>1</v>
      </c>
      <c r="AD783" s="12" t="str">
        <f t="shared" si="139"/>
        <v>2000/7000/14000</v>
      </c>
      <c r="AE783" s="12" t="str">
        <f t="shared" si="140"/>
        <v>0/1/</v>
      </c>
      <c r="AF783" s="12" t="str">
        <f t="shared" si="141"/>
        <v>2/4/</v>
      </c>
      <c r="AG783" s="12" t="str">
        <f t="shared" si="142"/>
        <v/>
      </c>
      <c r="AH783" s="12" t="str">
        <f t="shared" si="143"/>
        <v/>
      </c>
      <c r="AI783" s="12" t="str">
        <f t="shared" si="144"/>
        <v>10/5</v>
      </c>
    </row>
    <row r="784" spans="1:35" s="8" customFormat="1" ht="21.95" customHeight="1">
      <c r="A784" s="9">
        <v>782</v>
      </c>
      <c r="B784" s="17">
        <v>782</v>
      </c>
      <c r="C784" s="6">
        <v>0</v>
      </c>
      <c r="D784" s="6">
        <v>60</v>
      </c>
      <c r="E784" s="5">
        <v>100</v>
      </c>
      <c r="F784" s="5">
        <v>100</v>
      </c>
      <c r="G784" s="5">
        <v>100</v>
      </c>
      <c r="H784" s="5">
        <v>100</v>
      </c>
      <c r="I784" s="5">
        <v>100</v>
      </c>
      <c r="J784" s="5">
        <v>0</v>
      </c>
      <c r="K784" s="15" t="s">
        <v>54</v>
      </c>
      <c r="L784" s="6">
        <v>3</v>
      </c>
      <c r="M784" s="6">
        <v>0</v>
      </c>
      <c r="N784" s="6">
        <v>0</v>
      </c>
      <c r="O784" s="5">
        <v>0</v>
      </c>
      <c r="P784" s="5">
        <v>0</v>
      </c>
      <c r="Q784" s="5">
        <v>0</v>
      </c>
      <c r="R784" s="5">
        <v>0</v>
      </c>
      <c r="S784" s="5">
        <v>0</v>
      </c>
      <c r="T784" s="5">
        <v>0</v>
      </c>
      <c r="U784" s="6">
        <v>0</v>
      </c>
      <c r="V784" s="5">
        <v>10</v>
      </c>
      <c r="W784" s="5">
        <v>5</v>
      </c>
      <c r="X784" s="16">
        <v>2000</v>
      </c>
      <c r="Y784" s="16">
        <v>7000</v>
      </c>
      <c r="Z784" s="16">
        <v>14000</v>
      </c>
      <c r="AA784" s="12" t="str">
        <f t="shared" si="136"/>
        <v>1/60</v>
      </c>
      <c r="AB784" s="12" t="str">
        <f t="shared" si="137"/>
        <v>100,100,100,100,100,0</v>
      </c>
      <c r="AC784" s="12">
        <f t="shared" si="138"/>
        <v>3</v>
      </c>
      <c r="AD784" s="12" t="str">
        <f t="shared" si="139"/>
        <v>2000/7000/14000</v>
      </c>
      <c r="AE784" s="12" t="str">
        <f t="shared" si="140"/>
        <v/>
      </c>
      <c r="AF784" s="12" t="str">
        <f t="shared" si="141"/>
        <v/>
      </c>
      <c r="AG784" s="12" t="str">
        <f t="shared" si="142"/>
        <v/>
      </c>
      <c r="AH784" s="12" t="str">
        <f t="shared" si="143"/>
        <v/>
      </c>
      <c r="AI784" s="12" t="str">
        <f t="shared" si="144"/>
        <v>10/5</v>
      </c>
    </row>
    <row r="785" spans="1:35" s="8" customFormat="1" ht="21.95" customHeight="1">
      <c r="A785" s="9">
        <v>783</v>
      </c>
      <c r="B785" s="17">
        <v>783</v>
      </c>
      <c r="C785" s="6">
        <v>0</v>
      </c>
      <c r="D785" s="6">
        <v>60</v>
      </c>
      <c r="E785" s="5">
        <v>0</v>
      </c>
      <c r="F785" s="5">
        <v>100</v>
      </c>
      <c r="G785" s="5">
        <v>100</v>
      </c>
      <c r="H785" s="5">
        <v>100</v>
      </c>
      <c r="I785" s="5">
        <v>100</v>
      </c>
      <c r="J785" s="5">
        <v>100</v>
      </c>
      <c r="K785" s="15" t="s">
        <v>54</v>
      </c>
      <c r="L785" s="6">
        <v>3</v>
      </c>
      <c r="M785" s="6">
        <v>0</v>
      </c>
      <c r="N785" s="6">
        <v>0</v>
      </c>
      <c r="O785" s="5">
        <v>0</v>
      </c>
      <c r="P785" s="5">
        <v>0</v>
      </c>
      <c r="Q785" s="5">
        <v>0</v>
      </c>
      <c r="R785" s="5">
        <v>0</v>
      </c>
      <c r="S785" s="5">
        <v>0</v>
      </c>
      <c r="T785" s="5">
        <v>0</v>
      </c>
      <c r="U785" s="6">
        <v>0</v>
      </c>
      <c r="V785" s="5">
        <v>10</v>
      </c>
      <c r="W785" s="5">
        <v>5</v>
      </c>
      <c r="X785" s="16">
        <v>2000</v>
      </c>
      <c r="Y785" s="16">
        <v>7000</v>
      </c>
      <c r="Z785" s="16">
        <v>14000</v>
      </c>
      <c r="AA785" s="12" t="str">
        <f t="shared" si="136"/>
        <v>1/60</v>
      </c>
      <c r="AB785" s="12" t="str">
        <f t="shared" si="137"/>
        <v>0,100,100,100,100,100</v>
      </c>
      <c r="AC785" s="12">
        <f t="shared" si="138"/>
        <v>3</v>
      </c>
      <c r="AD785" s="12" t="str">
        <f t="shared" si="139"/>
        <v>2000/7000/14000</v>
      </c>
      <c r="AE785" s="12" t="str">
        <f t="shared" si="140"/>
        <v/>
      </c>
      <c r="AF785" s="12" t="str">
        <f t="shared" si="141"/>
        <v/>
      </c>
      <c r="AG785" s="12" t="str">
        <f t="shared" si="142"/>
        <v/>
      </c>
      <c r="AH785" s="12" t="str">
        <f t="shared" si="143"/>
        <v/>
      </c>
      <c r="AI785" s="12" t="str">
        <f t="shared" si="144"/>
        <v>10/5</v>
      </c>
    </row>
    <row r="786" spans="1:35" s="8" customFormat="1" ht="21.95" customHeight="1">
      <c r="A786" s="9">
        <v>784</v>
      </c>
      <c r="B786" s="17">
        <v>784</v>
      </c>
      <c r="C786" s="6">
        <v>30</v>
      </c>
      <c r="D786" s="6">
        <v>0</v>
      </c>
      <c r="E786" s="5">
        <v>100</v>
      </c>
      <c r="F786" s="5">
        <v>0</v>
      </c>
      <c r="G786" s="5">
        <v>100</v>
      </c>
      <c r="H786" s="5">
        <v>100</v>
      </c>
      <c r="I786" s="5">
        <v>100</v>
      </c>
      <c r="J786" s="5">
        <v>100</v>
      </c>
      <c r="K786" s="15" t="s">
        <v>55</v>
      </c>
      <c r="L786" s="6">
        <v>3</v>
      </c>
      <c r="M786" s="6">
        <v>0</v>
      </c>
      <c r="N786" s="6">
        <v>0</v>
      </c>
      <c r="O786" s="5">
        <v>0</v>
      </c>
      <c r="P786" s="5">
        <v>0</v>
      </c>
      <c r="Q786" s="5">
        <v>0</v>
      </c>
      <c r="R786" s="5">
        <v>0</v>
      </c>
      <c r="S786" s="5">
        <v>0</v>
      </c>
      <c r="T786" s="5">
        <v>0</v>
      </c>
      <c r="U786" s="6">
        <v>5</v>
      </c>
      <c r="V786" s="5">
        <v>10</v>
      </c>
      <c r="W786" s="5">
        <v>5</v>
      </c>
      <c r="X786" s="16">
        <v>2000</v>
      </c>
      <c r="Y786" s="16">
        <v>7000</v>
      </c>
      <c r="Z786" s="16">
        <v>14000</v>
      </c>
      <c r="AA786" s="12" t="str">
        <f t="shared" si="136"/>
        <v>0/30</v>
      </c>
      <c r="AB786" s="12" t="str">
        <f t="shared" si="137"/>
        <v>100,0,100,100,100,100</v>
      </c>
      <c r="AC786" s="12">
        <f t="shared" si="138"/>
        <v>4</v>
      </c>
      <c r="AD786" s="12" t="str">
        <f t="shared" si="139"/>
        <v>2000/7000/14000</v>
      </c>
      <c r="AE786" s="12" t="str">
        <f t="shared" si="140"/>
        <v/>
      </c>
      <c r="AF786" s="12" t="str">
        <f t="shared" si="141"/>
        <v/>
      </c>
      <c r="AG786" s="12" t="str">
        <f t="shared" si="142"/>
        <v/>
      </c>
      <c r="AH786" s="12" t="str">
        <f t="shared" si="143"/>
        <v/>
      </c>
      <c r="AI786" s="12" t="str">
        <f t="shared" si="144"/>
        <v>10/5</v>
      </c>
    </row>
    <row r="787" spans="1:35" s="8" customFormat="1" ht="21.95" customHeight="1">
      <c r="A787" s="9">
        <v>785</v>
      </c>
      <c r="B787" s="17">
        <v>785</v>
      </c>
      <c r="C787" s="6">
        <v>30</v>
      </c>
      <c r="D787" s="6">
        <v>0</v>
      </c>
      <c r="E787" s="5">
        <v>100</v>
      </c>
      <c r="F787" s="5">
        <v>100</v>
      </c>
      <c r="G787" s="5">
        <v>0</v>
      </c>
      <c r="H787" s="5">
        <v>100</v>
      </c>
      <c r="I787" s="5">
        <v>100</v>
      </c>
      <c r="J787" s="5">
        <v>100</v>
      </c>
      <c r="K787" s="15" t="s">
        <v>55</v>
      </c>
      <c r="L787" s="6">
        <v>3</v>
      </c>
      <c r="M787" s="6">
        <v>0</v>
      </c>
      <c r="N787" s="6">
        <v>0</v>
      </c>
      <c r="O787" s="5">
        <v>0</v>
      </c>
      <c r="P787" s="5">
        <v>0</v>
      </c>
      <c r="Q787" s="5">
        <v>0</v>
      </c>
      <c r="R787" s="5">
        <v>0</v>
      </c>
      <c r="S787" s="5">
        <v>0</v>
      </c>
      <c r="T787" s="5">
        <v>0</v>
      </c>
      <c r="U787" s="6">
        <v>5</v>
      </c>
      <c r="V787" s="5">
        <v>10</v>
      </c>
      <c r="W787" s="5">
        <v>5</v>
      </c>
      <c r="X787" s="16">
        <v>2000</v>
      </c>
      <c r="Y787" s="16">
        <v>7000</v>
      </c>
      <c r="Z787" s="16">
        <v>14000</v>
      </c>
      <c r="AA787" s="12" t="str">
        <f t="shared" si="136"/>
        <v>0/30</v>
      </c>
      <c r="AB787" s="12" t="str">
        <f t="shared" si="137"/>
        <v>100,100,0,100,100,100</v>
      </c>
      <c r="AC787" s="12">
        <f t="shared" si="138"/>
        <v>4</v>
      </c>
      <c r="AD787" s="12" t="str">
        <f t="shared" si="139"/>
        <v>2000/7000/14000</v>
      </c>
      <c r="AE787" s="12" t="str">
        <f t="shared" si="140"/>
        <v/>
      </c>
      <c r="AF787" s="12" t="str">
        <f t="shared" si="141"/>
        <v/>
      </c>
      <c r="AG787" s="12" t="str">
        <f t="shared" si="142"/>
        <v/>
      </c>
      <c r="AH787" s="12" t="str">
        <f t="shared" si="143"/>
        <v/>
      </c>
      <c r="AI787" s="12" t="str">
        <f t="shared" si="144"/>
        <v>10/5</v>
      </c>
    </row>
    <row r="788" spans="1:35" s="8" customFormat="1" ht="21.95" customHeight="1">
      <c r="A788" s="9">
        <v>786</v>
      </c>
      <c r="B788" s="17">
        <v>786</v>
      </c>
      <c r="C788" s="6">
        <v>32</v>
      </c>
      <c r="D788" s="6">
        <v>0</v>
      </c>
      <c r="E788" s="5">
        <v>100</v>
      </c>
      <c r="F788" s="5">
        <v>100</v>
      </c>
      <c r="G788" s="5">
        <v>100</v>
      </c>
      <c r="H788" s="5">
        <v>0</v>
      </c>
      <c r="I788" s="5">
        <v>100</v>
      </c>
      <c r="J788" s="5">
        <v>100</v>
      </c>
      <c r="K788" s="15" t="s">
        <v>51</v>
      </c>
      <c r="L788" s="6">
        <v>3</v>
      </c>
      <c r="M788" s="6">
        <v>0</v>
      </c>
      <c r="N788" s="6">
        <v>0</v>
      </c>
      <c r="O788" s="5">
        <v>0</v>
      </c>
      <c r="P788" s="5">
        <v>0</v>
      </c>
      <c r="Q788" s="5">
        <v>0</v>
      </c>
      <c r="R788" s="5">
        <v>0</v>
      </c>
      <c r="S788" s="5">
        <v>0</v>
      </c>
      <c r="T788" s="5">
        <v>0</v>
      </c>
      <c r="U788" s="6">
        <v>0</v>
      </c>
      <c r="V788" s="5">
        <v>10</v>
      </c>
      <c r="W788" s="5">
        <v>5</v>
      </c>
      <c r="X788" s="16">
        <v>2000</v>
      </c>
      <c r="Y788" s="16">
        <v>7000</v>
      </c>
      <c r="Z788" s="16">
        <v>14000</v>
      </c>
      <c r="AA788" s="12" t="str">
        <f t="shared" si="136"/>
        <v>0/32</v>
      </c>
      <c r="AB788" s="12" t="str">
        <f t="shared" si="137"/>
        <v>100,100,100,0,100,100</v>
      </c>
      <c r="AC788" s="12">
        <f t="shared" si="138"/>
        <v>0</v>
      </c>
      <c r="AD788" s="12" t="str">
        <f t="shared" si="139"/>
        <v>2000/7000/14000</v>
      </c>
      <c r="AE788" s="12" t="str">
        <f t="shared" si="140"/>
        <v/>
      </c>
      <c r="AF788" s="12" t="str">
        <f t="shared" si="141"/>
        <v/>
      </c>
      <c r="AG788" s="12" t="str">
        <f t="shared" si="142"/>
        <v/>
      </c>
      <c r="AH788" s="12" t="str">
        <f t="shared" si="143"/>
        <v/>
      </c>
      <c r="AI788" s="12" t="str">
        <f t="shared" si="144"/>
        <v>10/5</v>
      </c>
    </row>
    <row r="789" spans="1:35" s="8" customFormat="1" ht="21.95" customHeight="1">
      <c r="A789" s="9">
        <v>787</v>
      </c>
      <c r="B789" s="17">
        <v>787</v>
      </c>
      <c r="C789" s="6">
        <v>30</v>
      </c>
      <c r="D789" s="6">
        <v>0</v>
      </c>
      <c r="E789" s="5">
        <v>100</v>
      </c>
      <c r="F789" s="5">
        <v>100</v>
      </c>
      <c r="G789" s="5">
        <v>100</v>
      </c>
      <c r="H789" s="5">
        <v>100</v>
      </c>
      <c r="I789" s="5">
        <v>0</v>
      </c>
      <c r="J789" s="5">
        <v>100</v>
      </c>
      <c r="K789" s="15" t="s">
        <v>53</v>
      </c>
      <c r="L789" s="6">
        <v>3</v>
      </c>
      <c r="M789" s="6">
        <v>0</v>
      </c>
      <c r="N789" s="6">
        <v>0</v>
      </c>
      <c r="O789" s="5">
        <v>16</v>
      </c>
      <c r="P789" s="5">
        <v>0</v>
      </c>
      <c r="Q789" s="5">
        <v>0</v>
      </c>
      <c r="R789" s="5">
        <v>0</v>
      </c>
      <c r="S789" s="5">
        <v>0</v>
      </c>
      <c r="T789" s="5">
        <v>18</v>
      </c>
      <c r="U789" s="6">
        <v>0</v>
      </c>
      <c r="V789" s="5">
        <v>10</v>
      </c>
      <c r="W789" s="5">
        <v>5</v>
      </c>
      <c r="X789" s="16">
        <v>2000</v>
      </c>
      <c r="Y789" s="16">
        <v>7000</v>
      </c>
      <c r="Z789" s="16">
        <v>14000</v>
      </c>
      <c r="AA789" s="12" t="str">
        <f t="shared" si="136"/>
        <v>0/30</v>
      </c>
      <c r="AB789" s="12" t="str">
        <f t="shared" si="137"/>
        <v>100,100,100,100,0,100</v>
      </c>
      <c r="AC789" s="12">
        <f t="shared" si="138"/>
        <v>2</v>
      </c>
      <c r="AD789" s="12" t="str">
        <f t="shared" si="139"/>
        <v>2000/7000/14000</v>
      </c>
      <c r="AE789" s="12" t="str">
        <f t="shared" si="140"/>
        <v/>
      </c>
      <c r="AF789" s="12" t="str">
        <f t="shared" si="141"/>
        <v/>
      </c>
      <c r="AG789" s="12" t="str">
        <f t="shared" si="142"/>
        <v>0/5/</v>
      </c>
      <c r="AH789" s="12" t="str">
        <f t="shared" si="143"/>
        <v>16/18/</v>
      </c>
      <c r="AI789" s="12" t="str">
        <f t="shared" si="144"/>
        <v>10/5</v>
      </c>
    </row>
    <row r="790" spans="1:35" s="8" customFormat="1" ht="21.95" customHeight="1">
      <c r="A790" s="9">
        <v>788</v>
      </c>
      <c r="B790" s="17">
        <v>788</v>
      </c>
      <c r="C790" s="6">
        <v>30</v>
      </c>
      <c r="D790" s="6">
        <v>0</v>
      </c>
      <c r="E790" s="5">
        <v>100</v>
      </c>
      <c r="F790" s="5">
        <v>100</v>
      </c>
      <c r="G790" s="5">
        <v>100</v>
      </c>
      <c r="H790" s="5">
        <v>100</v>
      </c>
      <c r="I790" s="5">
        <v>100</v>
      </c>
      <c r="J790" s="5">
        <v>0</v>
      </c>
      <c r="K790" s="15" t="s">
        <v>52</v>
      </c>
      <c r="L790" s="6">
        <v>3</v>
      </c>
      <c r="M790" s="6">
        <v>6</v>
      </c>
      <c r="N790" s="6">
        <v>0</v>
      </c>
      <c r="O790" s="5">
        <v>0</v>
      </c>
      <c r="P790" s="5">
        <v>0</v>
      </c>
      <c r="Q790" s="5">
        <v>0</v>
      </c>
      <c r="R790" s="5">
        <v>0</v>
      </c>
      <c r="S790" s="5">
        <v>0</v>
      </c>
      <c r="T790" s="5">
        <v>0</v>
      </c>
      <c r="U790" s="6">
        <v>0</v>
      </c>
      <c r="V790" s="5">
        <v>10</v>
      </c>
      <c r="W790" s="5">
        <v>5</v>
      </c>
      <c r="X790" s="16">
        <v>2000</v>
      </c>
      <c r="Y790" s="16">
        <v>7000</v>
      </c>
      <c r="Z790" s="16">
        <v>14000</v>
      </c>
      <c r="AA790" s="12" t="str">
        <f t="shared" si="136"/>
        <v>0/30</v>
      </c>
      <c r="AB790" s="12" t="str">
        <f t="shared" si="137"/>
        <v>100,100,100,100,100,0</v>
      </c>
      <c r="AC790" s="12">
        <f t="shared" si="138"/>
        <v>1</v>
      </c>
      <c r="AD790" s="12" t="str">
        <f t="shared" si="139"/>
        <v>2000/7000/14000</v>
      </c>
      <c r="AE790" s="12" t="str">
        <f t="shared" si="140"/>
        <v>0/</v>
      </c>
      <c r="AF790" s="12" t="str">
        <f t="shared" si="141"/>
        <v>6/</v>
      </c>
      <c r="AG790" s="12" t="str">
        <f t="shared" si="142"/>
        <v/>
      </c>
      <c r="AH790" s="12" t="str">
        <f t="shared" si="143"/>
        <v/>
      </c>
      <c r="AI790" s="12" t="str">
        <f t="shared" si="144"/>
        <v>10/5</v>
      </c>
    </row>
    <row r="791" spans="1:35" s="8" customFormat="1" ht="21.95" customHeight="1">
      <c r="A791" s="9">
        <v>789</v>
      </c>
      <c r="B791" s="17">
        <v>789</v>
      </c>
      <c r="C791" s="6">
        <v>30</v>
      </c>
      <c r="D791" s="6">
        <v>0</v>
      </c>
      <c r="E791" s="5">
        <v>0</v>
      </c>
      <c r="F791" s="5">
        <v>100</v>
      </c>
      <c r="G791" s="5">
        <v>100</v>
      </c>
      <c r="H791" s="5">
        <v>100</v>
      </c>
      <c r="I791" s="5">
        <v>100</v>
      </c>
      <c r="J791" s="5">
        <v>100</v>
      </c>
      <c r="K791" s="15" t="s">
        <v>52</v>
      </c>
      <c r="L791" s="6">
        <v>3</v>
      </c>
      <c r="M791" s="6">
        <v>0</v>
      </c>
      <c r="N791" s="6">
        <v>6</v>
      </c>
      <c r="O791" s="5">
        <v>0</v>
      </c>
      <c r="P791" s="5">
        <v>0</v>
      </c>
      <c r="Q791" s="5">
        <v>0</v>
      </c>
      <c r="R791" s="5">
        <v>0</v>
      </c>
      <c r="S791" s="5">
        <v>0</v>
      </c>
      <c r="T791" s="5">
        <v>0</v>
      </c>
      <c r="U791" s="6">
        <v>0</v>
      </c>
      <c r="V791" s="5">
        <v>10</v>
      </c>
      <c r="W791" s="5">
        <v>5</v>
      </c>
      <c r="X791" s="16">
        <v>2000</v>
      </c>
      <c r="Y791" s="16">
        <v>7000</v>
      </c>
      <c r="Z791" s="16">
        <v>14000</v>
      </c>
      <c r="AA791" s="12" t="str">
        <f t="shared" si="136"/>
        <v>0/30</v>
      </c>
      <c r="AB791" s="12" t="str">
        <f t="shared" si="137"/>
        <v>0,100,100,100,100,100</v>
      </c>
      <c r="AC791" s="12">
        <f t="shared" si="138"/>
        <v>1</v>
      </c>
      <c r="AD791" s="12" t="str">
        <f t="shared" si="139"/>
        <v>2000/7000/14000</v>
      </c>
      <c r="AE791" s="12" t="str">
        <f t="shared" si="140"/>
        <v>1/</v>
      </c>
      <c r="AF791" s="12" t="str">
        <f t="shared" si="141"/>
        <v>6/</v>
      </c>
      <c r="AG791" s="12" t="str">
        <f t="shared" si="142"/>
        <v/>
      </c>
      <c r="AH791" s="12" t="str">
        <f t="shared" si="143"/>
        <v/>
      </c>
      <c r="AI791" s="12" t="str">
        <f t="shared" si="144"/>
        <v>10/5</v>
      </c>
    </row>
    <row r="792" spans="1:35" s="8" customFormat="1" ht="21.95" customHeight="1">
      <c r="A792" s="9">
        <v>790</v>
      </c>
      <c r="B792" s="17">
        <v>790</v>
      </c>
      <c r="C792" s="6">
        <v>0</v>
      </c>
      <c r="D792" s="6">
        <v>60</v>
      </c>
      <c r="E792" s="5">
        <v>100</v>
      </c>
      <c r="F792" s="5">
        <v>0</v>
      </c>
      <c r="G792" s="5">
        <v>100</v>
      </c>
      <c r="H792" s="5">
        <v>100</v>
      </c>
      <c r="I792" s="5">
        <v>100</v>
      </c>
      <c r="J792" s="5">
        <v>100</v>
      </c>
      <c r="K792" s="15" t="s">
        <v>54</v>
      </c>
      <c r="L792" s="6">
        <v>3</v>
      </c>
      <c r="M792" s="6">
        <v>0</v>
      </c>
      <c r="N792" s="6">
        <v>0</v>
      </c>
      <c r="O792" s="5">
        <v>0</v>
      </c>
      <c r="P792" s="5">
        <v>0</v>
      </c>
      <c r="Q792" s="5">
        <v>0</v>
      </c>
      <c r="R792" s="5">
        <v>0</v>
      </c>
      <c r="S792" s="5">
        <v>0</v>
      </c>
      <c r="T792" s="5">
        <v>0</v>
      </c>
      <c r="U792" s="6">
        <v>0</v>
      </c>
      <c r="V792" s="5">
        <v>10</v>
      </c>
      <c r="W792" s="5">
        <v>5</v>
      </c>
      <c r="X792" s="16">
        <v>2000</v>
      </c>
      <c r="Y792" s="16">
        <v>7000</v>
      </c>
      <c r="Z792" s="16">
        <v>14000</v>
      </c>
      <c r="AA792" s="12" t="str">
        <f t="shared" si="136"/>
        <v>1/60</v>
      </c>
      <c r="AB792" s="12" t="str">
        <f t="shared" si="137"/>
        <v>100,0,100,100,100,100</v>
      </c>
      <c r="AC792" s="12">
        <f t="shared" si="138"/>
        <v>3</v>
      </c>
      <c r="AD792" s="12" t="str">
        <f t="shared" si="139"/>
        <v>2000/7000/14000</v>
      </c>
      <c r="AE792" s="12" t="str">
        <f t="shared" si="140"/>
        <v/>
      </c>
      <c r="AF792" s="12" t="str">
        <f t="shared" si="141"/>
        <v/>
      </c>
      <c r="AG792" s="12" t="str">
        <f t="shared" si="142"/>
        <v/>
      </c>
      <c r="AH792" s="12" t="str">
        <f t="shared" si="143"/>
        <v/>
      </c>
      <c r="AI792" s="12" t="str">
        <f t="shared" si="144"/>
        <v>10/5</v>
      </c>
    </row>
    <row r="793" spans="1:35" s="8" customFormat="1" ht="21.95" customHeight="1">
      <c r="A793" s="9">
        <v>791</v>
      </c>
      <c r="B793" s="17">
        <v>791</v>
      </c>
      <c r="C793" s="6">
        <v>0</v>
      </c>
      <c r="D793" s="6">
        <v>60</v>
      </c>
      <c r="E793" s="5">
        <v>100</v>
      </c>
      <c r="F793" s="5">
        <v>100</v>
      </c>
      <c r="G793" s="5">
        <v>0</v>
      </c>
      <c r="H793" s="5">
        <v>100</v>
      </c>
      <c r="I793" s="5">
        <v>100</v>
      </c>
      <c r="J793" s="5">
        <v>100</v>
      </c>
      <c r="K793" s="15" t="s">
        <v>54</v>
      </c>
      <c r="L793" s="6">
        <v>3</v>
      </c>
      <c r="M793" s="6">
        <v>0</v>
      </c>
      <c r="N793" s="6">
        <v>0</v>
      </c>
      <c r="O793" s="5">
        <v>0</v>
      </c>
      <c r="P793" s="5">
        <v>0</v>
      </c>
      <c r="Q793" s="5">
        <v>0</v>
      </c>
      <c r="R793" s="5">
        <v>0</v>
      </c>
      <c r="S793" s="5">
        <v>0</v>
      </c>
      <c r="T793" s="5">
        <v>0</v>
      </c>
      <c r="U793" s="6">
        <v>0</v>
      </c>
      <c r="V793" s="5">
        <v>10</v>
      </c>
      <c r="W793" s="5">
        <v>5</v>
      </c>
      <c r="X793" s="16">
        <v>2000</v>
      </c>
      <c r="Y793" s="16">
        <v>7000</v>
      </c>
      <c r="Z793" s="16">
        <v>14000</v>
      </c>
      <c r="AA793" s="12" t="str">
        <f t="shared" si="136"/>
        <v>1/60</v>
      </c>
      <c r="AB793" s="12" t="str">
        <f t="shared" si="137"/>
        <v>100,100,0,100,100,100</v>
      </c>
      <c r="AC793" s="12">
        <f t="shared" si="138"/>
        <v>3</v>
      </c>
      <c r="AD793" s="12" t="str">
        <f t="shared" si="139"/>
        <v>2000/7000/14000</v>
      </c>
      <c r="AE793" s="12" t="str">
        <f t="shared" si="140"/>
        <v/>
      </c>
      <c r="AF793" s="12" t="str">
        <f t="shared" si="141"/>
        <v/>
      </c>
      <c r="AG793" s="12" t="str">
        <f t="shared" si="142"/>
        <v/>
      </c>
      <c r="AH793" s="12" t="str">
        <f t="shared" si="143"/>
        <v/>
      </c>
      <c r="AI793" s="12" t="str">
        <f t="shared" si="144"/>
        <v>10/5</v>
      </c>
    </row>
    <row r="794" spans="1:35" s="8" customFormat="1" ht="21.95" customHeight="1">
      <c r="A794" s="9">
        <v>792</v>
      </c>
      <c r="B794" s="17">
        <v>792</v>
      </c>
      <c r="C794" s="6">
        <v>0</v>
      </c>
      <c r="D794" s="6">
        <v>60</v>
      </c>
      <c r="E794" s="5">
        <v>100</v>
      </c>
      <c r="F794" s="5">
        <v>100</v>
      </c>
      <c r="G794" s="5">
        <v>100</v>
      </c>
      <c r="H794" s="5">
        <v>100</v>
      </c>
      <c r="I794" s="5">
        <v>0</v>
      </c>
      <c r="J794" s="5">
        <v>100</v>
      </c>
      <c r="K794" s="15" t="s">
        <v>52</v>
      </c>
      <c r="L794" s="6">
        <v>3</v>
      </c>
      <c r="M794" s="6">
        <v>2</v>
      </c>
      <c r="N794" s="6">
        <v>4</v>
      </c>
      <c r="O794" s="5">
        <v>0</v>
      </c>
      <c r="P794" s="5">
        <v>0</v>
      </c>
      <c r="Q794" s="5">
        <v>0</v>
      </c>
      <c r="R794" s="5">
        <v>0</v>
      </c>
      <c r="S794" s="5">
        <v>0</v>
      </c>
      <c r="T794" s="5">
        <v>0</v>
      </c>
      <c r="U794" s="6">
        <v>0</v>
      </c>
      <c r="V794" s="5">
        <v>10</v>
      </c>
      <c r="W794" s="5">
        <v>5</v>
      </c>
      <c r="X794" s="16">
        <v>2000</v>
      </c>
      <c r="Y794" s="16">
        <v>7000</v>
      </c>
      <c r="Z794" s="16">
        <v>14000</v>
      </c>
      <c r="AA794" s="12" t="str">
        <f t="shared" si="136"/>
        <v>1/60</v>
      </c>
      <c r="AB794" s="12" t="str">
        <f t="shared" si="137"/>
        <v>100,100,100,100,0,100</v>
      </c>
      <c r="AC794" s="12">
        <f t="shared" si="138"/>
        <v>1</v>
      </c>
      <c r="AD794" s="12" t="str">
        <f t="shared" si="139"/>
        <v>2000/7000/14000</v>
      </c>
      <c r="AE794" s="12" t="str">
        <f t="shared" si="140"/>
        <v>0/1/</v>
      </c>
      <c r="AF794" s="12" t="str">
        <f t="shared" si="141"/>
        <v>2/4/</v>
      </c>
      <c r="AG794" s="12" t="str">
        <f t="shared" si="142"/>
        <v/>
      </c>
      <c r="AH794" s="12" t="str">
        <f t="shared" si="143"/>
        <v/>
      </c>
      <c r="AI794" s="12" t="str">
        <f t="shared" si="144"/>
        <v>10/5</v>
      </c>
    </row>
    <row r="795" spans="1:35" s="8" customFormat="1" ht="21.95" customHeight="1">
      <c r="A795" s="9">
        <v>793</v>
      </c>
      <c r="B795" s="17">
        <v>793</v>
      </c>
      <c r="C795" s="6">
        <v>30</v>
      </c>
      <c r="D795" s="6">
        <v>0</v>
      </c>
      <c r="E795" s="5">
        <v>100</v>
      </c>
      <c r="F795" s="5">
        <v>100</v>
      </c>
      <c r="G795" s="5">
        <v>100</v>
      </c>
      <c r="H795" s="5">
        <v>100</v>
      </c>
      <c r="I795" s="5">
        <v>100</v>
      </c>
      <c r="J795" s="5">
        <v>0</v>
      </c>
      <c r="K795" s="15" t="s">
        <v>54</v>
      </c>
      <c r="L795" s="6">
        <v>3</v>
      </c>
      <c r="M795" s="6">
        <v>0</v>
      </c>
      <c r="N795" s="6">
        <v>0</v>
      </c>
      <c r="O795" s="5">
        <v>0</v>
      </c>
      <c r="P795" s="5">
        <v>0</v>
      </c>
      <c r="Q795" s="5">
        <v>0</v>
      </c>
      <c r="R795" s="5">
        <v>0</v>
      </c>
      <c r="S795" s="5">
        <v>0</v>
      </c>
      <c r="T795" s="5">
        <v>0</v>
      </c>
      <c r="U795" s="6">
        <v>0</v>
      </c>
      <c r="V795" s="5">
        <v>10</v>
      </c>
      <c r="W795" s="5">
        <v>5</v>
      </c>
      <c r="X795" s="16">
        <v>2000</v>
      </c>
      <c r="Y795" s="16">
        <v>7000</v>
      </c>
      <c r="Z795" s="16">
        <v>14000</v>
      </c>
      <c r="AA795" s="12" t="str">
        <f t="shared" si="136"/>
        <v>0/30</v>
      </c>
      <c r="AB795" s="12" t="str">
        <f t="shared" si="137"/>
        <v>100,100,100,100,100,0</v>
      </c>
      <c r="AC795" s="12">
        <f t="shared" si="138"/>
        <v>3</v>
      </c>
      <c r="AD795" s="12" t="str">
        <f t="shared" si="139"/>
        <v>2000/7000/14000</v>
      </c>
      <c r="AE795" s="12" t="str">
        <f t="shared" si="140"/>
        <v/>
      </c>
      <c r="AF795" s="12" t="str">
        <f t="shared" si="141"/>
        <v/>
      </c>
      <c r="AG795" s="12" t="str">
        <f t="shared" si="142"/>
        <v/>
      </c>
      <c r="AH795" s="12" t="str">
        <f t="shared" si="143"/>
        <v/>
      </c>
      <c r="AI795" s="12" t="str">
        <f t="shared" si="144"/>
        <v>10/5</v>
      </c>
    </row>
    <row r="796" spans="1:35" s="8" customFormat="1" ht="21.95" customHeight="1">
      <c r="A796" s="9">
        <v>794</v>
      </c>
      <c r="B796" s="17">
        <v>794</v>
      </c>
      <c r="C796" s="6">
        <v>30</v>
      </c>
      <c r="D796" s="6">
        <v>0</v>
      </c>
      <c r="E796" s="5">
        <v>0</v>
      </c>
      <c r="F796" s="5">
        <v>100</v>
      </c>
      <c r="G796" s="5">
        <v>100</v>
      </c>
      <c r="H796" s="5">
        <v>100</v>
      </c>
      <c r="I796" s="5">
        <v>100</v>
      </c>
      <c r="J796" s="5">
        <v>100</v>
      </c>
      <c r="K796" s="15" t="s">
        <v>54</v>
      </c>
      <c r="L796" s="6">
        <v>3</v>
      </c>
      <c r="M796" s="6">
        <v>0</v>
      </c>
      <c r="N796" s="6">
        <v>0</v>
      </c>
      <c r="O796" s="5">
        <v>0</v>
      </c>
      <c r="P796" s="5">
        <v>0</v>
      </c>
      <c r="Q796" s="5">
        <v>0</v>
      </c>
      <c r="R796" s="5">
        <v>0</v>
      </c>
      <c r="S796" s="5">
        <v>0</v>
      </c>
      <c r="T796" s="5">
        <v>0</v>
      </c>
      <c r="U796" s="6">
        <v>0</v>
      </c>
      <c r="V796" s="5">
        <v>10</v>
      </c>
      <c r="W796" s="5">
        <v>5</v>
      </c>
      <c r="X796" s="16">
        <v>2000</v>
      </c>
      <c r="Y796" s="16">
        <v>7000</v>
      </c>
      <c r="Z796" s="16">
        <v>14000</v>
      </c>
      <c r="AA796" s="12" t="str">
        <f t="shared" si="136"/>
        <v>0/30</v>
      </c>
      <c r="AB796" s="12" t="str">
        <f t="shared" si="137"/>
        <v>0,100,100,100,100,100</v>
      </c>
      <c r="AC796" s="12">
        <f t="shared" si="138"/>
        <v>3</v>
      </c>
      <c r="AD796" s="12" t="str">
        <f t="shared" si="139"/>
        <v>2000/7000/14000</v>
      </c>
      <c r="AE796" s="12" t="str">
        <f t="shared" si="140"/>
        <v/>
      </c>
      <c r="AF796" s="12" t="str">
        <f t="shared" si="141"/>
        <v/>
      </c>
      <c r="AG796" s="12" t="str">
        <f t="shared" si="142"/>
        <v/>
      </c>
      <c r="AH796" s="12" t="str">
        <f t="shared" si="143"/>
        <v/>
      </c>
      <c r="AI796" s="12" t="str">
        <f t="shared" si="144"/>
        <v>10/5</v>
      </c>
    </row>
    <row r="797" spans="1:35" s="8" customFormat="1" ht="21.95" customHeight="1">
      <c r="A797" s="9">
        <v>795</v>
      </c>
      <c r="B797" s="17">
        <v>795</v>
      </c>
      <c r="C797" s="6">
        <v>30</v>
      </c>
      <c r="D797" s="6">
        <v>0</v>
      </c>
      <c r="E797" s="5">
        <v>100</v>
      </c>
      <c r="F797" s="5">
        <v>0</v>
      </c>
      <c r="G797" s="5">
        <v>100</v>
      </c>
      <c r="H797" s="5">
        <v>100</v>
      </c>
      <c r="I797" s="5">
        <v>100</v>
      </c>
      <c r="J797" s="5">
        <v>100</v>
      </c>
      <c r="K797" s="15" t="s">
        <v>55</v>
      </c>
      <c r="L797" s="6">
        <v>3</v>
      </c>
      <c r="M797" s="6">
        <v>0</v>
      </c>
      <c r="N797" s="6">
        <v>0</v>
      </c>
      <c r="O797" s="5">
        <v>0</v>
      </c>
      <c r="P797" s="5">
        <v>0</v>
      </c>
      <c r="Q797" s="5">
        <v>0</v>
      </c>
      <c r="R797" s="5">
        <v>0</v>
      </c>
      <c r="S797" s="5">
        <v>0</v>
      </c>
      <c r="T797" s="5">
        <v>0</v>
      </c>
      <c r="U797" s="6">
        <v>5</v>
      </c>
      <c r="V797" s="5">
        <v>10</v>
      </c>
      <c r="W797" s="5">
        <v>5</v>
      </c>
      <c r="X797" s="16">
        <v>2000</v>
      </c>
      <c r="Y797" s="16">
        <v>7000</v>
      </c>
      <c r="Z797" s="16">
        <v>14000</v>
      </c>
      <c r="AA797" s="12" t="str">
        <f t="shared" si="136"/>
        <v>0/30</v>
      </c>
      <c r="AB797" s="12" t="str">
        <f t="shared" si="137"/>
        <v>100,0,100,100,100,100</v>
      </c>
      <c r="AC797" s="12">
        <f t="shared" si="138"/>
        <v>4</v>
      </c>
      <c r="AD797" s="12" t="str">
        <f t="shared" si="139"/>
        <v>2000/7000/14000</v>
      </c>
      <c r="AE797" s="12" t="str">
        <f t="shared" si="140"/>
        <v/>
      </c>
      <c r="AF797" s="12" t="str">
        <f t="shared" si="141"/>
        <v/>
      </c>
      <c r="AG797" s="12" t="str">
        <f t="shared" si="142"/>
        <v/>
      </c>
      <c r="AH797" s="12" t="str">
        <f t="shared" si="143"/>
        <v/>
      </c>
      <c r="AI797" s="12" t="str">
        <f t="shared" si="144"/>
        <v>10/5</v>
      </c>
    </row>
    <row r="798" spans="1:35" s="8" customFormat="1" ht="21.95" customHeight="1">
      <c r="A798" s="9">
        <v>796</v>
      </c>
      <c r="B798" s="17">
        <v>796</v>
      </c>
      <c r="C798" s="6">
        <v>30</v>
      </c>
      <c r="D798" s="6">
        <v>0</v>
      </c>
      <c r="E798" s="5">
        <v>100</v>
      </c>
      <c r="F798" s="5">
        <v>100</v>
      </c>
      <c r="G798" s="5">
        <v>0</v>
      </c>
      <c r="H798" s="5">
        <v>100</v>
      </c>
      <c r="I798" s="5">
        <v>100</v>
      </c>
      <c r="J798" s="5">
        <v>100</v>
      </c>
      <c r="K798" s="15" t="s">
        <v>55</v>
      </c>
      <c r="L798" s="6">
        <v>3</v>
      </c>
      <c r="M798" s="6">
        <v>0</v>
      </c>
      <c r="N798" s="6">
        <v>0</v>
      </c>
      <c r="O798" s="5">
        <v>0</v>
      </c>
      <c r="P798" s="5">
        <v>0</v>
      </c>
      <c r="Q798" s="5">
        <v>0</v>
      </c>
      <c r="R798" s="5">
        <v>0</v>
      </c>
      <c r="S798" s="5">
        <v>0</v>
      </c>
      <c r="T798" s="5">
        <v>0</v>
      </c>
      <c r="U798" s="6">
        <v>5</v>
      </c>
      <c r="V798" s="5">
        <v>10</v>
      </c>
      <c r="W798" s="5">
        <v>5</v>
      </c>
      <c r="X798" s="16">
        <v>2000</v>
      </c>
      <c r="Y798" s="16">
        <v>7000</v>
      </c>
      <c r="Z798" s="16">
        <v>14000</v>
      </c>
      <c r="AA798" s="12" t="str">
        <f t="shared" si="136"/>
        <v>0/30</v>
      </c>
      <c r="AB798" s="12" t="str">
        <f t="shared" si="137"/>
        <v>100,100,0,100,100,100</v>
      </c>
      <c r="AC798" s="12">
        <f t="shared" si="138"/>
        <v>4</v>
      </c>
      <c r="AD798" s="12" t="str">
        <f t="shared" si="139"/>
        <v>2000/7000/14000</v>
      </c>
      <c r="AE798" s="12" t="str">
        <f t="shared" si="140"/>
        <v/>
      </c>
      <c r="AF798" s="12" t="str">
        <f t="shared" si="141"/>
        <v/>
      </c>
      <c r="AG798" s="12" t="str">
        <f t="shared" si="142"/>
        <v/>
      </c>
      <c r="AH798" s="12" t="str">
        <f t="shared" si="143"/>
        <v/>
      </c>
      <c r="AI798" s="12" t="str">
        <f t="shared" si="144"/>
        <v>10/5</v>
      </c>
    </row>
    <row r="799" spans="1:35" s="8" customFormat="1" ht="21.95" customHeight="1">
      <c r="A799" s="9">
        <v>797</v>
      </c>
      <c r="B799" s="17">
        <v>797</v>
      </c>
      <c r="C799" s="6">
        <v>32</v>
      </c>
      <c r="D799" s="6">
        <v>0</v>
      </c>
      <c r="E799" s="5">
        <v>100</v>
      </c>
      <c r="F799" s="5">
        <v>100</v>
      </c>
      <c r="G799" s="5">
        <v>100</v>
      </c>
      <c r="H799" s="5">
        <v>0</v>
      </c>
      <c r="I799" s="5">
        <v>100</v>
      </c>
      <c r="J799" s="5">
        <v>100</v>
      </c>
      <c r="K799" s="15" t="s">
        <v>51</v>
      </c>
      <c r="L799" s="6">
        <v>3</v>
      </c>
      <c r="M799" s="6">
        <v>0</v>
      </c>
      <c r="N799" s="6">
        <v>0</v>
      </c>
      <c r="O799" s="5">
        <v>0</v>
      </c>
      <c r="P799" s="5">
        <v>0</v>
      </c>
      <c r="Q799" s="5">
        <v>0</v>
      </c>
      <c r="R799" s="5">
        <v>0</v>
      </c>
      <c r="S799" s="5">
        <v>0</v>
      </c>
      <c r="T799" s="5">
        <v>0</v>
      </c>
      <c r="U799" s="6">
        <v>0</v>
      </c>
      <c r="V799" s="5">
        <v>10</v>
      </c>
      <c r="W799" s="5">
        <v>5</v>
      </c>
      <c r="X799" s="16">
        <v>2000</v>
      </c>
      <c r="Y799" s="16">
        <v>7000</v>
      </c>
      <c r="Z799" s="16">
        <v>14000</v>
      </c>
      <c r="AA799" s="12" t="str">
        <f t="shared" si="136"/>
        <v>0/32</v>
      </c>
      <c r="AB799" s="12" t="str">
        <f t="shared" si="137"/>
        <v>100,100,100,0,100,100</v>
      </c>
      <c r="AC799" s="12">
        <f t="shared" si="138"/>
        <v>0</v>
      </c>
      <c r="AD799" s="12" t="str">
        <f t="shared" si="139"/>
        <v>2000/7000/14000</v>
      </c>
      <c r="AE799" s="12" t="str">
        <f t="shared" si="140"/>
        <v/>
      </c>
      <c r="AF799" s="12" t="str">
        <f t="shared" si="141"/>
        <v/>
      </c>
      <c r="AG799" s="12" t="str">
        <f t="shared" si="142"/>
        <v/>
      </c>
      <c r="AH799" s="12" t="str">
        <f t="shared" si="143"/>
        <v/>
      </c>
      <c r="AI799" s="12" t="str">
        <f t="shared" si="144"/>
        <v>10/5</v>
      </c>
    </row>
    <row r="800" spans="1:35" s="8" customFormat="1" ht="21.95" customHeight="1">
      <c r="A800" s="9">
        <v>798</v>
      </c>
      <c r="B800" s="17">
        <v>798</v>
      </c>
      <c r="C800" s="6">
        <v>30</v>
      </c>
      <c r="D800" s="6">
        <v>0</v>
      </c>
      <c r="E800" s="5">
        <v>100</v>
      </c>
      <c r="F800" s="5">
        <v>100</v>
      </c>
      <c r="G800" s="5">
        <v>0</v>
      </c>
      <c r="H800" s="5">
        <v>100</v>
      </c>
      <c r="I800" s="5">
        <v>100</v>
      </c>
      <c r="J800" s="5">
        <v>100</v>
      </c>
      <c r="K800" s="15" t="s">
        <v>56</v>
      </c>
      <c r="L800" s="6">
        <v>3</v>
      </c>
      <c r="M800" s="6">
        <v>0</v>
      </c>
      <c r="N800" s="6">
        <v>0</v>
      </c>
      <c r="O800" s="5">
        <v>0</v>
      </c>
      <c r="P800" s="5">
        <v>0</v>
      </c>
      <c r="Q800" s="5">
        <v>0</v>
      </c>
      <c r="R800" s="5">
        <v>0</v>
      </c>
      <c r="S800" s="5">
        <v>0</v>
      </c>
      <c r="T800" s="5">
        <v>0</v>
      </c>
      <c r="U800" s="6">
        <v>0</v>
      </c>
      <c r="V800" s="5">
        <v>10</v>
      </c>
      <c r="W800" s="5">
        <v>5</v>
      </c>
      <c r="X800" s="16">
        <v>2000</v>
      </c>
      <c r="Y800" s="16">
        <v>7000</v>
      </c>
      <c r="Z800" s="16">
        <v>14000</v>
      </c>
      <c r="AA800" s="12" t="str">
        <f t="shared" si="136"/>
        <v>0/30</v>
      </c>
      <c r="AB800" s="12" t="str">
        <f t="shared" si="137"/>
        <v>100,100,0,100,100,100</v>
      </c>
      <c r="AC800" s="12">
        <f t="shared" si="138"/>
        <v>5</v>
      </c>
      <c r="AD800" s="12" t="str">
        <f t="shared" si="139"/>
        <v>2000/7000/14000</v>
      </c>
      <c r="AE800" s="12" t="str">
        <f t="shared" si="140"/>
        <v/>
      </c>
      <c r="AF800" s="12" t="str">
        <f t="shared" si="141"/>
        <v/>
      </c>
      <c r="AG800" s="12" t="str">
        <f t="shared" si="142"/>
        <v/>
      </c>
      <c r="AH800" s="12" t="str">
        <f t="shared" si="143"/>
        <v/>
      </c>
      <c r="AI800" s="12" t="str">
        <f t="shared" si="144"/>
        <v>10/5</v>
      </c>
    </row>
    <row r="801" spans="1:35" s="8" customFormat="1" ht="21.95" customHeight="1">
      <c r="A801" s="9">
        <v>799</v>
      </c>
      <c r="B801" s="17">
        <v>799</v>
      </c>
      <c r="C801" s="6">
        <v>30</v>
      </c>
      <c r="D801" s="6">
        <v>0</v>
      </c>
      <c r="E801" s="5">
        <v>100</v>
      </c>
      <c r="F801" s="5">
        <v>100</v>
      </c>
      <c r="G801" s="5">
        <v>100</v>
      </c>
      <c r="H801" s="5">
        <v>0</v>
      </c>
      <c r="I801" s="5">
        <v>100</v>
      </c>
      <c r="J801" s="5">
        <v>100</v>
      </c>
      <c r="K801" s="15" t="s">
        <v>53</v>
      </c>
      <c r="L801" s="6">
        <v>3</v>
      </c>
      <c r="M801" s="6">
        <v>0</v>
      </c>
      <c r="N801" s="6">
        <v>0</v>
      </c>
      <c r="O801" s="5">
        <v>0</v>
      </c>
      <c r="P801" s="5">
        <v>0</v>
      </c>
      <c r="Q801" s="5">
        <v>0</v>
      </c>
      <c r="R801" s="5">
        <v>0</v>
      </c>
      <c r="S801" s="5">
        <v>18</v>
      </c>
      <c r="T801" s="5">
        <v>16</v>
      </c>
      <c r="U801" s="6">
        <v>0</v>
      </c>
      <c r="V801" s="5">
        <v>10</v>
      </c>
      <c r="W801" s="5">
        <v>5</v>
      </c>
      <c r="X801" s="16">
        <v>2000</v>
      </c>
      <c r="Y801" s="16">
        <v>7000</v>
      </c>
      <c r="Z801" s="16">
        <v>14000</v>
      </c>
      <c r="AA801" s="12" t="str">
        <f t="shared" si="136"/>
        <v>0/30</v>
      </c>
      <c r="AB801" s="12" t="str">
        <f t="shared" si="137"/>
        <v>100,100,100,0,100,100</v>
      </c>
      <c r="AC801" s="12">
        <f t="shared" si="138"/>
        <v>2</v>
      </c>
      <c r="AD801" s="12" t="str">
        <f t="shared" si="139"/>
        <v>2000/7000/14000</v>
      </c>
      <c r="AE801" s="12" t="str">
        <f t="shared" si="140"/>
        <v/>
      </c>
      <c r="AF801" s="12" t="str">
        <f t="shared" si="141"/>
        <v/>
      </c>
      <c r="AG801" s="12" t="str">
        <f t="shared" si="142"/>
        <v>4/5/</v>
      </c>
      <c r="AH801" s="12" t="str">
        <f t="shared" si="143"/>
        <v>18/16/</v>
      </c>
      <c r="AI801" s="12" t="str">
        <f t="shared" si="144"/>
        <v>10/5</v>
      </c>
    </row>
    <row r="802" spans="1:35" s="8" customFormat="1" ht="21.95" customHeight="1">
      <c r="A802" s="9">
        <v>800</v>
      </c>
      <c r="B802" s="17">
        <v>800</v>
      </c>
      <c r="C802" s="6">
        <v>30</v>
      </c>
      <c r="D802" s="6">
        <v>0</v>
      </c>
      <c r="E802" s="5">
        <v>100</v>
      </c>
      <c r="F802" s="5">
        <v>100</v>
      </c>
      <c r="G802" s="5">
        <v>100</v>
      </c>
      <c r="H802" s="5">
        <v>100</v>
      </c>
      <c r="I802" s="5">
        <v>0</v>
      </c>
      <c r="J802" s="5">
        <v>100</v>
      </c>
      <c r="K802" s="15" t="s">
        <v>53</v>
      </c>
      <c r="L802" s="6">
        <v>3</v>
      </c>
      <c r="M802" s="6">
        <v>0</v>
      </c>
      <c r="N802" s="6">
        <v>0</v>
      </c>
      <c r="O802" s="5">
        <v>16</v>
      </c>
      <c r="P802" s="5">
        <v>0</v>
      </c>
      <c r="Q802" s="5">
        <v>0</v>
      </c>
      <c r="R802" s="5">
        <v>0</v>
      </c>
      <c r="S802" s="5">
        <v>0</v>
      </c>
      <c r="T802" s="5">
        <v>18</v>
      </c>
      <c r="U802" s="6">
        <v>0</v>
      </c>
      <c r="V802" s="5">
        <v>10</v>
      </c>
      <c r="W802" s="5">
        <v>5</v>
      </c>
      <c r="X802" s="16">
        <v>2000</v>
      </c>
      <c r="Y802" s="16">
        <v>7000</v>
      </c>
      <c r="Z802" s="16">
        <v>14000</v>
      </c>
      <c r="AA802" s="12" t="str">
        <f t="shared" ref="AA802:AA865" si="145">IF(C802=0,CONCATENATE("1/",D802),CONCATENATE("0/",C802))</f>
        <v>0/30</v>
      </c>
      <c r="AB802" s="12" t="str">
        <f t="shared" ref="AB802:AB865" si="146">CONCATENATE(E802,",",F802,",",G802,",",H802,",",I802,",",J802)</f>
        <v>100,100,100,100,0,100</v>
      </c>
      <c r="AC802" s="12">
        <f t="shared" ref="AC802:AC865" si="147">VLOOKUP(K802,$I$1005:$J$1012,2,FALSE)</f>
        <v>2</v>
      </c>
      <c r="AD802" s="12" t="str">
        <f t="shared" ref="AD802:AD865" si="148">CONCATENATE(X802,"/",Y802,"/",Z802)</f>
        <v>2000/7000/14000</v>
      </c>
      <c r="AE802" s="12" t="str">
        <f t="shared" ref="AE802:AE865" si="149">CONCATENATE(IF(M802=0,"","0/"),IF(N802=0,"","1/"))</f>
        <v/>
      </c>
      <c r="AF802" s="12" t="str">
        <f t="shared" ref="AF802:AF865" si="150">CONCATENATE(IF(M802=0,"",CONCATENATE(M802,"/")),IF(N802=0,"",CONCATENATE(N802,"/")))</f>
        <v/>
      </c>
      <c r="AG802" s="12" t="str">
        <f t="shared" ref="AG802:AG865" si="151">CONCATENATE(IF(O802=0,"","0/"),IF(P802=0,"","1/"),IF(Q802=0,"","2/"),IF(R802=0,"","3/"),IF(S802=0,"","4/"),IF(T802=0,"","5/"))</f>
        <v>0/5/</v>
      </c>
      <c r="AH802" s="12" t="str">
        <f t="shared" ref="AH802:AH865" si="152">CONCATENATE(IF(O802=0,"",CONCATENATE(O802,"/")),IF(P802=0,"",CONCATENATE(P802,"/")),IF(Q802=0,"",CONCATENATE(Q802,"/")),IF(R802=0,"",CONCATENATE(R802,"/")),IF(S802=0,"",CONCATENATE(S802,"/")),IF(T802=0,"",CONCATENATE(T802,"/")))</f>
        <v>16/18/</v>
      </c>
      <c r="AI802" s="12" t="str">
        <f t="shared" ref="AI802:AI865" si="153">CONCATENATE(V802,"/",W802)</f>
        <v>10/5</v>
      </c>
    </row>
    <row r="803" spans="1:35" s="8" customFormat="1" ht="21.95" customHeight="1">
      <c r="A803" s="9">
        <v>801</v>
      </c>
      <c r="B803" s="17">
        <v>801</v>
      </c>
      <c r="C803" s="6">
        <v>30</v>
      </c>
      <c r="D803" s="6">
        <v>0</v>
      </c>
      <c r="E803" s="5">
        <v>100</v>
      </c>
      <c r="F803" s="5">
        <v>100</v>
      </c>
      <c r="G803" s="5">
        <v>100</v>
      </c>
      <c r="H803" s="5">
        <v>100</v>
      </c>
      <c r="I803" s="5">
        <v>100</v>
      </c>
      <c r="J803" s="5">
        <v>0</v>
      </c>
      <c r="K803" s="15" t="s">
        <v>52</v>
      </c>
      <c r="L803" s="6">
        <v>3</v>
      </c>
      <c r="M803" s="6">
        <v>6</v>
      </c>
      <c r="N803" s="6">
        <v>0</v>
      </c>
      <c r="O803" s="5">
        <v>0</v>
      </c>
      <c r="P803" s="5">
        <v>0</v>
      </c>
      <c r="Q803" s="5">
        <v>0</v>
      </c>
      <c r="R803" s="5">
        <v>0</v>
      </c>
      <c r="S803" s="5">
        <v>0</v>
      </c>
      <c r="T803" s="5">
        <v>0</v>
      </c>
      <c r="U803" s="6">
        <v>0</v>
      </c>
      <c r="V803" s="5">
        <v>10</v>
      </c>
      <c r="W803" s="5">
        <v>5</v>
      </c>
      <c r="X803" s="16">
        <v>2000</v>
      </c>
      <c r="Y803" s="16">
        <v>7000</v>
      </c>
      <c r="Z803" s="16">
        <v>14000</v>
      </c>
      <c r="AA803" s="12" t="str">
        <f t="shared" si="145"/>
        <v>0/30</v>
      </c>
      <c r="AB803" s="12" t="str">
        <f t="shared" si="146"/>
        <v>100,100,100,100,100,0</v>
      </c>
      <c r="AC803" s="12">
        <f t="shared" si="147"/>
        <v>1</v>
      </c>
      <c r="AD803" s="12" t="str">
        <f t="shared" si="148"/>
        <v>2000/7000/14000</v>
      </c>
      <c r="AE803" s="12" t="str">
        <f t="shared" si="149"/>
        <v>0/</v>
      </c>
      <c r="AF803" s="12" t="str">
        <f t="shared" si="150"/>
        <v>6/</v>
      </c>
      <c r="AG803" s="12" t="str">
        <f t="shared" si="151"/>
        <v/>
      </c>
      <c r="AH803" s="12" t="str">
        <f t="shared" si="152"/>
        <v/>
      </c>
      <c r="AI803" s="12" t="str">
        <f t="shared" si="153"/>
        <v>10/5</v>
      </c>
    </row>
    <row r="804" spans="1:35" s="8" customFormat="1" ht="21.95" customHeight="1">
      <c r="A804" s="9">
        <v>802</v>
      </c>
      <c r="B804" s="17">
        <v>802</v>
      </c>
      <c r="C804" s="6">
        <v>30</v>
      </c>
      <c r="D804" s="6">
        <v>0</v>
      </c>
      <c r="E804" s="5">
        <v>0</v>
      </c>
      <c r="F804" s="5">
        <v>100</v>
      </c>
      <c r="G804" s="5">
        <v>100</v>
      </c>
      <c r="H804" s="5">
        <v>100</v>
      </c>
      <c r="I804" s="5">
        <v>100</v>
      </c>
      <c r="J804" s="5">
        <v>100</v>
      </c>
      <c r="K804" s="15" t="s">
        <v>52</v>
      </c>
      <c r="L804" s="6">
        <v>3</v>
      </c>
      <c r="M804" s="6">
        <v>0</v>
      </c>
      <c r="N804" s="6">
        <v>6</v>
      </c>
      <c r="O804" s="5">
        <v>0</v>
      </c>
      <c r="P804" s="5">
        <v>0</v>
      </c>
      <c r="Q804" s="5">
        <v>0</v>
      </c>
      <c r="R804" s="5">
        <v>0</v>
      </c>
      <c r="S804" s="5">
        <v>0</v>
      </c>
      <c r="T804" s="5">
        <v>0</v>
      </c>
      <c r="U804" s="6">
        <v>0</v>
      </c>
      <c r="V804" s="5">
        <v>10</v>
      </c>
      <c r="W804" s="5">
        <v>5</v>
      </c>
      <c r="X804" s="16">
        <v>2000</v>
      </c>
      <c r="Y804" s="16">
        <v>7000</v>
      </c>
      <c r="Z804" s="16">
        <v>14000</v>
      </c>
      <c r="AA804" s="12" t="str">
        <f t="shared" si="145"/>
        <v>0/30</v>
      </c>
      <c r="AB804" s="12" t="str">
        <f t="shared" si="146"/>
        <v>0,100,100,100,100,100</v>
      </c>
      <c r="AC804" s="12">
        <f t="shared" si="147"/>
        <v>1</v>
      </c>
      <c r="AD804" s="12" t="str">
        <f t="shared" si="148"/>
        <v>2000/7000/14000</v>
      </c>
      <c r="AE804" s="12" t="str">
        <f t="shared" si="149"/>
        <v>1/</v>
      </c>
      <c r="AF804" s="12" t="str">
        <f t="shared" si="150"/>
        <v>6/</v>
      </c>
      <c r="AG804" s="12" t="str">
        <f t="shared" si="151"/>
        <v/>
      </c>
      <c r="AH804" s="12" t="str">
        <f t="shared" si="152"/>
        <v/>
      </c>
      <c r="AI804" s="12" t="str">
        <f t="shared" si="153"/>
        <v>10/5</v>
      </c>
    </row>
    <row r="805" spans="1:35" s="8" customFormat="1" ht="21.95" customHeight="1">
      <c r="A805" s="9">
        <v>803</v>
      </c>
      <c r="B805" s="17">
        <v>803</v>
      </c>
      <c r="C805" s="6">
        <v>0</v>
      </c>
      <c r="D805" s="6">
        <v>60</v>
      </c>
      <c r="E805" s="5">
        <v>100</v>
      </c>
      <c r="F805" s="5">
        <v>0</v>
      </c>
      <c r="G805" s="5">
        <v>100</v>
      </c>
      <c r="H805" s="5">
        <v>100</v>
      </c>
      <c r="I805" s="5">
        <v>100</v>
      </c>
      <c r="J805" s="5">
        <v>100</v>
      </c>
      <c r="K805" s="15" t="s">
        <v>54</v>
      </c>
      <c r="L805" s="6">
        <v>3</v>
      </c>
      <c r="M805" s="6">
        <v>0</v>
      </c>
      <c r="N805" s="6">
        <v>0</v>
      </c>
      <c r="O805" s="5">
        <v>0</v>
      </c>
      <c r="P805" s="5">
        <v>0</v>
      </c>
      <c r="Q805" s="5">
        <v>0</v>
      </c>
      <c r="R805" s="5">
        <v>0</v>
      </c>
      <c r="S805" s="5">
        <v>0</v>
      </c>
      <c r="T805" s="5">
        <v>0</v>
      </c>
      <c r="U805" s="6">
        <v>0</v>
      </c>
      <c r="V805" s="5">
        <v>10</v>
      </c>
      <c r="W805" s="5">
        <v>5</v>
      </c>
      <c r="X805" s="16">
        <v>2000</v>
      </c>
      <c r="Y805" s="16">
        <v>7000</v>
      </c>
      <c r="Z805" s="16">
        <v>14000</v>
      </c>
      <c r="AA805" s="12" t="str">
        <f t="shared" si="145"/>
        <v>1/60</v>
      </c>
      <c r="AB805" s="12" t="str">
        <f t="shared" si="146"/>
        <v>100,0,100,100,100,100</v>
      </c>
      <c r="AC805" s="12">
        <f t="shared" si="147"/>
        <v>3</v>
      </c>
      <c r="AD805" s="12" t="str">
        <f t="shared" si="148"/>
        <v>2000/7000/14000</v>
      </c>
      <c r="AE805" s="12" t="str">
        <f t="shared" si="149"/>
        <v/>
      </c>
      <c r="AF805" s="12" t="str">
        <f t="shared" si="150"/>
        <v/>
      </c>
      <c r="AG805" s="12" t="str">
        <f t="shared" si="151"/>
        <v/>
      </c>
      <c r="AH805" s="12" t="str">
        <f t="shared" si="152"/>
        <v/>
      </c>
      <c r="AI805" s="12" t="str">
        <f t="shared" si="153"/>
        <v>10/5</v>
      </c>
    </row>
    <row r="806" spans="1:35" s="8" customFormat="1" ht="21.95" customHeight="1">
      <c r="A806" s="9">
        <v>804</v>
      </c>
      <c r="B806" s="17">
        <v>804</v>
      </c>
      <c r="C806" s="6">
        <v>0</v>
      </c>
      <c r="D806" s="6">
        <v>60</v>
      </c>
      <c r="E806" s="5">
        <v>100</v>
      </c>
      <c r="F806" s="5">
        <v>100</v>
      </c>
      <c r="G806" s="5">
        <v>0</v>
      </c>
      <c r="H806" s="5">
        <v>100</v>
      </c>
      <c r="I806" s="5">
        <v>100</v>
      </c>
      <c r="J806" s="5">
        <v>100</v>
      </c>
      <c r="K806" s="15" t="s">
        <v>56</v>
      </c>
      <c r="L806" s="6">
        <v>3</v>
      </c>
      <c r="M806" s="6">
        <v>0</v>
      </c>
      <c r="N806" s="6">
        <v>0</v>
      </c>
      <c r="O806" s="5">
        <v>0</v>
      </c>
      <c r="P806" s="5">
        <v>0</v>
      </c>
      <c r="Q806" s="5">
        <v>0</v>
      </c>
      <c r="R806" s="5">
        <v>0</v>
      </c>
      <c r="S806" s="5">
        <v>0</v>
      </c>
      <c r="T806" s="5">
        <v>0</v>
      </c>
      <c r="U806" s="6">
        <v>0</v>
      </c>
      <c r="V806" s="5">
        <v>10</v>
      </c>
      <c r="W806" s="5">
        <v>5</v>
      </c>
      <c r="X806" s="16">
        <v>2000</v>
      </c>
      <c r="Y806" s="16">
        <v>7000</v>
      </c>
      <c r="Z806" s="16">
        <v>14000</v>
      </c>
      <c r="AA806" s="12" t="str">
        <f t="shared" si="145"/>
        <v>1/60</v>
      </c>
      <c r="AB806" s="12" t="str">
        <f t="shared" si="146"/>
        <v>100,100,0,100,100,100</v>
      </c>
      <c r="AC806" s="12">
        <f t="shared" si="147"/>
        <v>5</v>
      </c>
      <c r="AD806" s="12" t="str">
        <f t="shared" si="148"/>
        <v>2000/7000/14000</v>
      </c>
      <c r="AE806" s="12" t="str">
        <f t="shared" si="149"/>
        <v/>
      </c>
      <c r="AF806" s="12" t="str">
        <f t="shared" si="150"/>
        <v/>
      </c>
      <c r="AG806" s="12" t="str">
        <f t="shared" si="151"/>
        <v/>
      </c>
      <c r="AH806" s="12" t="str">
        <f t="shared" si="152"/>
        <v/>
      </c>
      <c r="AI806" s="12" t="str">
        <f t="shared" si="153"/>
        <v>10/5</v>
      </c>
    </row>
    <row r="807" spans="1:35" s="8" customFormat="1" ht="21.95" customHeight="1">
      <c r="A807" s="9">
        <v>805</v>
      </c>
      <c r="B807" s="17">
        <v>805</v>
      </c>
      <c r="C807" s="6">
        <v>0</v>
      </c>
      <c r="D807" s="6">
        <v>60</v>
      </c>
      <c r="E807" s="5">
        <v>100</v>
      </c>
      <c r="F807" s="5">
        <v>100</v>
      </c>
      <c r="G807" s="5">
        <v>100</v>
      </c>
      <c r="H807" s="5">
        <v>0</v>
      </c>
      <c r="I807" s="5">
        <v>100</v>
      </c>
      <c r="J807" s="5">
        <v>100</v>
      </c>
      <c r="K807" s="15" t="s">
        <v>53</v>
      </c>
      <c r="L807" s="6">
        <v>3</v>
      </c>
      <c r="M807" s="6">
        <v>0</v>
      </c>
      <c r="N807" s="6">
        <v>0</v>
      </c>
      <c r="O807" s="5">
        <v>0</v>
      </c>
      <c r="P807" s="5">
        <v>0</v>
      </c>
      <c r="Q807" s="5">
        <v>0</v>
      </c>
      <c r="R807" s="5">
        <v>0</v>
      </c>
      <c r="S807" s="5">
        <v>18</v>
      </c>
      <c r="T807" s="5">
        <v>16</v>
      </c>
      <c r="U807" s="6">
        <v>0</v>
      </c>
      <c r="V807" s="5">
        <v>10</v>
      </c>
      <c r="W807" s="5">
        <v>5</v>
      </c>
      <c r="X807" s="16">
        <v>2000</v>
      </c>
      <c r="Y807" s="16">
        <v>7000</v>
      </c>
      <c r="Z807" s="16">
        <v>14000</v>
      </c>
      <c r="AA807" s="12" t="str">
        <f t="shared" si="145"/>
        <v>1/60</v>
      </c>
      <c r="AB807" s="12" t="str">
        <f t="shared" si="146"/>
        <v>100,100,100,0,100,100</v>
      </c>
      <c r="AC807" s="12">
        <f t="shared" si="147"/>
        <v>2</v>
      </c>
      <c r="AD807" s="12" t="str">
        <f t="shared" si="148"/>
        <v>2000/7000/14000</v>
      </c>
      <c r="AE807" s="12" t="str">
        <f t="shared" si="149"/>
        <v/>
      </c>
      <c r="AF807" s="12" t="str">
        <f t="shared" si="150"/>
        <v/>
      </c>
      <c r="AG807" s="12" t="str">
        <f t="shared" si="151"/>
        <v>4/5/</v>
      </c>
      <c r="AH807" s="12" t="str">
        <f t="shared" si="152"/>
        <v>18/16/</v>
      </c>
      <c r="AI807" s="12" t="str">
        <f t="shared" si="153"/>
        <v>10/5</v>
      </c>
    </row>
    <row r="808" spans="1:35" s="8" customFormat="1" ht="21.95" customHeight="1">
      <c r="A808" s="9">
        <v>806</v>
      </c>
      <c r="B808" s="17">
        <v>806</v>
      </c>
      <c r="C808" s="6">
        <v>30</v>
      </c>
      <c r="D808" s="6">
        <v>0</v>
      </c>
      <c r="E808" s="5">
        <v>100</v>
      </c>
      <c r="F808" s="5">
        <v>100</v>
      </c>
      <c r="G808" s="5">
        <v>100</v>
      </c>
      <c r="H808" s="5">
        <v>100</v>
      </c>
      <c r="I808" s="5">
        <v>0</v>
      </c>
      <c r="J808" s="5">
        <v>100</v>
      </c>
      <c r="K808" s="15" t="s">
        <v>53</v>
      </c>
      <c r="L808" s="6">
        <v>3</v>
      </c>
      <c r="M808" s="6">
        <v>0</v>
      </c>
      <c r="N808" s="6">
        <v>0</v>
      </c>
      <c r="O808" s="5">
        <v>16</v>
      </c>
      <c r="P808" s="5">
        <v>0</v>
      </c>
      <c r="Q808" s="5">
        <v>0</v>
      </c>
      <c r="R808" s="5">
        <v>0</v>
      </c>
      <c r="S808" s="5">
        <v>0</v>
      </c>
      <c r="T808" s="5">
        <v>18</v>
      </c>
      <c r="U808" s="6">
        <v>0</v>
      </c>
      <c r="V808" s="5">
        <v>10</v>
      </c>
      <c r="W808" s="5">
        <v>5</v>
      </c>
      <c r="X808" s="16">
        <v>2000</v>
      </c>
      <c r="Y808" s="16">
        <v>7000</v>
      </c>
      <c r="Z808" s="16">
        <v>14000</v>
      </c>
      <c r="AA808" s="12" t="str">
        <f t="shared" si="145"/>
        <v>0/30</v>
      </c>
      <c r="AB808" s="12" t="str">
        <f t="shared" si="146"/>
        <v>100,100,100,100,0,100</v>
      </c>
      <c r="AC808" s="12">
        <f t="shared" si="147"/>
        <v>2</v>
      </c>
      <c r="AD808" s="12" t="str">
        <f t="shared" si="148"/>
        <v>2000/7000/14000</v>
      </c>
      <c r="AE808" s="12" t="str">
        <f t="shared" si="149"/>
        <v/>
      </c>
      <c r="AF808" s="12" t="str">
        <f t="shared" si="150"/>
        <v/>
      </c>
      <c r="AG808" s="12" t="str">
        <f t="shared" si="151"/>
        <v>0/5/</v>
      </c>
      <c r="AH808" s="12" t="str">
        <f t="shared" si="152"/>
        <v>16/18/</v>
      </c>
      <c r="AI808" s="12" t="str">
        <f t="shared" si="153"/>
        <v>10/5</v>
      </c>
    </row>
    <row r="809" spans="1:35" s="8" customFormat="1" ht="21.95" customHeight="1">
      <c r="A809" s="9">
        <v>807</v>
      </c>
      <c r="B809" s="17">
        <v>807</v>
      </c>
      <c r="C809" s="6">
        <v>30</v>
      </c>
      <c r="D809" s="6">
        <v>0</v>
      </c>
      <c r="E809" s="5">
        <v>100</v>
      </c>
      <c r="F809" s="5">
        <v>100</v>
      </c>
      <c r="G809" s="5">
        <v>100</v>
      </c>
      <c r="H809" s="5">
        <v>100</v>
      </c>
      <c r="I809" s="5">
        <v>100</v>
      </c>
      <c r="J809" s="5">
        <v>0</v>
      </c>
      <c r="K809" s="15" t="s">
        <v>52</v>
      </c>
      <c r="L809" s="6">
        <v>3</v>
      </c>
      <c r="M809" s="6">
        <v>6</v>
      </c>
      <c r="N809" s="6">
        <v>0</v>
      </c>
      <c r="O809" s="5">
        <v>0</v>
      </c>
      <c r="P809" s="5">
        <v>0</v>
      </c>
      <c r="Q809" s="5">
        <v>0</v>
      </c>
      <c r="R809" s="5">
        <v>0</v>
      </c>
      <c r="S809" s="5">
        <v>0</v>
      </c>
      <c r="T809" s="5">
        <v>0</v>
      </c>
      <c r="U809" s="6">
        <v>0</v>
      </c>
      <c r="V809" s="5">
        <v>10</v>
      </c>
      <c r="W809" s="5">
        <v>5</v>
      </c>
      <c r="X809" s="16">
        <v>2000</v>
      </c>
      <c r="Y809" s="16">
        <v>7000</v>
      </c>
      <c r="Z809" s="16">
        <v>14000</v>
      </c>
      <c r="AA809" s="12" t="str">
        <f t="shared" si="145"/>
        <v>0/30</v>
      </c>
      <c r="AB809" s="12" t="str">
        <f t="shared" si="146"/>
        <v>100,100,100,100,100,0</v>
      </c>
      <c r="AC809" s="12">
        <f t="shared" si="147"/>
        <v>1</v>
      </c>
      <c r="AD809" s="12" t="str">
        <f t="shared" si="148"/>
        <v>2000/7000/14000</v>
      </c>
      <c r="AE809" s="12" t="str">
        <f t="shared" si="149"/>
        <v>0/</v>
      </c>
      <c r="AF809" s="12" t="str">
        <f t="shared" si="150"/>
        <v>6/</v>
      </c>
      <c r="AG809" s="12" t="str">
        <f t="shared" si="151"/>
        <v/>
      </c>
      <c r="AH809" s="12" t="str">
        <f t="shared" si="152"/>
        <v/>
      </c>
      <c r="AI809" s="12" t="str">
        <f t="shared" si="153"/>
        <v>10/5</v>
      </c>
    </row>
    <row r="810" spans="1:35" s="8" customFormat="1" ht="21.95" customHeight="1">
      <c r="A810" s="9">
        <v>808</v>
      </c>
      <c r="B810" s="17">
        <v>808</v>
      </c>
      <c r="C810" s="6">
        <v>30</v>
      </c>
      <c r="D810" s="6">
        <v>0</v>
      </c>
      <c r="E810" s="5">
        <v>0</v>
      </c>
      <c r="F810" s="5">
        <v>100</v>
      </c>
      <c r="G810" s="5">
        <v>100</v>
      </c>
      <c r="H810" s="5">
        <v>100</v>
      </c>
      <c r="I810" s="5">
        <v>100</v>
      </c>
      <c r="J810" s="5">
        <v>100</v>
      </c>
      <c r="K810" s="15" t="s">
        <v>52</v>
      </c>
      <c r="L810" s="6">
        <v>3</v>
      </c>
      <c r="M810" s="6">
        <v>0</v>
      </c>
      <c r="N810" s="6">
        <v>6</v>
      </c>
      <c r="O810" s="5">
        <v>0</v>
      </c>
      <c r="P810" s="5">
        <v>0</v>
      </c>
      <c r="Q810" s="5">
        <v>0</v>
      </c>
      <c r="R810" s="5">
        <v>0</v>
      </c>
      <c r="S810" s="5">
        <v>0</v>
      </c>
      <c r="T810" s="5">
        <v>0</v>
      </c>
      <c r="U810" s="6">
        <v>0</v>
      </c>
      <c r="V810" s="5">
        <v>10</v>
      </c>
      <c r="W810" s="5">
        <v>5</v>
      </c>
      <c r="X810" s="16">
        <v>2000</v>
      </c>
      <c r="Y810" s="16">
        <v>7000</v>
      </c>
      <c r="Z810" s="16">
        <v>14000</v>
      </c>
      <c r="AA810" s="12" t="str">
        <f t="shared" si="145"/>
        <v>0/30</v>
      </c>
      <c r="AB810" s="12" t="str">
        <f t="shared" si="146"/>
        <v>0,100,100,100,100,100</v>
      </c>
      <c r="AC810" s="12">
        <f t="shared" si="147"/>
        <v>1</v>
      </c>
      <c r="AD810" s="12" t="str">
        <f t="shared" si="148"/>
        <v>2000/7000/14000</v>
      </c>
      <c r="AE810" s="12" t="str">
        <f t="shared" si="149"/>
        <v>1/</v>
      </c>
      <c r="AF810" s="12" t="str">
        <f t="shared" si="150"/>
        <v>6/</v>
      </c>
      <c r="AG810" s="12" t="str">
        <f t="shared" si="151"/>
        <v/>
      </c>
      <c r="AH810" s="12" t="str">
        <f t="shared" si="152"/>
        <v/>
      </c>
      <c r="AI810" s="12" t="str">
        <f t="shared" si="153"/>
        <v>10/5</v>
      </c>
    </row>
    <row r="811" spans="1:35" s="8" customFormat="1" ht="21.95" customHeight="1">
      <c r="A811" s="9">
        <v>809</v>
      </c>
      <c r="B811" s="17">
        <v>809</v>
      </c>
      <c r="C811" s="6">
        <v>0</v>
      </c>
      <c r="D811" s="6">
        <v>60</v>
      </c>
      <c r="E811" s="5">
        <v>100</v>
      </c>
      <c r="F811" s="5">
        <v>0</v>
      </c>
      <c r="G811" s="5">
        <v>100</v>
      </c>
      <c r="H811" s="5">
        <v>100</v>
      </c>
      <c r="I811" s="5">
        <v>100</v>
      </c>
      <c r="J811" s="5">
        <v>100</v>
      </c>
      <c r="K811" s="15" t="s">
        <v>54</v>
      </c>
      <c r="L811" s="6">
        <v>3</v>
      </c>
      <c r="M811" s="6">
        <v>0</v>
      </c>
      <c r="N811" s="6">
        <v>0</v>
      </c>
      <c r="O811" s="5">
        <v>0</v>
      </c>
      <c r="P811" s="5">
        <v>0</v>
      </c>
      <c r="Q811" s="5">
        <v>0</v>
      </c>
      <c r="R811" s="5">
        <v>0</v>
      </c>
      <c r="S811" s="5">
        <v>0</v>
      </c>
      <c r="T811" s="5">
        <v>0</v>
      </c>
      <c r="U811" s="6">
        <v>0</v>
      </c>
      <c r="V811" s="5">
        <v>10</v>
      </c>
      <c r="W811" s="5">
        <v>5</v>
      </c>
      <c r="X811" s="16">
        <v>2000</v>
      </c>
      <c r="Y811" s="16">
        <v>7000</v>
      </c>
      <c r="Z811" s="16">
        <v>14000</v>
      </c>
      <c r="AA811" s="12" t="str">
        <f t="shared" si="145"/>
        <v>1/60</v>
      </c>
      <c r="AB811" s="12" t="str">
        <f t="shared" si="146"/>
        <v>100,0,100,100,100,100</v>
      </c>
      <c r="AC811" s="12">
        <f t="shared" si="147"/>
        <v>3</v>
      </c>
      <c r="AD811" s="12" t="str">
        <f t="shared" si="148"/>
        <v>2000/7000/14000</v>
      </c>
      <c r="AE811" s="12" t="str">
        <f t="shared" si="149"/>
        <v/>
      </c>
      <c r="AF811" s="12" t="str">
        <f t="shared" si="150"/>
        <v/>
      </c>
      <c r="AG811" s="12" t="str">
        <f t="shared" si="151"/>
        <v/>
      </c>
      <c r="AH811" s="12" t="str">
        <f t="shared" si="152"/>
        <v/>
      </c>
      <c r="AI811" s="12" t="str">
        <f t="shared" si="153"/>
        <v>10/5</v>
      </c>
    </row>
    <row r="812" spans="1:35" s="8" customFormat="1" ht="21.95" customHeight="1">
      <c r="A812" s="9">
        <v>810</v>
      </c>
      <c r="B812" s="17">
        <v>810</v>
      </c>
      <c r="C812" s="6">
        <v>0</v>
      </c>
      <c r="D812" s="6">
        <v>60</v>
      </c>
      <c r="E812" s="5">
        <v>100</v>
      </c>
      <c r="F812" s="5">
        <v>100</v>
      </c>
      <c r="G812" s="5">
        <v>0</v>
      </c>
      <c r="H812" s="5">
        <v>100</v>
      </c>
      <c r="I812" s="5">
        <v>100</v>
      </c>
      <c r="J812" s="5">
        <v>100</v>
      </c>
      <c r="K812" s="15" t="s">
        <v>54</v>
      </c>
      <c r="L812" s="6">
        <v>3</v>
      </c>
      <c r="M812" s="6">
        <v>0</v>
      </c>
      <c r="N812" s="6">
        <v>0</v>
      </c>
      <c r="O812" s="5">
        <v>0</v>
      </c>
      <c r="P812" s="5">
        <v>0</v>
      </c>
      <c r="Q812" s="5">
        <v>0</v>
      </c>
      <c r="R812" s="5">
        <v>0</v>
      </c>
      <c r="S812" s="5">
        <v>0</v>
      </c>
      <c r="T812" s="5">
        <v>0</v>
      </c>
      <c r="U812" s="6">
        <v>0</v>
      </c>
      <c r="V812" s="5">
        <v>10</v>
      </c>
      <c r="W812" s="5">
        <v>5</v>
      </c>
      <c r="X812" s="16">
        <v>2000</v>
      </c>
      <c r="Y812" s="16">
        <v>7000</v>
      </c>
      <c r="Z812" s="16">
        <v>14000</v>
      </c>
      <c r="AA812" s="12" t="str">
        <f t="shared" si="145"/>
        <v>1/60</v>
      </c>
      <c r="AB812" s="12" t="str">
        <f t="shared" si="146"/>
        <v>100,100,0,100,100,100</v>
      </c>
      <c r="AC812" s="12">
        <f t="shared" si="147"/>
        <v>3</v>
      </c>
      <c r="AD812" s="12" t="str">
        <f t="shared" si="148"/>
        <v>2000/7000/14000</v>
      </c>
      <c r="AE812" s="12" t="str">
        <f t="shared" si="149"/>
        <v/>
      </c>
      <c r="AF812" s="12" t="str">
        <f t="shared" si="150"/>
        <v/>
      </c>
      <c r="AG812" s="12" t="str">
        <f t="shared" si="151"/>
        <v/>
      </c>
      <c r="AH812" s="12" t="str">
        <f t="shared" si="152"/>
        <v/>
      </c>
      <c r="AI812" s="12" t="str">
        <f t="shared" si="153"/>
        <v>10/5</v>
      </c>
    </row>
    <row r="813" spans="1:35" s="8" customFormat="1" ht="21.95" customHeight="1">
      <c r="A813" s="9">
        <v>811</v>
      </c>
      <c r="B813" s="17">
        <v>811</v>
      </c>
      <c r="C813" s="6">
        <v>30</v>
      </c>
      <c r="D813" s="6">
        <v>0</v>
      </c>
      <c r="E813" s="5">
        <v>100</v>
      </c>
      <c r="F813" s="5">
        <v>100</v>
      </c>
      <c r="G813" s="5">
        <v>100</v>
      </c>
      <c r="H813" s="5">
        <v>0</v>
      </c>
      <c r="I813" s="5">
        <v>100</v>
      </c>
      <c r="J813" s="5">
        <v>100</v>
      </c>
      <c r="K813" s="15" t="s">
        <v>55</v>
      </c>
      <c r="L813" s="6">
        <v>3</v>
      </c>
      <c r="M813" s="6">
        <v>0</v>
      </c>
      <c r="N813" s="6">
        <v>0</v>
      </c>
      <c r="O813" s="5">
        <v>0</v>
      </c>
      <c r="P813" s="5">
        <v>0</v>
      </c>
      <c r="Q813" s="5">
        <v>0</v>
      </c>
      <c r="R813" s="5">
        <v>0</v>
      </c>
      <c r="S813" s="5">
        <v>0</v>
      </c>
      <c r="T813" s="5">
        <v>0</v>
      </c>
      <c r="U813" s="6">
        <v>5</v>
      </c>
      <c r="V813" s="5">
        <v>10</v>
      </c>
      <c r="W813" s="5">
        <v>5</v>
      </c>
      <c r="X813" s="16">
        <v>2000</v>
      </c>
      <c r="Y813" s="16">
        <v>7000</v>
      </c>
      <c r="Z813" s="16">
        <v>14000</v>
      </c>
      <c r="AA813" s="12" t="str">
        <f t="shared" si="145"/>
        <v>0/30</v>
      </c>
      <c r="AB813" s="12" t="str">
        <f t="shared" si="146"/>
        <v>100,100,100,0,100,100</v>
      </c>
      <c r="AC813" s="12">
        <f t="shared" si="147"/>
        <v>4</v>
      </c>
      <c r="AD813" s="12" t="str">
        <f t="shared" si="148"/>
        <v>2000/7000/14000</v>
      </c>
      <c r="AE813" s="12" t="str">
        <f t="shared" si="149"/>
        <v/>
      </c>
      <c r="AF813" s="12" t="str">
        <f t="shared" si="150"/>
        <v/>
      </c>
      <c r="AG813" s="12" t="str">
        <f t="shared" si="151"/>
        <v/>
      </c>
      <c r="AH813" s="12" t="str">
        <f t="shared" si="152"/>
        <v/>
      </c>
      <c r="AI813" s="12" t="str">
        <f t="shared" si="153"/>
        <v>10/5</v>
      </c>
    </row>
    <row r="814" spans="1:35" s="8" customFormat="1" ht="21.95" customHeight="1">
      <c r="A814" s="9">
        <v>812</v>
      </c>
      <c r="B814" s="17">
        <v>812</v>
      </c>
      <c r="C814" s="6">
        <v>30</v>
      </c>
      <c r="D814" s="6">
        <v>0</v>
      </c>
      <c r="E814" s="5">
        <v>100</v>
      </c>
      <c r="F814" s="5">
        <v>100</v>
      </c>
      <c r="G814" s="5">
        <v>100</v>
      </c>
      <c r="H814" s="5">
        <v>100</v>
      </c>
      <c r="I814" s="5">
        <v>0</v>
      </c>
      <c r="J814" s="5">
        <v>100</v>
      </c>
      <c r="K814" s="15" t="s">
        <v>55</v>
      </c>
      <c r="L814" s="6">
        <v>3</v>
      </c>
      <c r="M814" s="6">
        <v>0</v>
      </c>
      <c r="N814" s="6">
        <v>0</v>
      </c>
      <c r="O814" s="5">
        <v>0</v>
      </c>
      <c r="P814" s="5">
        <v>0</v>
      </c>
      <c r="Q814" s="5">
        <v>0</v>
      </c>
      <c r="R814" s="5">
        <v>0</v>
      </c>
      <c r="S814" s="5">
        <v>0</v>
      </c>
      <c r="T814" s="5">
        <v>0</v>
      </c>
      <c r="U814" s="6">
        <v>5</v>
      </c>
      <c r="V814" s="5">
        <v>10</v>
      </c>
      <c r="W814" s="5">
        <v>5</v>
      </c>
      <c r="X814" s="16">
        <v>2000</v>
      </c>
      <c r="Y814" s="16">
        <v>7000</v>
      </c>
      <c r="Z814" s="16">
        <v>14000</v>
      </c>
      <c r="AA814" s="12" t="str">
        <f t="shared" si="145"/>
        <v>0/30</v>
      </c>
      <c r="AB814" s="12" t="str">
        <f t="shared" si="146"/>
        <v>100,100,100,100,0,100</v>
      </c>
      <c r="AC814" s="12">
        <f t="shared" si="147"/>
        <v>4</v>
      </c>
      <c r="AD814" s="12" t="str">
        <f t="shared" si="148"/>
        <v>2000/7000/14000</v>
      </c>
      <c r="AE814" s="12" t="str">
        <f t="shared" si="149"/>
        <v/>
      </c>
      <c r="AF814" s="12" t="str">
        <f t="shared" si="150"/>
        <v/>
      </c>
      <c r="AG814" s="12" t="str">
        <f t="shared" si="151"/>
        <v/>
      </c>
      <c r="AH814" s="12" t="str">
        <f t="shared" si="152"/>
        <v/>
      </c>
      <c r="AI814" s="12" t="str">
        <f t="shared" si="153"/>
        <v>10/5</v>
      </c>
    </row>
    <row r="815" spans="1:35" s="8" customFormat="1" ht="21.95" customHeight="1">
      <c r="A815" s="9">
        <v>813</v>
      </c>
      <c r="B815" s="17">
        <v>813</v>
      </c>
      <c r="C815" s="6">
        <v>30</v>
      </c>
      <c r="D815" s="6">
        <v>0</v>
      </c>
      <c r="E815" s="5">
        <v>100</v>
      </c>
      <c r="F815" s="5">
        <v>100</v>
      </c>
      <c r="G815" s="5">
        <v>100</v>
      </c>
      <c r="H815" s="5">
        <v>100</v>
      </c>
      <c r="I815" s="5">
        <v>100</v>
      </c>
      <c r="J815" s="5">
        <v>0</v>
      </c>
      <c r="K815" s="15" t="s">
        <v>56</v>
      </c>
      <c r="L815" s="6">
        <v>3</v>
      </c>
      <c r="M815" s="6">
        <v>0</v>
      </c>
      <c r="N815" s="6">
        <v>0</v>
      </c>
      <c r="O815" s="5">
        <v>0</v>
      </c>
      <c r="P815" s="5">
        <v>0</v>
      </c>
      <c r="Q815" s="5">
        <v>0</v>
      </c>
      <c r="R815" s="5">
        <v>0</v>
      </c>
      <c r="S815" s="5">
        <v>0</v>
      </c>
      <c r="T815" s="5">
        <v>0</v>
      </c>
      <c r="U815" s="6">
        <v>0</v>
      </c>
      <c r="V815" s="5">
        <v>10</v>
      </c>
      <c r="W815" s="5">
        <v>5</v>
      </c>
      <c r="X815" s="16">
        <v>2000</v>
      </c>
      <c r="Y815" s="16">
        <v>7000</v>
      </c>
      <c r="Z815" s="16">
        <v>14000</v>
      </c>
      <c r="AA815" s="12" t="str">
        <f t="shared" si="145"/>
        <v>0/30</v>
      </c>
      <c r="AB815" s="12" t="str">
        <f t="shared" si="146"/>
        <v>100,100,100,100,100,0</v>
      </c>
      <c r="AC815" s="12">
        <f t="shared" si="147"/>
        <v>5</v>
      </c>
      <c r="AD815" s="12" t="str">
        <f t="shared" si="148"/>
        <v>2000/7000/14000</v>
      </c>
      <c r="AE815" s="12" t="str">
        <f t="shared" si="149"/>
        <v/>
      </c>
      <c r="AF815" s="12" t="str">
        <f t="shared" si="150"/>
        <v/>
      </c>
      <c r="AG815" s="12" t="str">
        <f t="shared" si="151"/>
        <v/>
      </c>
      <c r="AH815" s="12" t="str">
        <f t="shared" si="152"/>
        <v/>
      </c>
      <c r="AI815" s="12" t="str">
        <f t="shared" si="153"/>
        <v>10/5</v>
      </c>
    </row>
    <row r="816" spans="1:35" s="8" customFormat="1" ht="21.95" customHeight="1">
      <c r="A816" s="9">
        <v>814</v>
      </c>
      <c r="B816" s="17">
        <v>814</v>
      </c>
      <c r="C816" s="6">
        <v>30</v>
      </c>
      <c r="D816" s="6">
        <v>0</v>
      </c>
      <c r="E816" s="5">
        <v>0</v>
      </c>
      <c r="F816" s="5">
        <v>100</v>
      </c>
      <c r="G816" s="5">
        <v>100</v>
      </c>
      <c r="H816" s="5">
        <v>100</v>
      </c>
      <c r="I816" s="5">
        <v>100</v>
      </c>
      <c r="J816" s="5">
        <v>100</v>
      </c>
      <c r="K816" s="15" t="s">
        <v>56</v>
      </c>
      <c r="L816" s="6">
        <v>3</v>
      </c>
      <c r="M816" s="6">
        <v>0</v>
      </c>
      <c r="N816" s="6">
        <v>0</v>
      </c>
      <c r="O816" s="5">
        <v>0</v>
      </c>
      <c r="P816" s="5">
        <v>0</v>
      </c>
      <c r="Q816" s="5">
        <v>0</v>
      </c>
      <c r="R816" s="5">
        <v>0</v>
      </c>
      <c r="S816" s="5">
        <v>0</v>
      </c>
      <c r="T816" s="5">
        <v>0</v>
      </c>
      <c r="U816" s="6">
        <v>0</v>
      </c>
      <c r="V816" s="5">
        <v>10</v>
      </c>
      <c r="W816" s="5">
        <v>5</v>
      </c>
      <c r="X816" s="16">
        <v>2000</v>
      </c>
      <c r="Y816" s="16">
        <v>7000</v>
      </c>
      <c r="Z816" s="16">
        <v>14000</v>
      </c>
      <c r="AA816" s="12" t="str">
        <f t="shared" si="145"/>
        <v>0/30</v>
      </c>
      <c r="AB816" s="12" t="str">
        <f t="shared" si="146"/>
        <v>0,100,100,100,100,100</v>
      </c>
      <c r="AC816" s="12">
        <f t="shared" si="147"/>
        <v>5</v>
      </c>
      <c r="AD816" s="12" t="str">
        <f t="shared" si="148"/>
        <v>2000/7000/14000</v>
      </c>
      <c r="AE816" s="12" t="str">
        <f t="shared" si="149"/>
        <v/>
      </c>
      <c r="AF816" s="12" t="str">
        <f t="shared" si="150"/>
        <v/>
      </c>
      <c r="AG816" s="12" t="str">
        <f t="shared" si="151"/>
        <v/>
      </c>
      <c r="AH816" s="12" t="str">
        <f t="shared" si="152"/>
        <v/>
      </c>
      <c r="AI816" s="12" t="str">
        <f t="shared" si="153"/>
        <v>10/5</v>
      </c>
    </row>
    <row r="817" spans="1:35" s="8" customFormat="1" ht="21.95" customHeight="1">
      <c r="A817" s="9">
        <v>815</v>
      </c>
      <c r="B817" s="17">
        <v>815</v>
      </c>
      <c r="C817" s="6">
        <v>30</v>
      </c>
      <c r="D817" s="6">
        <v>0</v>
      </c>
      <c r="E817" s="5">
        <v>100</v>
      </c>
      <c r="F817" s="5">
        <v>0</v>
      </c>
      <c r="G817" s="5">
        <v>100</v>
      </c>
      <c r="H817" s="5">
        <v>100</v>
      </c>
      <c r="I817" s="5">
        <v>100</v>
      </c>
      <c r="J817" s="5">
        <v>100</v>
      </c>
      <c r="K817" s="15" t="s">
        <v>53</v>
      </c>
      <c r="L817" s="6">
        <v>3</v>
      </c>
      <c r="M817" s="6">
        <v>0</v>
      </c>
      <c r="N817" s="6">
        <v>0</v>
      </c>
      <c r="O817" s="5">
        <v>0</v>
      </c>
      <c r="P817" s="5">
        <v>0</v>
      </c>
      <c r="Q817" s="5">
        <v>20</v>
      </c>
      <c r="R817" s="5">
        <v>24</v>
      </c>
      <c r="S817" s="5">
        <v>0</v>
      </c>
      <c r="T817" s="5">
        <v>0</v>
      </c>
      <c r="U817" s="6">
        <v>0</v>
      </c>
      <c r="V817" s="5">
        <v>10</v>
      </c>
      <c r="W817" s="5">
        <v>5</v>
      </c>
      <c r="X817" s="16">
        <v>2000</v>
      </c>
      <c r="Y817" s="16">
        <v>7000</v>
      </c>
      <c r="Z817" s="16">
        <v>14000</v>
      </c>
      <c r="AA817" s="12" t="str">
        <f t="shared" si="145"/>
        <v>0/30</v>
      </c>
      <c r="AB817" s="12" t="str">
        <f t="shared" si="146"/>
        <v>100,0,100,100,100,100</v>
      </c>
      <c r="AC817" s="12">
        <f t="shared" si="147"/>
        <v>2</v>
      </c>
      <c r="AD817" s="12" t="str">
        <f t="shared" si="148"/>
        <v>2000/7000/14000</v>
      </c>
      <c r="AE817" s="12" t="str">
        <f t="shared" si="149"/>
        <v/>
      </c>
      <c r="AF817" s="12" t="str">
        <f t="shared" si="150"/>
        <v/>
      </c>
      <c r="AG817" s="12" t="str">
        <f t="shared" si="151"/>
        <v>2/3/</v>
      </c>
      <c r="AH817" s="12" t="str">
        <f t="shared" si="152"/>
        <v>20/24/</v>
      </c>
      <c r="AI817" s="12" t="str">
        <f t="shared" si="153"/>
        <v>10/5</v>
      </c>
    </row>
    <row r="818" spans="1:35" s="8" customFormat="1" ht="21.95" customHeight="1">
      <c r="A818" s="9">
        <v>816</v>
      </c>
      <c r="B818" s="17">
        <v>816</v>
      </c>
      <c r="C818" s="6">
        <v>30</v>
      </c>
      <c r="D818" s="6">
        <v>0</v>
      </c>
      <c r="E818" s="5">
        <v>100</v>
      </c>
      <c r="F818" s="5">
        <v>100</v>
      </c>
      <c r="G818" s="5">
        <v>0</v>
      </c>
      <c r="H818" s="5">
        <v>100</v>
      </c>
      <c r="I818" s="5">
        <v>100</v>
      </c>
      <c r="J818" s="5">
        <v>100</v>
      </c>
      <c r="K818" s="15" t="s">
        <v>53</v>
      </c>
      <c r="L818" s="6">
        <v>3</v>
      </c>
      <c r="M818" s="6">
        <v>0</v>
      </c>
      <c r="N818" s="6">
        <v>0</v>
      </c>
      <c r="O818" s="5">
        <v>0</v>
      </c>
      <c r="P818" s="5">
        <v>0</v>
      </c>
      <c r="Q818" s="5">
        <v>0</v>
      </c>
      <c r="R818" s="5">
        <v>18</v>
      </c>
      <c r="S818" s="5">
        <v>32</v>
      </c>
      <c r="T818" s="5">
        <v>0</v>
      </c>
      <c r="U818" s="6">
        <v>0</v>
      </c>
      <c r="V818" s="5">
        <v>10</v>
      </c>
      <c r="W818" s="5">
        <v>5</v>
      </c>
      <c r="X818" s="16">
        <v>2000</v>
      </c>
      <c r="Y818" s="16">
        <v>7000</v>
      </c>
      <c r="Z818" s="16">
        <v>14000</v>
      </c>
      <c r="AA818" s="12" t="str">
        <f t="shared" si="145"/>
        <v>0/30</v>
      </c>
      <c r="AB818" s="12" t="str">
        <f t="shared" si="146"/>
        <v>100,100,0,100,100,100</v>
      </c>
      <c r="AC818" s="12">
        <f t="shared" si="147"/>
        <v>2</v>
      </c>
      <c r="AD818" s="12" t="str">
        <f t="shared" si="148"/>
        <v>2000/7000/14000</v>
      </c>
      <c r="AE818" s="12" t="str">
        <f t="shared" si="149"/>
        <v/>
      </c>
      <c r="AF818" s="12" t="str">
        <f t="shared" si="150"/>
        <v/>
      </c>
      <c r="AG818" s="12" t="str">
        <f t="shared" si="151"/>
        <v>3/4/</v>
      </c>
      <c r="AH818" s="12" t="str">
        <f t="shared" si="152"/>
        <v>18/32/</v>
      </c>
      <c r="AI818" s="12" t="str">
        <f t="shared" si="153"/>
        <v>10/5</v>
      </c>
    </row>
    <row r="819" spans="1:35" s="8" customFormat="1" ht="21.95" customHeight="1">
      <c r="A819" s="9">
        <v>817</v>
      </c>
      <c r="B819" s="17">
        <v>817</v>
      </c>
      <c r="C819" s="6">
        <v>0</v>
      </c>
      <c r="D819" s="6">
        <v>60</v>
      </c>
      <c r="E819" s="5">
        <v>100</v>
      </c>
      <c r="F819" s="5">
        <v>100</v>
      </c>
      <c r="G819" s="5">
        <v>100</v>
      </c>
      <c r="H819" s="5">
        <v>0</v>
      </c>
      <c r="I819" s="5">
        <v>100</v>
      </c>
      <c r="J819" s="5">
        <v>100</v>
      </c>
      <c r="K819" s="15" t="s">
        <v>52</v>
      </c>
      <c r="L819" s="6">
        <v>3</v>
      </c>
      <c r="M819" s="6">
        <v>6</v>
      </c>
      <c r="N819" s="6">
        <v>0</v>
      </c>
      <c r="O819" s="5">
        <v>0</v>
      </c>
      <c r="P819" s="5">
        <v>0</v>
      </c>
      <c r="Q819" s="5">
        <v>0</v>
      </c>
      <c r="R819" s="5">
        <v>0</v>
      </c>
      <c r="S819" s="5">
        <v>0</v>
      </c>
      <c r="T819" s="5">
        <v>0</v>
      </c>
      <c r="U819" s="6">
        <v>0</v>
      </c>
      <c r="V819" s="5">
        <v>10</v>
      </c>
      <c r="W819" s="5">
        <v>5</v>
      </c>
      <c r="X819" s="16">
        <v>2000</v>
      </c>
      <c r="Y819" s="16">
        <v>7000</v>
      </c>
      <c r="Z819" s="16">
        <v>14000</v>
      </c>
      <c r="AA819" s="12" t="str">
        <f t="shared" si="145"/>
        <v>1/60</v>
      </c>
      <c r="AB819" s="12" t="str">
        <f t="shared" si="146"/>
        <v>100,100,100,0,100,100</v>
      </c>
      <c r="AC819" s="12">
        <f t="shared" si="147"/>
        <v>1</v>
      </c>
      <c r="AD819" s="12" t="str">
        <f t="shared" si="148"/>
        <v>2000/7000/14000</v>
      </c>
      <c r="AE819" s="12" t="str">
        <f t="shared" si="149"/>
        <v>0/</v>
      </c>
      <c r="AF819" s="12" t="str">
        <f t="shared" si="150"/>
        <v>6/</v>
      </c>
      <c r="AG819" s="12" t="str">
        <f t="shared" si="151"/>
        <v/>
      </c>
      <c r="AH819" s="12" t="str">
        <f t="shared" si="152"/>
        <v/>
      </c>
      <c r="AI819" s="12" t="str">
        <f t="shared" si="153"/>
        <v>10/5</v>
      </c>
    </row>
    <row r="820" spans="1:35" s="8" customFormat="1" ht="21.95" customHeight="1">
      <c r="A820" s="9">
        <v>818</v>
      </c>
      <c r="B820" s="17">
        <v>818</v>
      </c>
      <c r="C820" s="6">
        <v>0</v>
      </c>
      <c r="D820" s="6">
        <v>60</v>
      </c>
      <c r="E820" s="5">
        <v>100</v>
      </c>
      <c r="F820" s="5">
        <v>100</v>
      </c>
      <c r="G820" s="5">
        <v>100</v>
      </c>
      <c r="H820" s="5">
        <v>100</v>
      </c>
      <c r="I820" s="5">
        <v>0</v>
      </c>
      <c r="J820" s="5">
        <v>100</v>
      </c>
      <c r="K820" s="15" t="s">
        <v>52</v>
      </c>
      <c r="L820" s="6">
        <v>3</v>
      </c>
      <c r="M820" s="6">
        <v>2</v>
      </c>
      <c r="N820" s="6">
        <v>4</v>
      </c>
      <c r="O820" s="5">
        <v>0</v>
      </c>
      <c r="P820" s="5">
        <v>0</v>
      </c>
      <c r="Q820" s="5">
        <v>0</v>
      </c>
      <c r="R820" s="5">
        <v>0</v>
      </c>
      <c r="S820" s="5">
        <v>0</v>
      </c>
      <c r="T820" s="5">
        <v>0</v>
      </c>
      <c r="U820" s="6">
        <v>0</v>
      </c>
      <c r="V820" s="5">
        <v>10</v>
      </c>
      <c r="W820" s="5">
        <v>5</v>
      </c>
      <c r="X820" s="16">
        <v>2000</v>
      </c>
      <c r="Y820" s="16">
        <v>7000</v>
      </c>
      <c r="Z820" s="16">
        <v>14000</v>
      </c>
      <c r="AA820" s="12" t="str">
        <f t="shared" si="145"/>
        <v>1/60</v>
      </c>
      <c r="AB820" s="12" t="str">
        <f t="shared" si="146"/>
        <v>100,100,100,100,0,100</v>
      </c>
      <c r="AC820" s="12">
        <f t="shared" si="147"/>
        <v>1</v>
      </c>
      <c r="AD820" s="12" t="str">
        <f t="shared" si="148"/>
        <v>2000/7000/14000</v>
      </c>
      <c r="AE820" s="12" t="str">
        <f t="shared" si="149"/>
        <v>0/1/</v>
      </c>
      <c r="AF820" s="12" t="str">
        <f t="shared" si="150"/>
        <v>2/4/</v>
      </c>
      <c r="AG820" s="12" t="str">
        <f t="shared" si="151"/>
        <v/>
      </c>
      <c r="AH820" s="12" t="str">
        <f t="shared" si="152"/>
        <v/>
      </c>
      <c r="AI820" s="12" t="str">
        <f t="shared" si="153"/>
        <v>10/5</v>
      </c>
    </row>
    <row r="821" spans="1:35" s="8" customFormat="1" ht="21.95" customHeight="1">
      <c r="A821" s="9">
        <v>819</v>
      </c>
      <c r="B821" s="17">
        <v>819</v>
      </c>
      <c r="C821" s="6">
        <v>30</v>
      </c>
      <c r="D821" s="6">
        <v>0</v>
      </c>
      <c r="E821" s="5">
        <v>100</v>
      </c>
      <c r="F821" s="5">
        <v>100</v>
      </c>
      <c r="G821" s="5">
        <v>100</v>
      </c>
      <c r="H821" s="5">
        <v>100</v>
      </c>
      <c r="I821" s="5">
        <v>100</v>
      </c>
      <c r="J821" s="5">
        <v>0</v>
      </c>
      <c r="K821" s="15" t="s">
        <v>54</v>
      </c>
      <c r="L821" s="6">
        <v>3</v>
      </c>
      <c r="M821" s="6">
        <v>0</v>
      </c>
      <c r="N821" s="6">
        <v>0</v>
      </c>
      <c r="O821" s="5">
        <v>0</v>
      </c>
      <c r="P821" s="5">
        <v>0</v>
      </c>
      <c r="Q821" s="5">
        <v>0</v>
      </c>
      <c r="R821" s="5">
        <v>0</v>
      </c>
      <c r="S821" s="5">
        <v>0</v>
      </c>
      <c r="T821" s="5">
        <v>0</v>
      </c>
      <c r="U821" s="6">
        <v>0</v>
      </c>
      <c r="V821" s="5">
        <v>10</v>
      </c>
      <c r="W821" s="5">
        <v>5</v>
      </c>
      <c r="X821" s="16">
        <v>2000</v>
      </c>
      <c r="Y821" s="16">
        <v>7000</v>
      </c>
      <c r="Z821" s="16">
        <v>14000</v>
      </c>
      <c r="AA821" s="12" t="str">
        <f t="shared" si="145"/>
        <v>0/30</v>
      </c>
      <c r="AB821" s="12" t="str">
        <f t="shared" si="146"/>
        <v>100,100,100,100,100,0</v>
      </c>
      <c r="AC821" s="12">
        <f t="shared" si="147"/>
        <v>3</v>
      </c>
      <c r="AD821" s="12" t="str">
        <f t="shared" si="148"/>
        <v>2000/7000/14000</v>
      </c>
      <c r="AE821" s="12" t="str">
        <f t="shared" si="149"/>
        <v/>
      </c>
      <c r="AF821" s="12" t="str">
        <f t="shared" si="150"/>
        <v/>
      </c>
      <c r="AG821" s="12" t="str">
        <f t="shared" si="151"/>
        <v/>
      </c>
      <c r="AH821" s="12" t="str">
        <f t="shared" si="152"/>
        <v/>
      </c>
      <c r="AI821" s="12" t="str">
        <f t="shared" si="153"/>
        <v>10/5</v>
      </c>
    </row>
    <row r="822" spans="1:35" s="8" customFormat="1" ht="21.95" customHeight="1">
      <c r="A822" s="9">
        <v>820</v>
      </c>
      <c r="B822" s="17">
        <v>820</v>
      </c>
      <c r="C822" s="6">
        <v>30</v>
      </c>
      <c r="D822" s="6">
        <v>0</v>
      </c>
      <c r="E822" s="5">
        <v>0</v>
      </c>
      <c r="F822" s="5">
        <v>100</v>
      </c>
      <c r="G822" s="5">
        <v>100</v>
      </c>
      <c r="H822" s="5">
        <v>100</v>
      </c>
      <c r="I822" s="5">
        <v>100</v>
      </c>
      <c r="J822" s="5">
        <v>100</v>
      </c>
      <c r="K822" s="15" t="s">
        <v>54</v>
      </c>
      <c r="L822" s="6">
        <v>3</v>
      </c>
      <c r="M822" s="6">
        <v>0</v>
      </c>
      <c r="N822" s="6">
        <v>0</v>
      </c>
      <c r="O822" s="5">
        <v>0</v>
      </c>
      <c r="P822" s="5">
        <v>0</v>
      </c>
      <c r="Q822" s="5">
        <v>0</v>
      </c>
      <c r="R822" s="5">
        <v>0</v>
      </c>
      <c r="S822" s="5">
        <v>0</v>
      </c>
      <c r="T822" s="5">
        <v>0</v>
      </c>
      <c r="U822" s="6">
        <v>0</v>
      </c>
      <c r="V822" s="5">
        <v>10</v>
      </c>
      <c r="W822" s="5">
        <v>5</v>
      </c>
      <c r="X822" s="16">
        <v>2000</v>
      </c>
      <c r="Y822" s="16">
        <v>7000</v>
      </c>
      <c r="Z822" s="16">
        <v>14000</v>
      </c>
      <c r="AA822" s="12" t="str">
        <f t="shared" si="145"/>
        <v>0/30</v>
      </c>
      <c r="AB822" s="12" t="str">
        <f t="shared" si="146"/>
        <v>0,100,100,100,100,100</v>
      </c>
      <c r="AC822" s="12">
        <f t="shared" si="147"/>
        <v>3</v>
      </c>
      <c r="AD822" s="12" t="str">
        <f t="shared" si="148"/>
        <v>2000/7000/14000</v>
      </c>
      <c r="AE822" s="12" t="str">
        <f t="shared" si="149"/>
        <v/>
      </c>
      <c r="AF822" s="12" t="str">
        <f t="shared" si="150"/>
        <v/>
      </c>
      <c r="AG822" s="12" t="str">
        <f t="shared" si="151"/>
        <v/>
      </c>
      <c r="AH822" s="12" t="str">
        <f t="shared" si="152"/>
        <v/>
      </c>
      <c r="AI822" s="12" t="str">
        <f t="shared" si="153"/>
        <v>10/5</v>
      </c>
    </row>
    <row r="823" spans="1:35" s="8" customFormat="1" ht="21.95" customHeight="1">
      <c r="A823" s="9">
        <v>821</v>
      </c>
      <c r="B823" s="17">
        <v>821</v>
      </c>
      <c r="C823" s="6">
        <v>30</v>
      </c>
      <c r="D823" s="6">
        <v>0</v>
      </c>
      <c r="E823" s="5">
        <v>100</v>
      </c>
      <c r="F823" s="5">
        <v>0</v>
      </c>
      <c r="G823" s="5">
        <v>100</v>
      </c>
      <c r="H823" s="5">
        <v>100</v>
      </c>
      <c r="I823" s="5">
        <v>100</v>
      </c>
      <c r="J823" s="5">
        <v>100</v>
      </c>
      <c r="K823" s="15" t="s">
        <v>55</v>
      </c>
      <c r="L823" s="6">
        <v>3</v>
      </c>
      <c r="M823" s="6">
        <v>0</v>
      </c>
      <c r="N823" s="6">
        <v>0</v>
      </c>
      <c r="O823" s="5">
        <v>0</v>
      </c>
      <c r="P823" s="5">
        <v>0</v>
      </c>
      <c r="Q823" s="5">
        <v>0</v>
      </c>
      <c r="R823" s="5">
        <v>0</v>
      </c>
      <c r="S823" s="5">
        <v>0</v>
      </c>
      <c r="T823" s="5">
        <v>0</v>
      </c>
      <c r="U823" s="6">
        <v>5</v>
      </c>
      <c r="V823" s="5">
        <v>10</v>
      </c>
      <c r="W823" s="5">
        <v>5</v>
      </c>
      <c r="X823" s="16">
        <v>2000</v>
      </c>
      <c r="Y823" s="16">
        <v>7000</v>
      </c>
      <c r="Z823" s="16">
        <v>14000</v>
      </c>
      <c r="AA823" s="12" t="str">
        <f t="shared" si="145"/>
        <v>0/30</v>
      </c>
      <c r="AB823" s="12" t="str">
        <f t="shared" si="146"/>
        <v>100,0,100,100,100,100</v>
      </c>
      <c r="AC823" s="12">
        <f t="shared" si="147"/>
        <v>4</v>
      </c>
      <c r="AD823" s="12" t="str">
        <f t="shared" si="148"/>
        <v>2000/7000/14000</v>
      </c>
      <c r="AE823" s="12" t="str">
        <f t="shared" si="149"/>
        <v/>
      </c>
      <c r="AF823" s="12" t="str">
        <f t="shared" si="150"/>
        <v/>
      </c>
      <c r="AG823" s="12" t="str">
        <f t="shared" si="151"/>
        <v/>
      </c>
      <c r="AH823" s="12" t="str">
        <f t="shared" si="152"/>
        <v/>
      </c>
      <c r="AI823" s="12" t="str">
        <f t="shared" si="153"/>
        <v>10/5</v>
      </c>
    </row>
    <row r="824" spans="1:35" s="8" customFormat="1" ht="21.95" customHeight="1">
      <c r="A824" s="9">
        <v>822</v>
      </c>
      <c r="B824" s="17">
        <v>822</v>
      </c>
      <c r="C824" s="6">
        <v>30</v>
      </c>
      <c r="D824" s="6">
        <v>0</v>
      </c>
      <c r="E824" s="5">
        <v>100</v>
      </c>
      <c r="F824" s="5">
        <v>100</v>
      </c>
      <c r="G824" s="5">
        <v>0</v>
      </c>
      <c r="H824" s="5">
        <v>100</v>
      </c>
      <c r="I824" s="5">
        <v>100</v>
      </c>
      <c r="J824" s="5">
        <v>100</v>
      </c>
      <c r="K824" s="15" t="s">
        <v>55</v>
      </c>
      <c r="L824" s="6">
        <v>3</v>
      </c>
      <c r="M824" s="6">
        <v>0</v>
      </c>
      <c r="N824" s="6">
        <v>0</v>
      </c>
      <c r="O824" s="5">
        <v>0</v>
      </c>
      <c r="P824" s="5">
        <v>0</v>
      </c>
      <c r="Q824" s="5">
        <v>0</v>
      </c>
      <c r="R824" s="5">
        <v>0</v>
      </c>
      <c r="S824" s="5">
        <v>0</v>
      </c>
      <c r="T824" s="5">
        <v>0</v>
      </c>
      <c r="U824" s="6">
        <v>5</v>
      </c>
      <c r="V824" s="5">
        <v>10</v>
      </c>
      <c r="W824" s="5">
        <v>5</v>
      </c>
      <c r="X824" s="16">
        <v>2000</v>
      </c>
      <c r="Y824" s="16">
        <v>7000</v>
      </c>
      <c r="Z824" s="16">
        <v>14000</v>
      </c>
      <c r="AA824" s="12" t="str">
        <f t="shared" si="145"/>
        <v>0/30</v>
      </c>
      <c r="AB824" s="12" t="str">
        <f t="shared" si="146"/>
        <v>100,100,0,100,100,100</v>
      </c>
      <c r="AC824" s="12">
        <f t="shared" si="147"/>
        <v>4</v>
      </c>
      <c r="AD824" s="12" t="str">
        <f t="shared" si="148"/>
        <v>2000/7000/14000</v>
      </c>
      <c r="AE824" s="12" t="str">
        <f t="shared" si="149"/>
        <v/>
      </c>
      <c r="AF824" s="12" t="str">
        <f t="shared" si="150"/>
        <v/>
      </c>
      <c r="AG824" s="12" t="str">
        <f t="shared" si="151"/>
        <v/>
      </c>
      <c r="AH824" s="12" t="str">
        <f t="shared" si="152"/>
        <v/>
      </c>
      <c r="AI824" s="12" t="str">
        <f t="shared" si="153"/>
        <v>10/5</v>
      </c>
    </row>
    <row r="825" spans="1:35" s="8" customFormat="1" ht="21.95" customHeight="1">
      <c r="A825" s="9">
        <v>823</v>
      </c>
      <c r="B825" s="17">
        <v>823</v>
      </c>
      <c r="C825" s="6">
        <v>32</v>
      </c>
      <c r="D825" s="6">
        <v>0</v>
      </c>
      <c r="E825" s="5">
        <v>100</v>
      </c>
      <c r="F825" s="5">
        <v>100</v>
      </c>
      <c r="G825" s="5">
        <v>100</v>
      </c>
      <c r="H825" s="5">
        <v>0</v>
      </c>
      <c r="I825" s="5">
        <v>100</v>
      </c>
      <c r="J825" s="5">
        <v>100</v>
      </c>
      <c r="K825" s="15" t="s">
        <v>51</v>
      </c>
      <c r="L825" s="6">
        <v>3</v>
      </c>
      <c r="M825" s="6">
        <v>0</v>
      </c>
      <c r="N825" s="6">
        <v>0</v>
      </c>
      <c r="O825" s="5">
        <v>0</v>
      </c>
      <c r="P825" s="5">
        <v>0</v>
      </c>
      <c r="Q825" s="5">
        <v>0</v>
      </c>
      <c r="R825" s="5">
        <v>0</v>
      </c>
      <c r="S825" s="5">
        <v>0</v>
      </c>
      <c r="T825" s="5">
        <v>0</v>
      </c>
      <c r="U825" s="6">
        <v>0</v>
      </c>
      <c r="V825" s="5">
        <v>10</v>
      </c>
      <c r="W825" s="5">
        <v>5</v>
      </c>
      <c r="X825" s="16">
        <v>2000</v>
      </c>
      <c r="Y825" s="16">
        <v>7000</v>
      </c>
      <c r="Z825" s="16">
        <v>14000</v>
      </c>
      <c r="AA825" s="12" t="str">
        <f t="shared" si="145"/>
        <v>0/32</v>
      </c>
      <c r="AB825" s="12" t="str">
        <f t="shared" si="146"/>
        <v>100,100,100,0,100,100</v>
      </c>
      <c r="AC825" s="12">
        <f t="shared" si="147"/>
        <v>0</v>
      </c>
      <c r="AD825" s="12" t="str">
        <f t="shared" si="148"/>
        <v>2000/7000/14000</v>
      </c>
      <c r="AE825" s="12" t="str">
        <f t="shared" si="149"/>
        <v/>
      </c>
      <c r="AF825" s="12" t="str">
        <f t="shared" si="150"/>
        <v/>
      </c>
      <c r="AG825" s="12" t="str">
        <f t="shared" si="151"/>
        <v/>
      </c>
      <c r="AH825" s="12" t="str">
        <f t="shared" si="152"/>
        <v/>
      </c>
      <c r="AI825" s="12" t="str">
        <f t="shared" si="153"/>
        <v>10/5</v>
      </c>
    </row>
    <row r="826" spans="1:35" s="8" customFormat="1" ht="21.95" customHeight="1">
      <c r="A826" s="9">
        <v>824</v>
      </c>
      <c r="B826" s="17">
        <v>824</v>
      </c>
      <c r="C826" s="6">
        <v>30</v>
      </c>
      <c r="D826" s="6">
        <v>0</v>
      </c>
      <c r="E826" s="5">
        <v>100</v>
      </c>
      <c r="F826" s="5">
        <v>100</v>
      </c>
      <c r="G826" s="5">
        <v>0</v>
      </c>
      <c r="H826" s="5">
        <v>100</v>
      </c>
      <c r="I826" s="5">
        <v>100</v>
      </c>
      <c r="J826" s="5">
        <v>100</v>
      </c>
      <c r="K826" s="15" t="s">
        <v>56</v>
      </c>
      <c r="L826" s="6">
        <v>3</v>
      </c>
      <c r="M826" s="6">
        <v>0</v>
      </c>
      <c r="N826" s="6">
        <v>0</v>
      </c>
      <c r="O826" s="5">
        <v>0</v>
      </c>
      <c r="P826" s="5">
        <v>0</v>
      </c>
      <c r="Q826" s="5">
        <v>0</v>
      </c>
      <c r="R826" s="5">
        <v>0</v>
      </c>
      <c r="S826" s="5">
        <v>0</v>
      </c>
      <c r="T826" s="5">
        <v>0</v>
      </c>
      <c r="U826" s="6">
        <v>0</v>
      </c>
      <c r="V826" s="5">
        <v>10</v>
      </c>
      <c r="W826" s="5">
        <v>5</v>
      </c>
      <c r="X826" s="16">
        <v>2000</v>
      </c>
      <c r="Y826" s="16">
        <v>7000</v>
      </c>
      <c r="Z826" s="16">
        <v>14000</v>
      </c>
      <c r="AA826" s="12" t="str">
        <f t="shared" si="145"/>
        <v>0/30</v>
      </c>
      <c r="AB826" s="12" t="str">
        <f t="shared" si="146"/>
        <v>100,100,0,100,100,100</v>
      </c>
      <c r="AC826" s="12">
        <f t="shared" si="147"/>
        <v>5</v>
      </c>
      <c r="AD826" s="12" t="str">
        <f t="shared" si="148"/>
        <v>2000/7000/14000</v>
      </c>
      <c r="AE826" s="12" t="str">
        <f t="shared" si="149"/>
        <v/>
      </c>
      <c r="AF826" s="12" t="str">
        <f t="shared" si="150"/>
        <v/>
      </c>
      <c r="AG826" s="12" t="str">
        <f t="shared" si="151"/>
        <v/>
      </c>
      <c r="AH826" s="12" t="str">
        <f t="shared" si="152"/>
        <v/>
      </c>
      <c r="AI826" s="12" t="str">
        <f t="shared" si="153"/>
        <v>10/5</v>
      </c>
    </row>
    <row r="827" spans="1:35" s="8" customFormat="1" ht="21.95" customHeight="1">
      <c r="A827" s="9">
        <v>825</v>
      </c>
      <c r="B827" s="17">
        <v>825</v>
      </c>
      <c r="C827" s="6">
        <v>30</v>
      </c>
      <c r="D827" s="6">
        <v>0</v>
      </c>
      <c r="E827" s="5">
        <v>100</v>
      </c>
      <c r="F827" s="5">
        <v>100</v>
      </c>
      <c r="G827" s="5">
        <v>100</v>
      </c>
      <c r="H827" s="5">
        <v>0</v>
      </c>
      <c r="I827" s="5">
        <v>100</v>
      </c>
      <c r="J827" s="5">
        <v>100</v>
      </c>
      <c r="K827" s="15" t="s">
        <v>53</v>
      </c>
      <c r="L827" s="6">
        <v>3</v>
      </c>
      <c r="M827" s="6">
        <v>0</v>
      </c>
      <c r="N827" s="6">
        <v>0</v>
      </c>
      <c r="O827" s="5">
        <v>0</v>
      </c>
      <c r="P827" s="5">
        <v>0</v>
      </c>
      <c r="Q827" s="5">
        <v>0</v>
      </c>
      <c r="R827" s="5">
        <v>0</v>
      </c>
      <c r="S827" s="5">
        <v>18</v>
      </c>
      <c r="T827" s="5">
        <v>16</v>
      </c>
      <c r="U827" s="6">
        <v>0</v>
      </c>
      <c r="V827" s="5">
        <v>10</v>
      </c>
      <c r="W827" s="5">
        <v>5</v>
      </c>
      <c r="X827" s="16">
        <v>2000</v>
      </c>
      <c r="Y827" s="16">
        <v>7000</v>
      </c>
      <c r="Z827" s="16">
        <v>14000</v>
      </c>
      <c r="AA827" s="12" t="str">
        <f t="shared" si="145"/>
        <v>0/30</v>
      </c>
      <c r="AB827" s="12" t="str">
        <f t="shared" si="146"/>
        <v>100,100,100,0,100,100</v>
      </c>
      <c r="AC827" s="12">
        <f t="shared" si="147"/>
        <v>2</v>
      </c>
      <c r="AD827" s="12" t="str">
        <f t="shared" si="148"/>
        <v>2000/7000/14000</v>
      </c>
      <c r="AE827" s="12" t="str">
        <f t="shared" si="149"/>
        <v/>
      </c>
      <c r="AF827" s="12" t="str">
        <f t="shared" si="150"/>
        <v/>
      </c>
      <c r="AG827" s="12" t="str">
        <f t="shared" si="151"/>
        <v>4/5/</v>
      </c>
      <c r="AH827" s="12" t="str">
        <f t="shared" si="152"/>
        <v>18/16/</v>
      </c>
      <c r="AI827" s="12" t="str">
        <f t="shared" si="153"/>
        <v>10/5</v>
      </c>
    </row>
    <row r="828" spans="1:35" s="8" customFormat="1" ht="21.95" customHeight="1">
      <c r="A828" s="9">
        <v>826</v>
      </c>
      <c r="B828" s="17">
        <v>826</v>
      </c>
      <c r="C828" s="6">
        <v>30</v>
      </c>
      <c r="D828" s="6">
        <v>0</v>
      </c>
      <c r="E828" s="5">
        <v>100</v>
      </c>
      <c r="F828" s="5">
        <v>100</v>
      </c>
      <c r="G828" s="5">
        <v>100</v>
      </c>
      <c r="H828" s="5">
        <v>100</v>
      </c>
      <c r="I828" s="5">
        <v>0</v>
      </c>
      <c r="J828" s="5">
        <v>100</v>
      </c>
      <c r="K828" s="15" t="s">
        <v>53</v>
      </c>
      <c r="L828" s="6">
        <v>3</v>
      </c>
      <c r="M828" s="6">
        <v>0</v>
      </c>
      <c r="N828" s="6">
        <v>0</v>
      </c>
      <c r="O828" s="5">
        <v>16</v>
      </c>
      <c r="P828" s="5">
        <v>0</v>
      </c>
      <c r="Q828" s="5">
        <v>0</v>
      </c>
      <c r="R828" s="5">
        <v>0</v>
      </c>
      <c r="S828" s="5">
        <v>0</v>
      </c>
      <c r="T828" s="5">
        <v>18</v>
      </c>
      <c r="U828" s="6">
        <v>0</v>
      </c>
      <c r="V828" s="5">
        <v>10</v>
      </c>
      <c r="W828" s="5">
        <v>5</v>
      </c>
      <c r="X828" s="16">
        <v>2000</v>
      </c>
      <c r="Y828" s="16">
        <v>7000</v>
      </c>
      <c r="Z828" s="16">
        <v>14000</v>
      </c>
      <c r="AA828" s="12" t="str">
        <f t="shared" si="145"/>
        <v>0/30</v>
      </c>
      <c r="AB828" s="12" t="str">
        <f t="shared" si="146"/>
        <v>100,100,100,100,0,100</v>
      </c>
      <c r="AC828" s="12">
        <f t="shared" si="147"/>
        <v>2</v>
      </c>
      <c r="AD828" s="12" t="str">
        <f t="shared" si="148"/>
        <v>2000/7000/14000</v>
      </c>
      <c r="AE828" s="12" t="str">
        <f t="shared" si="149"/>
        <v/>
      </c>
      <c r="AF828" s="12" t="str">
        <f t="shared" si="150"/>
        <v/>
      </c>
      <c r="AG828" s="12" t="str">
        <f t="shared" si="151"/>
        <v>0/5/</v>
      </c>
      <c r="AH828" s="12" t="str">
        <f t="shared" si="152"/>
        <v>16/18/</v>
      </c>
      <c r="AI828" s="12" t="str">
        <f t="shared" si="153"/>
        <v>10/5</v>
      </c>
    </row>
    <row r="829" spans="1:35" s="8" customFormat="1" ht="21.95" customHeight="1">
      <c r="A829" s="9">
        <v>827</v>
      </c>
      <c r="B829" s="17">
        <v>827</v>
      </c>
      <c r="C829" s="6">
        <v>30</v>
      </c>
      <c r="D829" s="6">
        <v>0</v>
      </c>
      <c r="E829" s="5">
        <v>100</v>
      </c>
      <c r="F829" s="5">
        <v>100</v>
      </c>
      <c r="G829" s="5">
        <v>100</v>
      </c>
      <c r="H829" s="5">
        <v>100</v>
      </c>
      <c r="I829" s="5">
        <v>100</v>
      </c>
      <c r="J829" s="5">
        <v>0</v>
      </c>
      <c r="K829" s="15" t="s">
        <v>52</v>
      </c>
      <c r="L829" s="6">
        <v>3</v>
      </c>
      <c r="M829" s="6">
        <v>6</v>
      </c>
      <c r="N829" s="6">
        <v>0</v>
      </c>
      <c r="O829" s="5">
        <v>0</v>
      </c>
      <c r="P829" s="5">
        <v>0</v>
      </c>
      <c r="Q829" s="5">
        <v>0</v>
      </c>
      <c r="R829" s="5">
        <v>0</v>
      </c>
      <c r="S829" s="5">
        <v>0</v>
      </c>
      <c r="T829" s="5">
        <v>0</v>
      </c>
      <c r="U829" s="6">
        <v>0</v>
      </c>
      <c r="V829" s="5">
        <v>10</v>
      </c>
      <c r="W829" s="5">
        <v>5</v>
      </c>
      <c r="X829" s="16">
        <v>2000</v>
      </c>
      <c r="Y829" s="16">
        <v>7000</v>
      </c>
      <c r="Z829" s="16">
        <v>14000</v>
      </c>
      <c r="AA829" s="12" t="str">
        <f t="shared" si="145"/>
        <v>0/30</v>
      </c>
      <c r="AB829" s="12" t="str">
        <f t="shared" si="146"/>
        <v>100,100,100,100,100,0</v>
      </c>
      <c r="AC829" s="12">
        <f t="shared" si="147"/>
        <v>1</v>
      </c>
      <c r="AD829" s="12" t="str">
        <f t="shared" si="148"/>
        <v>2000/7000/14000</v>
      </c>
      <c r="AE829" s="12" t="str">
        <f t="shared" si="149"/>
        <v>0/</v>
      </c>
      <c r="AF829" s="12" t="str">
        <f t="shared" si="150"/>
        <v>6/</v>
      </c>
      <c r="AG829" s="12" t="str">
        <f t="shared" si="151"/>
        <v/>
      </c>
      <c r="AH829" s="12" t="str">
        <f t="shared" si="152"/>
        <v/>
      </c>
      <c r="AI829" s="12" t="str">
        <f t="shared" si="153"/>
        <v>10/5</v>
      </c>
    </row>
    <row r="830" spans="1:35" s="8" customFormat="1" ht="21.95" customHeight="1">
      <c r="A830" s="9">
        <v>828</v>
      </c>
      <c r="B830" s="17">
        <v>828</v>
      </c>
      <c r="C830" s="6">
        <v>30</v>
      </c>
      <c r="D830" s="6">
        <v>0</v>
      </c>
      <c r="E830" s="5">
        <v>0</v>
      </c>
      <c r="F830" s="5">
        <v>100</v>
      </c>
      <c r="G830" s="5">
        <v>100</v>
      </c>
      <c r="H830" s="5">
        <v>100</v>
      </c>
      <c r="I830" s="5">
        <v>100</v>
      </c>
      <c r="J830" s="5">
        <v>100</v>
      </c>
      <c r="K830" s="15" t="s">
        <v>52</v>
      </c>
      <c r="L830" s="6">
        <v>3</v>
      </c>
      <c r="M830" s="6">
        <v>0</v>
      </c>
      <c r="N830" s="6">
        <v>6</v>
      </c>
      <c r="O830" s="5">
        <v>0</v>
      </c>
      <c r="P830" s="5">
        <v>0</v>
      </c>
      <c r="Q830" s="5">
        <v>0</v>
      </c>
      <c r="R830" s="5">
        <v>0</v>
      </c>
      <c r="S830" s="5">
        <v>0</v>
      </c>
      <c r="T830" s="5">
        <v>0</v>
      </c>
      <c r="U830" s="6">
        <v>0</v>
      </c>
      <c r="V830" s="5">
        <v>10</v>
      </c>
      <c r="W830" s="5">
        <v>5</v>
      </c>
      <c r="X830" s="16">
        <v>2000</v>
      </c>
      <c r="Y830" s="16">
        <v>7000</v>
      </c>
      <c r="Z830" s="16">
        <v>14000</v>
      </c>
      <c r="AA830" s="12" t="str">
        <f t="shared" si="145"/>
        <v>0/30</v>
      </c>
      <c r="AB830" s="12" t="str">
        <f t="shared" si="146"/>
        <v>0,100,100,100,100,100</v>
      </c>
      <c r="AC830" s="12">
        <f t="shared" si="147"/>
        <v>1</v>
      </c>
      <c r="AD830" s="12" t="str">
        <f t="shared" si="148"/>
        <v>2000/7000/14000</v>
      </c>
      <c r="AE830" s="12" t="str">
        <f t="shared" si="149"/>
        <v>1/</v>
      </c>
      <c r="AF830" s="12" t="str">
        <f t="shared" si="150"/>
        <v>6/</v>
      </c>
      <c r="AG830" s="12" t="str">
        <f t="shared" si="151"/>
        <v/>
      </c>
      <c r="AH830" s="12" t="str">
        <f t="shared" si="152"/>
        <v/>
      </c>
      <c r="AI830" s="12" t="str">
        <f t="shared" si="153"/>
        <v>10/5</v>
      </c>
    </row>
    <row r="831" spans="1:35" s="8" customFormat="1" ht="21.95" customHeight="1">
      <c r="A831" s="9">
        <v>829</v>
      </c>
      <c r="B831" s="17">
        <v>829</v>
      </c>
      <c r="C831" s="6">
        <v>0</v>
      </c>
      <c r="D831" s="6">
        <v>60</v>
      </c>
      <c r="E831" s="5">
        <v>100</v>
      </c>
      <c r="F831" s="5">
        <v>0</v>
      </c>
      <c r="G831" s="5">
        <v>100</v>
      </c>
      <c r="H831" s="5">
        <v>100</v>
      </c>
      <c r="I831" s="5">
        <v>100</v>
      </c>
      <c r="J831" s="5">
        <v>100</v>
      </c>
      <c r="K831" s="15" t="s">
        <v>54</v>
      </c>
      <c r="L831" s="6">
        <v>3</v>
      </c>
      <c r="M831" s="6">
        <v>0</v>
      </c>
      <c r="N831" s="6">
        <v>0</v>
      </c>
      <c r="O831" s="5">
        <v>0</v>
      </c>
      <c r="P831" s="5">
        <v>0</v>
      </c>
      <c r="Q831" s="5">
        <v>0</v>
      </c>
      <c r="R831" s="5">
        <v>0</v>
      </c>
      <c r="S831" s="5">
        <v>0</v>
      </c>
      <c r="T831" s="5">
        <v>0</v>
      </c>
      <c r="U831" s="6">
        <v>0</v>
      </c>
      <c r="V831" s="5">
        <v>10</v>
      </c>
      <c r="W831" s="5">
        <v>5</v>
      </c>
      <c r="X831" s="16">
        <v>2000</v>
      </c>
      <c r="Y831" s="16">
        <v>7000</v>
      </c>
      <c r="Z831" s="16">
        <v>14000</v>
      </c>
      <c r="AA831" s="12" t="str">
        <f t="shared" si="145"/>
        <v>1/60</v>
      </c>
      <c r="AB831" s="12" t="str">
        <f t="shared" si="146"/>
        <v>100,0,100,100,100,100</v>
      </c>
      <c r="AC831" s="12">
        <f t="shared" si="147"/>
        <v>3</v>
      </c>
      <c r="AD831" s="12" t="str">
        <f t="shared" si="148"/>
        <v>2000/7000/14000</v>
      </c>
      <c r="AE831" s="12" t="str">
        <f t="shared" si="149"/>
        <v/>
      </c>
      <c r="AF831" s="12" t="str">
        <f t="shared" si="150"/>
        <v/>
      </c>
      <c r="AG831" s="12" t="str">
        <f t="shared" si="151"/>
        <v/>
      </c>
      <c r="AH831" s="12" t="str">
        <f t="shared" si="152"/>
        <v/>
      </c>
      <c r="AI831" s="12" t="str">
        <f t="shared" si="153"/>
        <v>10/5</v>
      </c>
    </row>
    <row r="832" spans="1:35" s="8" customFormat="1" ht="21.95" customHeight="1">
      <c r="A832" s="9">
        <v>830</v>
      </c>
      <c r="B832" s="17">
        <v>830</v>
      </c>
      <c r="C832" s="6">
        <v>0</v>
      </c>
      <c r="D832" s="6">
        <v>60</v>
      </c>
      <c r="E832" s="5">
        <v>100</v>
      </c>
      <c r="F832" s="5">
        <v>100</v>
      </c>
      <c r="G832" s="5">
        <v>0</v>
      </c>
      <c r="H832" s="5">
        <v>100</v>
      </c>
      <c r="I832" s="5">
        <v>100</v>
      </c>
      <c r="J832" s="5">
        <v>100</v>
      </c>
      <c r="K832" s="15" t="s">
        <v>54</v>
      </c>
      <c r="L832" s="6">
        <v>3</v>
      </c>
      <c r="M832" s="6">
        <v>0</v>
      </c>
      <c r="N832" s="6">
        <v>0</v>
      </c>
      <c r="O832" s="5">
        <v>0</v>
      </c>
      <c r="P832" s="5">
        <v>0</v>
      </c>
      <c r="Q832" s="5">
        <v>0</v>
      </c>
      <c r="R832" s="5">
        <v>0</v>
      </c>
      <c r="S832" s="5">
        <v>0</v>
      </c>
      <c r="T832" s="5">
        <v>0</v>
      </c>
      <c r="U832" s="6">
        <v>0</v>
      </c>
      <c r="V832" s="5">
        <v>10</v>
      </c>
      <c r="W832" s="5">
        <v>5</v>
      </c>
      <c r="X832" s="16">
        <v>2000</v>
      </c>
      <c r="Y832" s="16">
        <v>7000</v>
      </c>
      <c r="Z832" s="16">
        <v>14000</v>
      </c>
      <c r="AA832" s="12" t="str">
        <f t="shared" si="145"/>
        <v>1/60</v>
      </c>
      <c r="AB832" s="12" t="str">
        <f t="shared" si="146"/>
        <v>100,100,0,100,100,100</v>
      </c>
      <c r="AC832" s="12">
        <f t="shared" si="147"/>
        <v>3</v>
      </c>
      <c r="AD832" s="12" t="str">
        <f t="shared" si="148"/>
        <v>2000/7000/14000</v>
      </c>
      <c r="AE832" s="12" t="str">
        <f t="shared" si="149"/>
        <v/>
      </c>
      <c r="AF832" s="12" t="str">
        <f t="shared" si="150"/>
        <v/>
      </c>
      <c r="AG832" s="12" t="str">
        <f t="shared" si="151"/>
        <v/>
      </c>
      <c r="AH832" s="12" t="str">
        <f t="shared" si="152"/>
        <v/>
      </c>
      <c r="AI832" s="12" t="str">
        <f t="shared" si="153"/>
        <v>10/5</v>
      </c>
    </row>
    <row r="833" spans="1:35" s="8" customFormat="1" ht="21.95" customHeight="1">
      <c r="A833" s="9">
        <v>831</v>
      </c>
      <c r="B833" s="17">
        <v>831</v>
      </c>
      <c r="C833" s="6">
        <v>30</v>
      </c>
      <c r="D833" s="6">
        <v>0</v>
      </c>
      <c r="E833" s="5">
        <v>100</v>
      </c>
      <c r="F833" s="5">
        <v>100</v>
      </c>
      <c r="G833" s="5">
        <v>100</v>
      </c>
      <c r="H833" s="5">
        <v>0</v>
      </c>
      <c r="I833" s="5">
        <v>100</v>
      </c>
      <c r="J833" s="5">
        <v>100</v>
      </c>
      <c r="K833" s="15" t="s">
        <v>55</v>
      </c>
      <c r="L833" s="6">
        <v>3</v>
      </c>
      <c r="M833" s="6">
        <v>0</v>
      </c>
      <c r="N833" s="6">
        <v>0</v>
      </c>
      <c r="O833" s="5">
        <v>0</v>
      </c>
      <c r="P833" s="5">
        <v>0</v>
      </c>
      <c r="Q833" s="5">
        <v>0</v>
      </c>
      <c r="R833" s="5">
        <v>0</v>
      </c>
      <c r="S833" s="5">
        <v>0</v>
      </c>
      <c r="T833" s="5">
        <v>0</v>
      </c>
      <c r="U833" s="6">
        <v>5</v>
      </c>
      <c r="V833" s="5">
        <v>10</v>
      </c>
      <c r="W833" s="5">
        <v>5</v>
      </c>
      <c r="X833" s="16">
        <v>2000</v>
      </c>
      <c r="Y833" s="16">
        <v>7000</v>
      </c>
      <c r="Z833" s="16">
        <v>14000</v>
      </c>
      <c r="AA833" s="12" t="str">
        <f t="shared" si="145"/>
        <v>0/30</v>
      </c>
      <c r="AB833" s="12" t="str">
        <f t="shared" si="146"/>
        <v>100,100,100,0,100,100</v>
      </c>
      <c r="AC833" s="12">
        <f t="shared" si="147"/>
        <v>4</v>
      </c>
      <c r="AD833" s="12" t="str">
        <f t="shared" si="148"/>
        <v>2000/7000/14000</v>
      </c>
      <c r="AE833" s="12" t="str">
        <f t="shared" si="149"/>
        <v/>
      </c>
      <c r="AF833" s="12" t="str">
        <f t="shared" si="150"/>
        <v/>
      </c>
      <c r="AG833" s="12" t="str">
        <f t="shared" si="151"/>
        <v/>
      </c>
      <c r="AH833" s="12" t="str">
        <f t="shared" si="152"/>
        <v/>
      </c>
      <c r="AI833" s="12" t="str">
        <f t="shared" si="153"/>
        <v>10/5</v>
      </c>
    </row>
    <row r="834" spans="1:35" s="8" customFormat="1" ht="21.95" customHeight="1">
      <c r="A834" s="9">
        <v>832</v>
      </c>
      <c r="B834" s="17">
        <v>832</v>
      </c>
      <c r="C834" s="6">
        <v>30</v>
      </c>
      <c r="D834" s="6">
        <v>0</v>
      </c>
      <c r="E834" s="5">
        <v>100</v>
      </c>
      <c r="F834" s="5">
        <v>100</v>
      </c>
      <c r="G834" s="5">
        <v>100</v>
      </c>
      <c r="H834" s="5">
        <v>100</v>
      </c>
      <c r="I834" s="5">
        <v>0</v>
      </c>
      <c r="J834" s="5">
        <v>100</v>
      </c>
      <c r="K834" s="15" t="s">
        <v>55</v>
      </c>
      <c r="L834" s="6">
        <v>3</v>
      </c>
      <c r="M834" s="6">
        <v>0</v>
      </c>
      <c r="N834" s="6">
        <v>0</v>
      </c>
      <c r="O834" s="5">
        <v>0</v>
      </c>
      <c r="P834" s="5">
        <v>0</v>
      </c>
      <c r="Q834" s="5">
        <v>0</v>
      </c>
      <c r="R834" s="5">
        <v>0</v>
      </c>
      <c r="S834" s="5">
        <v>0</v>
      </c>
      <c r="T834" s="5">
        <v>0</v>
      </c>
      <c r="U834" s="6">
        <v>5</v>
      </c>
      <c r="V834" s="5">
        <v>10</v>
      </c>
      <c r="W834" s="5">
        <v>5</v>
      </c>
      <c r="X834" s="16">
        <v>2000</v>
      </c>
      <c r="Y834" s="16">
        <v>7000</v>
      </c>
      <c r="Z834" s="16">
        <v>14000</v>
      </c>
      <c r="AA834" s="12" t="str">
        <f t="shared" si="145"/>
        <v>0/30</v>
      </c>
      <c r="AB834" s="12" t="str">
        <f t="shared" si="146"/>
        <v>100,100,100,100,0,100</v>
      </c>
      <c r="AC834" s="12">
        <f t="shared" si="147"/>
        <v>4</v>
      </c>
      <c r="AD834" s="12" t="str">
        <f t="shared" si="148"/>
        <v>2000/7000/14000</v>
      </c>
      <c r="AE834" s="12" t="str">
        <f t="shared" si="149"/>
        <v/>
      </c>
      <c r="AF834" s="12" t="str">
        <f t="shared" si="150"/>
        <v/>
      </c>
      <c r="AG834" s="12" t="str">
        <f t="shared" si="151"/>
        <v/>
      </c>
      <c r="AH834" s="12" t="str">
        <f t="shared" si="152"/>
        <v/>
      </c>
      <c r="AI834" s="12" t="str">
        <f t="shared" si="153"/>
        <v>10/5</v>
      </c>
    </row>
    <row r="835" spans="1:35" s="8" customFormat="1" ht="21.95" customHeight="1">
      <c r="A835" s="9">
        <v>833</v>
      </c>
      <c r="B835" s="17">
        <v>833</v>
      </c>
      <c r="C835" s="6">
        <v>30</v>
      </c>
      <c r="D835" s="6">
        <v>0</v>
      </c>
      <c r="E835" s="5">
        <v>100</v>
      </c>
      <c r="F835" s="5">
        <v>100</v>
      </c>
      <c r="G835" s="5">
        <v>100</v>
      </c>
      <c r="H835" s="5">
        <v>100</v>
      </c>
      <c r="I835" s="5">
        <v>100</v>
      </c>
      <c r="J835" s="5">
        <v>0</v>
      </c>
      <c r="K835" s="15" t="s">
        <v>56</v>
      </c>
      <c r="L835" s="6">
        <v>3</v>
      </c>
      <c r="M835" s="6">
        <v>0</v>
      </c>
      <c r="N835" s="6">
        <v>0</v>
      </c>
      <c r="O835" s="5">
        <v>0</v>
      </c>
      <c r="P835" s="5">
        <v>0</v>
      </c>
      <c r="Q835" s="5">
        <v>0</v>
      </c>
      <c r="R835" s="5">
        <v>0</v>
      </c>
      <c r="S835" s="5">
        <v>0</v>
      </c>
      <c r="T835" s="5">
        <v>0</v>
      </c>
      <c r="U835" s="6">
        <v>0</v>
      </c>
      <c r="V835" s="5">
        <v>10</v>
      </c>
      <c r="W835" s="5">
        <v>5</v>
      </c>
      <c r="X835" s="16">
        <v>2000</v>
      </c>
      <c r="Y835" s="16">
        <v>7000</v>
      </c>
      <c r="Z835" s="16">
        <v>14000</v>
      </c>
      <c r="AA835" s="12" t="str">
        <f t="shared" si="145"/>
        <v>0/30</v>
      </c>
      <c r="AB835" s="12" t="str">
        <f t="shared" si="146"/>
        <v>100,100,100,100,100,0</v>
      </c>
      <c r="AC835" s="12">
        <f t="shared" si="147"/>
        <v>5</v>
      </c>
      <c r="AD835" s="12" t="str">
        <f t="shared" si="148"/>
        <v>2000/7000/14000</v>
      </c>
      <c r="AE835" s="12" t="str">
        <f t="shared" si="149"/>
        <v/>
      </c>
      <c r="AF835" s="12" t="str">
        <f t="shared" si="150"/>
        <v/>
      </c>
      <c r="AG835" s="12" t="str">
        <f t="shared" si="151"/>
        <v/>
      </c>
      <c r="AH835" s="12" t="str">
        <f t="shared" si="152"/>
        <v/>
      </c>
      <c r="AI835" s="12" t="str">
        <f t="shared" si="153"/>
        <v>10/5</v>
      </c>
    </row>
    <row r="836" spans="1:35" s="8" customFormat="1" ht="21.95" customHeight="1">
      <c r="A836" s="9">
        <v>834</v>
      </c>
      <c r="B836" s="17">
        <v>834</v>
      </c>
      <c r="C836" s="6">
        <v>0</v>
      </c>
      <c r="D836" s="6">
        <v>60</v>
      </c>
      <c r="E836" s="5">
        <v>0</v>
      </c>
      <c r="F836" s="5">
        <v>100</v>
      </c>
      <c r="G836" s="5">
        <v>100</v>
      </c>
      <c r="H836" s="5">
        <v>100</v>
      </c>
      <c r="I836" s="5">
        <v>100</v>
      </c>
      <c r="J836" s="5">
        <v>100</v>
      </c>
      <c r="K836" s="15" t="s">
        <v>56</v>
      </c>
      <c r="L836" s="6">
        <v>3</v>
      </c>
      <c r="M836" s="6">
        <v>0</v>
      </c>
      <c r="N836" s="6">
        <v>0</v>
      </c>
      <c r="O836" s="5">
        <v>0</v>
      </c>
      <c r="P836" s="5">
        <v>0</v>
      </c>
      <c r="Q836" s="5">
        <v>0</v>
      </c>
      <c r="R836" s="5">
        <v>0</v>
      </c>
      <c r="S836" s="5">
        <v>0</v>
      </c>
      <c r="T836" s="5">
        <v>0</v>
      </c>
      <c r="U836" s="6">
        <v>0</v>
      </c>
      <c r="V836" s="5">
        <v>10</v>
      </c>
      <c r="W836" s="5">
        <v>5</v>
      </c>
      <c r="X836" s="16">
        <v>2000</v>
      </c>
      <c r="Y836" s="16">
        <v>7000</v>
      </c>
      <c r="Z836" s="16">
        <v>14000</v>
      </c>
      <c r="AA836" s="12" t="str">
        <f t="shared" si="145"/>
        <v>1/60</v>
      </c>
      <c r="AB836" s="12" t="str">
        <f t="shared" si="146"/>
        <v>0,100,100,100,100,100</v>
      </c>
      <c r="AC836" s="12">
        <f t="shared" si="147"/>
        <v>5</v>
      </c>
      <c r="AD836" s="12" t="str">
        <f t="shared" si="148"/>
        <v>2000/7000/14000</v>
      </c>
      <c r="AE836" s="12" t="str">
        <f t="shared" si="149"/>
        <v/>
      </c>
      <c r="AF836" s="12" t="str">
        <f t="shared" si="150"/>
        <v/>
      </c>
      <c r="AG836" s="12" t="str">
        <f t="shared" si="151"/>
        <v/>
      </c>
      <c r="AH836" s="12" t="str">
        <f t="shared" si="152"/>
        <v/>
      </c>
      <c r="AI836" s="12" t="str">
        <f t="shared" si="153"/>
        <v>10/5</v>
      </c>
    </row>
    <row r="837" spans="1:35" s="8" customFormat="1" ht="21.95" customHeight="1">
      <c r="A837" s="9">
        <v>835</v>
      </c>
      <c r="B837" s="17">
        <v>835</v>
      </c>
      <c r="C837" s="6">
        <v>30</v>
      </c>
      <c r="D837" s="6">
        <v>0</v>
      </c>
      <c r="E837" s="5">
        <v>100</v>
      </c>
      <c r="F837" s="5">
        <v>0</v>
      </c>
      <c r="G837" s="5">
        <v>100</v>
      </c>
      <c r="H837" s="5">
        <v>100</v>
      </c>
      <c r="I837" s="5">
        <v>100</v>
      </c>
      <c r="J837" s="5">
        <v>100</v>
      </c>
      <c r="K837" s="15" t="s">
        <v>53</v>
      </c>
      <c r="L837" s="6">
        <v>3</v>
      </c>
      <c r="M837" s="6">
        <v>0</v>
      </c>
      <c r="N837" s="6">
        <v>0</v>
      </c>
      <c r="O837" s="5">
        <v>0</v>
      </c>
      <c r="P837" s="5">
        <v>0</v>
      </c>
      <c r="Q837" s="5">
        <v>20</v>
      </c>
      <c r="R837" s="5">
        <v>24</v>
      </c>
      <c r="S837" s="5">
        <v>0</v>
      </c>
      <c r="T837" s="5">
        <v>0</v>
      </c>
      <c r="U837" s="6">
        <v>0</v>
      </c>
      <c r="V837" s="5">
        <v>10</v>
      </c>
      <c r="W837" s="5">
        <v>5</v>
      </c>
      <c r="X837" s="16">
        <v>2000</v>
      </c>
      <c r="Y837" s="16">
        <v>7000</v>
      </c>
      <c r="Z837" s="16">
        <v>14000</v>
      </c>
      <c r="AA837" s="12" t="str">
        <f t="shared" si="145"/>
        <v>0/30</v>
      </c>
      <c r="AB837" s="12" t="str">
        <f t="shared" si="146"/>
        <v>100,0,100,100,100,100</v>
      </c>
      <c r="AC837" s="12">
        <f t="shared" si="147"/>
        <v>2</v>
      </c>
      <c r="AD837" s="12" t="str">
        <f t="shared" si="148"/>
        <v>2000/7000/14000</v>
      </c>
      <c r="AE837" s="12" t="str">
        <f t="shared" si="149"/>
        <v/>
      </c>
      <c r="AF837" s="12" t="str">
        <f t="shared" si="150"/>
        <v/>
      </c>
      <c r="AG837" s="12" t="str">
        <f t="shared" si="151"/>
        <v>2/3/</v>
      </c>
      <c r="AH837" s="12" t="str">
        <f t="shared" si="152"/>
        <v>20/24/</v>
      </c>
      <c r="AI837" s="12" t="str">
        <f t="shared" si="153"/>
        <v>10/5</v>
      </c>
    </row>
    <row r="838" spans="1:35" s="8" customFormat="1" ht="21.95" customHeight="1">
      <c r="A838" s="9">
        <v>836</v>
      </c>
      <c r="B838" s="17">
        <v>836</v>
      </c>
      <c r="C838" s="6">
        <v>30</v>
      </c>
      <c r="D838" s="6">
        <v>0</v>
      </c>
      <c r="E838" s="5">
        <v>100</v>
      </c>
      <c r="F838" s="5">
        <v>100</v>
      </c>
      <c r="G838" s="5">
        <v>0</v>
      </c>
      <c r="H838" s="5">
        <v>100</v>
      </c>
      <c r="I838" s="5">
        <v>100</v>
      </c>
      <c r="J838" s="5">
        <v>100</v>
      </c>
      <c r="K838" s="15" t="s">
        <v>53</v>
      </c>
      <c r="L838" s="6">
        <v>3</v>
      </c>
      <c r="M838" s="6">
        <v>0</v>
      </c>
      <c r="N838" s="6">
        <v>0</v>
      </c>
      <c r="O838" s="5">
        <v>0</v>
      </c>
      <c r="P838" s="5">
        <v>0</v>
      </c>
      <c r="Q838" s="5">
        <v>0</v>
      </c>
      <c r="R838" s="5">
        <v>18</v>
      </c>
      <c r="S838" s="5">
        <v>32</v>
      </c>
      <c r="T838" s="5">
        <v>0</v>
      </c>
      <c r="U838" s="6">
        <v>0</v>
      </c>
      <c r="V838" s="5">
        <v>10</v>
      </c>
      <c r="W838" s="5">
        <v>5</v>
      </c>
      <c r="X838" s="16">
        <v>2000</v>
      </c>
      <c r="Y838" s="16">
        <v>7000</v>
      </c>
      <c r="Z838" s="16">
        <v>14000</v>
      </c>
      <c r="AA838" s="12" t="str">
        <f t="shared" si="145"/>
        <v>0/30</v>
      </c>
      <c r="AB838" s="12" t="str">
        <f t="shared" si="146"/>
        <v>100,100,0,100,100,100</v>
      </c>
      <c r="AC838" s="12">
        <f t="shared" si="147"/>
        <v>2</v>
      </c>
      <c r="AD838" s="12" t="str">
        <f t="shared" si="148"/>
        <v>2000/7000/14000</v>
      </c>
      <c r="AE838" s="12" t="str">
        <f t="shared" si="149"/>
        <v/>
      </c>
      <c r="AF838" s="12" t="str">
        <f t="shared" si="150"/>
        <v/>
      </c>
      <c r="AG838" s="12" t="str">
        <f t="shared" si="151"/>
        <v>3/4/</v>
      </c>
      <c r="AH838" s="12" t="str">
        <f t="shared" si="152"/>
        <v>18/32/</v>
      </c>
      <c r="AI838" s="12" t="str">
        <f t="shared" si="153"/>
        <v>10/5</v>
      </c>
    </row>
    <row r="839" spans="1:35" s="8" customFormat="1" ht="21.95" customHeight="1">
      <c r="A839" s="9">
        <v>837</v>
      </c>
      <c r="B839" s="17">
        <v>837</v>
      </c>
      <c r="C839" s="6">
        <v>30</v>
      </c>
      <c r="D839" s="6">
        <v>0</v>
      </c>
      <c r="E839" s="5">
        <v>100</v>
      </c>
      <c r="F839" s="5">
        <v>100</v>
      </c>
      <c r="G839" s="5">
        <v>100</v>
      </c>
      <c r="H839" s="5">
        <v>0</v>
      </c>
      <c r="I839" s="5">
        <v>100</v>
      </c>
      <c r="J839" s="5">
        <v>100</v>
      </c>
      <c r="K839" s="15" t="s">
        <v>52</v>
      </c>
      <c r="L839" s="6">
        <v>3</v>
      </c>
      <c r="M839" s="6">
        <v>6</v>
      </c>
      <c r="N839" s="6">
        <v>0</v>
      </c>
      <c r="O839" s="5">
        <v>0</v>
      </c>
      <c r="P839" s="5">
        <v>0</v>
      </c>
      <c r="Q839" s="5">
        <v>0</v>
      </c>
      <c r="R839" s="5">
        <v>0</v>
      </c>
      <c r="S839" s="5">
        <v>0</v>
      </c>
      <c r="T839" s="5">
        <v>0</v>
      </c>
      <c r="U839" s="6">
        <v>0</v>
      </c>
      <c r="V839" s="5">
        <v>10</v>
      </c>
      <c r="W839" s="5">
        <v>5</v>
      </c>
      <c r="X839" s="16">
        <v>2000</v>
      </c>
      <c r="Y839" s="16">
        <v>7000</v>
      </c>
      <c r="Z839" s="16">
        <v>14000</v>
      </c>
      <c r="AA839" s="12" t="str">
        <f t="shared" si="145"/>
        <v>0/30</v>
      </c>
      <c r="AB839" s="12" t="str">
        <f t="shared" si="146"/>
        <v>100,100,100,0,100,100</v>
      </c>
      <c r="AC839" s="12">
        <f t="shared" si="147"/>
        <v>1</v>
      </c>
      <c r="AD839" s="12" t="str">
        <f t="shared" si="148"/>
        <v>2000/7000/14000</v>
      </c>
      <c r="AE839" s="12" t="str">
        <f t="shared" si="149"/>
        <v>0/</v>
      </c>
      <c r="AF839" s="12" t="str">
        <f t="shared" si="150"/>
        <v>6/</v>
      </c>
      <c r="AG839" s="12" t="str">
        <f t="shared" si="151"/>
        <v/>
      </c>
      <c r="AH839" s="12" t="str">
        <f t="shared" si="152"/>
        <v/>
      </c>
      <c r="AI839" s="12" t="str">
        <f t="shared" si="153"/>
        <v>10/5</v>
      </c>
    </row>
    <row r="840" spans="1:35" s="8" customFormat="1" ht="21.95" customHeight="1">
      <c r="A840" s="9">
        <v>838</v>
      </c>
      <c r="B840" s="17">
        <v>838</v>
      </c>
      <c r="C840" s="6">
        <v>30</v>
      </c>
      <c r="D840" s="6">
        <v>0</v>
      </c>
      <c r="E840" s="5">
        <v>100</v>
      </c>
      <c r="F840" s="5">
        <v>100</v>
      </c>
      <c r="G840" s="5">
        <v>100</v>
      </c>
      <c r="H840" s="5">
        <v>100</v>
      </c>
      <c r="I840" s="5">
        <v>0</v>
      </c>
      <c r="J840" s="5">
        <v>100</v>
      </c>
      <c r="K840" s="15" t="s">
        <v>52</v>
      </c>
      <c r="L840" s="6">
        <v>3</v>
      </c>
      <c r="M840" s="6">
        <v>2</v>
      </c>
      <c r="N840" s="6">
        <v>4</v>
      </c>
      <c r="O840" s="5">
        <v>0</v>
      </c>
      <c r="P840" s="5">
        <v>0</v>
      </c>
      <c r="Q840" s="5">
        <v>0</v>
      </c>
      <c r="R840" s="5">
        <v>0</v>
      </c>
      <c r="S840" s="5">
        <v>0</v>
      </c>
      <c r="T840" s="5">
        <v>0</v>
      </c>
      <c r="U840" s="6">
        <v>0</v>
      </c>
      <c r="V840" s="5">
        <v>10</v>
      </c>
      <c r="W840" s="5">
        <v>5</v>
      </c>
      <c r="X840" s="16">
        <v>2000</v>
      </c>
      <c r="Y840" s="16">
        <v>7000</v>
      </c>
      <c r="Z840" s="16">
        <v>14000</v>
      </c>
      <c r="AA840" s="12" t="str">
        <f t="shared" si="145"/>
        <v>0/30</v>
      </c>
      <c r="AB840" s="12" t="str">
        <f t="shared" si="146"/>
        <v>100,100,100,100,0,100</v>
      </c>
      <c r="AC840" s="12">
        <f t="shared" si="147"/>
        <v>1</v>
      </c>
      <c r="AD840" s="12" t="str">
        <f t="shared" si="148"/>
        <v>2000/7000/14000</v>
      </c>
      <c r="AE840" s="12" t="str">
        <f t="shared" si="149"/>
        <v>0/1/</v>
      </c>
      <c r="AF840" s="12" t="str">
        <f t="shared" si="150"/>
        <v>2/4/</v>
      </c>
      <c r="AG840" s="12" t="str">
        <f t="shared" si="151"/>
        <v/>
      </c>
      <c r="AH840" s="12" t="str">
        <f t="shared" si="152"/>
        <v/>
      </c>
      <c r="AI840" s="12" t="str">
        <f t="shared" si="153"/>
        <v>10/5</v>
      </c>
    </row>
    <row r="841" spans="1:35" s="8" customFormat="1" ht="21.95" customHeight="1">
      <c r="A841" s="9">
        <v>839</v>
      </c>
      <c r="B841" s="17">
        <v>839</v>
      </c>
      <c r="C841" s="6">
        <v>0</v>
      </c>
      <c r="D841" s="6">
        <v>60</v>
      </c>
      <c r="E841" s="5">
        <v>100</v>
      </c>
      <c r="F841" s="5">
        <v>100</v>
      </c>
      <c r="G841" s="5">
        <v>100</v>
      </c>
      <c r="H841" s="5">
        <v>100</v>
      </c>
      <c r="I841" s="5">
        <v>100</v>
      </c>
      <c r="J841" s="5">
        <v>0</v>
      </c>
      <c r="K841" s="15" t="s">
        <v>54</v>
      </c>
      <c r="L841" s="6">
        <v>3</v>
      </c>
      <c r="M841" s="6">
        <v>0</v>
      </c>
      <c r="N841" s="6">
        <v>0</v>
      </c>
      <c r="O841" s="5">
        <v>0</v>
      </c>
      <c r="P841" s="5">
        <v>0</v>
      </c>
      <c r="Q841" s="5">
        <v>0</v>
      </c>
      <c r="R841" s="5">
        <v>0</v>
      </c>
      <c r="S841" s="5">
        <v>0</v>
      </c>
      <c r="T841" s="5">
        <v>0</v>
      </c>
      <c r="U841" s="6">
        <v>0</v>
      </c>
      <c r="V841" s="5">
        <v>10</v>
      </c>
      <c r="W841" s="5">
        <v>5</v>
      </c>
      <c r="X841" s="16">
        <v>2000</v>
      </c>
      <c r="Y841" s="16">
        <v>7000</v>
      </c>
      <c r="Z841" s="16">
        <v>14000</v>
      </c>
      <c r="AA841" s="12" t="str">
        <f t="shared" si="145"/>
        <v>1/60</v>
      </c>
      <c r="AB841" s="12" t="str">
        <f t="shared" si="146"/>
        <v>100,100,100,100,100,0</v>
      </c>
      <c r="AC841" s="12">
        <f t="shared" si="147"/>
        <v>3</v>
      </c>
      <c r="AD841" s="12" t="str">
        <f t="shared" si="148"/>
        <v>2000/7000/14000</v>
      </c>
      <c r="AE841" s="12" t="str">
        <f t="shared" si="149"/>
        <v/>
      </c>
      <c r="AF841" s="12" t="str">
        <f t="shared" si="150"/>
        <v/>
      </c>
      <c r="AG841" s="12" t="str">
        <f t="shared" si="151"/>
        <v/>
      </c>
      <c r="AH841" s="12" t="str">
        <f t="shared" si="152"/>
        <v/>
      </c>
      <c r="AI841" s="12" t="str">
        <f t="shared" si="153"/>
        <v>10/5</v>
      </c>
    </row>
    <row r="842" spans="1:35" s="8" customFormat="1" ht="21.95" customHeight="1">
      <c r="A842" s="9">
        <v>840</v>
      </c>
      <c r="B842" s="17">
        <v>840</v>
      </c>
      <c r="C842" s="6">
        <v>0</v>
      </c>
      <c r="D842" s="6">
        <v>60</v>
      </c>
      <c r="E842" s="5">
        <v>0</v>
      </c>
      <c r="F842" s="5">
        <v>100</v>
      </c>
      <c r="G842" s="5">
        <v>100</v>
      </c>
      <c r="H842" s="5">
        <v>100</v>
      </c>
      <c r="I842" s="5">
        <v>100</v>
      </c>
      <c r="J842" s="5">
        <v>100</v>
      </c>
      <c r="K842" s="15" t="s">
        <v>54</v>
      </c>
      <c r="L842" s="6">
        <v>3</v>
      </c>
      <c r="M842" s="6">
        <v>0</v>
      </c>
      <c r="N842" s="6">
        <v>0</v>
      </c>
      <c r="O842" s="5">
        <v>0</v>
      </c>
      <c r="P842" s="5">
        <v>0</v>
      </c>
      <c r="Q842" s="5">
        <v>0</v>
      </c>
      <c r="R842" s="5">
        <v>0</v>
      </c>
      <c r="S842" s="5">
        <v>0</v>
      </c>
      <c r="T842" s="5">
        <v>0</v>
      </c>
      <c r="U842" s="6">
        <v>0</v>
      </c>
      <c r="V842" s="5">
        <v>10</v>
      </c>
      <c r="W842" s="5">
        <v>5</v>
      </c>
      <c r="X842" s="16">
        <v>2000</v>
      </c>
      <c r="Y842" s="16">
        <v>7000</v>
      </c>
      <c r="Z842" s="16">
        <v>14000</v>
      </c>
      <c r="AA842" s="12" t="str">
        <f t="shared" si="145"/>
        <v>1/60</v>
      </c>
      <c r="AB842" s="12" t="str">
        <f t="shared" si="146"/>
        <v>0,100,100,100,100,100</v>
      </c>
      <c r="AC842" s="12">
        <f t="shared" si="147"/>
        <v>3</v>
      </c>
      <c r="AD842" s="12" t="str">
        <f t="shared" si="148"/>
        <v>2000/7000/14000</v>
      </c>
      <c r="AE842" s="12" t="str">
        <f t="shared" si="149"/>
        <v/>
      </c>
      <c r="AF842" s="12" t="str">
        <f t="shared" si="150"/>
        <v/>
      </c>
      <c r="AG842" s="12" t="str">
        <f t="shared" si="151"/>
        <v/>
      </c>
      <c r="AH842" s="12" t="str">
        <f t="shared" si="152"/>
        <v/>
      </c>
      <c r="AI842" s="12" t="str">
        <f t="shared" si="153"/>
        <v>10/5</v>
      </c>
    </row>
    <row r="843" spans="1:35" s="8" customFormat="1" ht="21.95" customHeight="1">
      <c r="A843" s="9">
        <v>841</v>
      </c>
      <c r="B843" s="17">
        <v>841</v>
      </c>
      <c r="C843" s="6">
        <v>30</v>
      </c>
      <c r="D843" s="6">
        <v>0</v>
      </c>
      <c r="E843" s="5">
        <v>100</v>
      </c>
      <c r="F843" s="5">
        <v>0</v>
      </c>
      <c r="G843" s="5">
        <v>100</v>
      </c>
      <c r="H843" s="5">
        <v>100</v>
      </c>
      <c r="I843" s="5">
        <v>100</v>
      </c>
      <c r="J843" s="5">
        <v>100</v>
      </c>
      <c r="K843" s="15" t="s">
        <v>55</v>
      </c>
      <c r="L843" s="6">
        <v>3</v>
      </c>
      <c r="M843" s="6">
        <v>0</v>
      </c>
      <c r="N843" s="6">
        <v>0</v>
      </c>
      <c r="O843" s="5">
        <v>0</v>
      </c>
      <c r="P843" s="5">
        <v>0</v>
      </c>
      <c r="Q843" s="5">
        <v>0</v>
      </c>
      <c r="R843" s="5">
        <v>0</v>
      </c>
      <c r="S843" s="5">
        <v>0</v>
      </c>
      <c r="T843" s="5">
        <v>0</v>
      </c>
      <c r="U843" s="6">
        <v>5</v>
      </c>
      <c r="V843" s="5">
        <v>10</v>
      </c>
      <c r="W843" s="5">
        <v>5</v>
      </c>
      <c r="X843" s="16">
        <v>2000</v>
      </c>
      <c r="Y843" s="16">
        <v>7000</v>
      </c>
      <c r="Z843" s="16">
        <v>14000</v>
      </c>
      <c r="AA843" s="12" t="str">
        <f t="shared" si="145"/>
        <v>0/30</v>
      </c>
      <c r="AB843" s="12" t="str">
        <f t="shared" si="146"/>
        <v>100,0,100,100,100,100</v>
      </c>
      <c r="AC843" s="12">
        <f t="shared" si="147"/>
        <v>4</v>
      </c>
      <c r="AD843" s="12" t="str">
        <f t="shared" si="148"/>
        <v>2000/7000/14000</v>
      </c>
      <c r="AE843" s="12" t="str">
        <f t="shared" si="149"/>
        <v/>
      </c>
      <c r="AF843" s="12" t="str">
        <f t="shared" si="150"/>
        <v/>
      </c>
      <c r="AG843" s="12" t="str">
        <f t="shared" si="151"/>
        <v/>
      </c>
      <c r="AH843" s="12" t="str">
        <f t="shared" si="152"/>
        <v/>
      </c>
      <c r="AI843" s="12" t="str">
        <f t="shared" si="153"/>
        <v>10/5</v>
      </c>
    </row>
    <row r="844" spans="1:35" s="8" customFormat="1" ht="21.95" customHeight="1">
      <c r="A844" s="9">
        <v>842</v>
      </c>
      <c r="B844" s="17">
        <v>842</v>
      </c>
      <c r="C844" s="6">
        <v>30</v>
      </c>
      <c r="D844" s="6">
        <v>0</v>
      </c>
      <c r="E844" s="5">
        <v>100</v>
      </c>
      <c r="F844" s="5">
        <v>100</v>
      </c>
      <c r="G844" s="5">
        <v>0</v>
      </c>
      <c r="H844" s="5">
        <v>100</v>
      </c>
      <c r="I844" s="5">
        <v>100</v>
      </c>
      <c r="J844" s="5">
        <v>100</v>
      </c>
      <c r="K844" s="15" t="s">
        <v>55</v>
      </c>
      <c r="L844" s="6">
        <v>3</v>
      </c>
      <c r="M844" s="6">
        <v>0</v>
      </c>
      <c r="N844" s="6">
        <v>0</v>
      </c>
      <c r="O844" s="5">
        <v>0</v>
      </c>
      <c r="P844" s="5">
        <v>0</v>
      </c>
      <c r="Q844" s="5">
        <v>0</v>
      </c>
      <c r="R844" s="5">
        <v>0</v>
      </c>
      <c r="S844" s="5">
        <v>0</v>
      </c>
      <c r="T844" s="5">
        <v>0</v>
      </c>
      <c r="U844" s="6">
        <v>5</v>
      </c>
      <c r="V844" s="5">
        <v>10</v>
      </c>
      <c r="W844" s="5">
        <v>5</v>
      </c>
      <c r="X844" s="16">
        <v>2000</v>
      </c>
      <c r="Y844" s="16">
        <v>7000</v>
      </c>
      <c r="Z844" s="16">
        <v>14000</v>
      </c>
      <c r="AA844" s="12" t="str">
        <f t="shared" si="145"/>
        <v>0/30</v>
      </c>
      <c r="AB844" s="12" t="str">
        <f t="shared" si="146"/>
        <v>100,100,0,100,100,100</v>
      </c>
      <c r="AC844" s="12">
        <f t="shared" si="147"/>
        <v>4</v>
      </c>
      <c r="AD844" s="12" t="str">
        <f t="shared" si="148"/>
        <v>2000/7000/14000</v>
      </c>
      <c r="AE844" s="12" t="str">
        <f t="shared" si="149"/>
        <v/>
      </c>
      <c r="AF844" s="12" t="str">
        <f t="shared" si="150"/>
        <v/>
      </c>
      <c r="AG844" s="12" t="str">
        <f t="shared" si="151"/>
        <v/>
      </c>
      <c r="AH844" s="12" t="str">
        <f t="shared" si="152"/>
        <v/>
      </c>
      <c r="AI844" s="12" t="str">
        <f t="shared" si="153"/>
        <v>10/5</v>
      </c>
    </row>
    <row r="845" spans="1:35" s="8" customFormat="1" ht="21.95" customHeight="1">
      <c r="A845" s="9">
        <v>843</v>
      </c>
      <c r="B845" s="17">
        <v>843</v>
      </c>
      <c r="C845" s="6">
        <v>32</v>
      </c>
      <c r="D845" s="6">
        <v>0</v>
      </c>
      <c r="E845" s="5">
        <v>100</v>
      </c>
      <c r="F845" s="5">
        <v>100</v>
      </c>
      <c r="G845" s="5">
        <v>100</v>
      </c>
      <c r="H845" s="5">
        <v>0</v>
      </c>
      <c r="I845" s="5">
        <v>100</v>
      </c>
      <c r="J845" s="5">
        <v>100</v>
      </c>
      <c r="K845" s="15" t="s">
        <v>51</v>
      </c>
      <c r="L845" s="6">
        <v>3</v>
      </c>
      <c r="M845" s="6">
        <v>0</v>
      </c>
      <c r="N845" s="6">
        <v>0</v>
      </c>
      <c r="O845" s="5">
        <v>0</v>
      </c>
      <c r="P845" s="5">
        <v>0</v>
      </c>
      <c r="Q845" s="5">
        <v>0</v>
      </c>
      <c r="R845" s="5">
        <v>0</v>
      </c>
      <c r="S845" s="5">
        <v>0</v>
      </c>
      <c r="T845" s="5">
        <v>0</v>
      </c>
      <c r="U845" s="6">
        <v>0</v>
      </c>
      <c r="V845" s="5">
        <v>10</v>
      </c>
      <c r="W845" s="5">
        <v>5</v>
      </c>
      <c r="X845" s="16">
        <v>2000</v>
      </c>
      <c r="Y845" s="16">
        <v>7000</v>
      </c>
      <c r="Z845" s="16">
        <v>14000</v>
      </c>
      <c r="AA845" s="12" t="str">
        <f t="shared" si="145"/>
        <v>0/32</v>
      </c>
      <c r="AB845" s="12" t="str">
        <f t="shared" si="146"/>
        <v>100,100,100,0,100,100</v>
      </c>
      <c r="AC845" s="12">
        <f t="shared" si="147"/>
        <v>0</v>
      </c>
      <c r="AD845" s="12" t="str">
        <f t="shared" si="148"/>
        <v>2000/7000/14000</v>
      </c>
      <c r="AE845" s="12" t="str">
        <f t="shared" si="149"/>
        <v/>
      </c>
      <c r="AF845" s="12" t="str">
        <f t="shared" si="150"/>
        <v/>
      </c>
      <c r="AG845" s="12" t="str">
        <f t="shared" si="151"/>
        <v/>
      </c>
      <c r="AH845" s="12" t="str">
        <f t="shared" si="152"/>
        <v/>
      </c>
      <c r="AI845" s="12" t="str">
        <f t="shared" si="153"/>
        <v>10/5</v>
      </c>
    </row>
    <row r="846" spans="1:35" s="8" customFormat="1" ht="21.95" customHeight="1">
      <c r="A846" s="9">
        <v>844</v>
      </c>
      <c r="B846" s="17">
        <v>844</v>
      </c>
      <c r="C846" s="6">
        <v>30</v>
      </c>
      <c r="D846" s="6">
        <v>0</v>
      </c>
      <c r="E846" s="5">
        <v>100</v>
      </c>
      <c r="F846" s="5">
        <v>100</v>
      </c>
      <c r="G846" s="5">
        <v>100</v>
      </c>
      <c r="H846" s="5">
        <v>100</v>
      </c>
      <c r="I846" s="5">
        <v>0</v>
      </c>
      <c r="J846" s="5">
        <v>100</v>
      </c>
      <c r="K846" s="15" t="s">
        <v>53</v>
      </c>
      <c r="L846" s="6">
        <v>3</v>
      </c>
      <c r="M846" s="6">
        <v>0</v>
      </c>
      <c r="N846" s="6">
        <v>0</v>
      </c>
      <c r="O846" s="5">
        <v>16</v>
      </c>
      <c r="P846" s="5">
        <v>0</v>
      </c>
      <c r="Q846" s="5">
        <v>0</v>
      </c>
      <c r="R846" s="5">
        <v>0</v>
      </c>
      <c r="S846" s="5">
        <v>0</v>
      </c>
      <c r="T846" s="5">
        <v>18</v>
      </c>
      <c r="U846" s="6">
        <v>0</v>
      </c>
      <c r="V846" s="5">
        <v>10</v>
      </c>
      <c r="W846" s="5">
        <v>5</v>
      </c>
      <c r="X846" s="16">
        <v>2000</v>
      </c>
      <c r="Y846" s="16">
        <v>7000</v>
      </c>
      <c r="Z846" s="16">
        <v>14000</v>
      </c>
      <c r="AA846" s="12" t="str">
        <f t="shared" si="145"/>
        <v>0/30</v>
      </c>
      <c r="AB846" s="12" t="str">
        <f t="shared" si="146"/>
        <v>100,100,100,100,0,100</v>
      </c>
      <c r="AC846" s="12">
        <f t="shared" si="147"/>
        <v>2</v>
      </c>
      <c r="AD846" s="12" t="str">
        <f t="shared" si="148"/>
        <v>2000/7000/14000</v>
      </c>
      <c r="AE846" s="12" t="str">
        <f t="shared" si="149"/>
        <v/>
      </c>
      <c r="AF846" s="12" t="str">
        <f t="shared" si="150"/>
        <v/>
      </c>
      <c r="AG846" s="12" t="str">
        <f t="shared" si="151"/>
        <v>0/5/</v>
      </c>
      <c r="AH846" s="12" t="str">
        <f t="shared" si="152"/>
        <v>16/18/</v>
      </c>
      <c r="AI846" s="12" t="str">
        <f t="shared" si="153"/>
        <v>10/5</v>
      </c>
    </row>
    <row r="847" spans="1:35" s="8" customFormat="1" ht="21.95" customHeight="1">
      <c r="A847" s="9">
        <v>845</v>
      </c>
      <c r="B847" s="17">
        <v>845</v>
      </c>
      <c r="C847" s="6">
        <v>30</v>
      </c>
      <c r="D847" s="6">
        <v>0</v>
      </c>
      <c r="E847" s="5">
        <v>100</v>
      </c>
      <c r="F847" s="5">
        <v>100</v>
      </c>
      <c r="G847" s="5">
        <v>100</v>
      </c>
      <c r="H847" s="5">
        <v>100</v>
      </c>
      <c r="I847" s="5">
        <v>100</v>
      </c>
      <c r="J847" s="5">
        <v>0</v>
      </c>
      <c r="K847" s="15" t="s">
        <v>52</v>
      </c>
      <c r="L847" s="6">
        <v>3</v>
      </c>
      <c r="M847" s="6">
        <v>6</v>
      </c>
      <c r="N847" s="6">
        <v>0</v>
      </c>
      <c r="O847" s="5">
        <v>0</v>
      </c>
      <c r="P847" s="5">
        <v>0</v>
      </c>
      <c r="Q847" s="5">
        <v>0</v>
      </c>
      <c r="R847" s="5">
        <v>0</v>
      </c>
      <c r="S847" s="5">
        <v>0</v>
      </c>
      <c r="T847" s="5">
        <v>0</v>
      </c>
      <c r="U847" s="6">
        <v>0</v>
      </c>
      <c r="V847" s="5">
        <v>10</v>
      </c>
      <c r="W847" s="5">
        <v>5</v>
      </c>
      <c r="X847" s="16">
        <v>2000</v>
      </c>
      <c r="Y847" s="16">
        <v>7000</v>
      </c>
      <c r="Z847" s="16">
        <v>14000</v>
      </c>
      <c r="AA847" s="12" t="str">
        <f t="shared" si="145"/>
        <v>0/30</v>
      </c>
      <c r="AB847" s="12" t="str">
        <f t="shared" si="146"/>
        <v>100,100,100,100,100,0</v>
      </c>
      <c r="AC847" s="12">
        <f t="shared" si="147"/>
        <v>1</v>
      </c>
      <c r="AD847" s="12" t="str">
        <f t="shared" si="148"/>
        <v>2000/7000/14000</v>
      </c>
      <c r="AE847" s="12" t="str">
        <f t="shared" si="149"/>
        <v>0/</v>
      </c>
      <c r="AF847" s="12" t="str">
        <f t="shared" si="150"/>
        <v>6/</v>
      </c>
      <c r="AG847" s="12" t="str">
        <f t="shared" si="151"/>
        <v/>
      </c>
      <c r="AH847" s="12" t="str">
        <f t="shared" si="152"/>
        <v/>
      </c>
      <c r="AI847" s="12" t="str">
        <f t="shared" si="153"/>
        <v>10/5</v>
      </c>
    </row>
    <row r="848" spans="1:35" s="8" customFormat="1" ht="21.95" customHeight="1">
      <c r="A848" s="9">
        <v>846</v>
      </c>
      <c r="B848" s="17">
        <v>846</v>
      </c>
      <c r="C848" s="6">
        <v>30</v>
      </c>
      <c r="D848" s="6">
        <v>0</v>
      </c>
      <c r="E848" s="5">
        <v>0</v>
      </c>
      <c r="F848" s="5">
        <v>100</v>
      </c>
      <c r="G848" s="5">
        <v>100</v>
      </c>
      <c r="H848" s="5">
        <v>100</v>
      </c>
      <c r="I848" s="5">
        <v>100</v>
      </c>
      <c r="J848" s="5">
        <v>100</v>
      </c>
      <c r="K848" s="15" t="s">
        <v>52</v>
      </c>
      <c r="L848" s="6">
        <v>3</v>
      </c>
      <c r="M848" s="6">
        <v>0</v>
      </c>
      <c r="N848" s="6">
        <v>6</v>
      </c>
      <c r="O848" s="5">
        <v>0</v>
      </c>
      <c r="P848" s="5">
        <v>0</v>
      </c>
      <c r="Q848" s="5">
        <v>0</v>
      </c>
      <c r="R848" s="5">
        <v>0</v>
      </c>
      <c r="S848" s="5">
        <v>0</v>
      </c>
      <c r="T848" s="5">
        <v>0</v>
      </c>
      <c r="U848" s="6">
        <v>0</v>
      </c>
      <c r="V848" s="5">
        <v>10</v>
      </c>
      <c r="W848" s="5">
        <v>5</v>
      </c>
      <c r="X848" s="16">
        <v>2000</v>
      </c>
      <c r="Y848" s="16">
        <v>7000</v>
      </c>
      <c r="Z848" s="16">
        <v>14000</v>
      </c>
      <c r="AA848" s="12" t="str">
        <f t="shared" si="145"/>
        <v>0/30</v>
      </c>
      <c r="AB848" s="12" t="str">
        <f t="shared" si="146"/>
        <v>0,100,100,100,100,100</v>
      </c>
      <c r="AC848" s="12">
        <f t="shared" si="147"/>
        <v>1</v>
      </c>
      <c r="AD848" s="12" t="str">
        <f t="shared" si="148"/>
        <v>2000/7000/14000</v>
      </c>
      <c r="AE848" s="12" t="str">
        <f t="shared" si="149"/>
        <v>1/</v>
      </c>
      <c r="AF848" s="12" t="str">
        <f t="shared" si="150"/>
        <v>6/</v>
      </c>
      <c r="AG848" s="12" t="str">
        <f t="shared" si="151"/>
        <v/>
      </c>
      <c r="AH848" s="12" t="str">
        <f t="shared" si="152"/>
        <v/>
      </c>
      <c r="AI848" s="12" t="str">
        <f t="shared" si="153"/>
        <v>10/5</v>
      </c>
    </row>
    <row r="849" spans="1:35" s="8" customFormat="1" ht="21.95" customHeight="1">
      <c r="A849" s="9">
        <v>847</v>
      </c>
      <c r="B849" s="17">
        <v>847</v>
      </c>
      <c r="C849" s="6">
        <v>0</v>
      </c>
      <c r="D849" s="6">
        <v>60</v>
      </c>
      <c r="E849" s="5">
        <v>100</v>
      </c>
      <c r="F849" s="5">
        <v>0</v>
      </c>
      <c r="G849" s="5">
        <v>100</v>
      </c>
      <c r="H849" s="5">
        <v>100</v>
      </c>
      <c r="I849" s="5">
        <v>100</v>
      </c>
      <c r="J849" s="5">
        <v>100</v>
      </c>
      <c r="K849" s="15" t="s">
        <v>54</v>
      </c>
      <c r="L849" s="6">
        <v>3</v>
      </c>
      <c r="M849" s="6">
        <v>0</v>
      </c>
      <c r="N849" s="6">
        <v>0</v>
      </c>
      <c r="O849" s="5">
        <v>0</v>
      </c>
      <c r="P849" s="5">
        <v>0</v>
      </c>
      <c r="Q849" s="5">
        <v>0</v>
      </c>
      <c r="R849" s="5">
        <v>0</v>
      </c>
      <c r="S849" s="5">
        <v>0</v>
      </c>
      <c r="T849" s="5">
        <v>0</v>
      </c>
      <c r="U849" s="6">
        <v>0</v>
      </c>
      <c r="V849" s="5">
        <v>10</v>
      </c>
      <c r="W849" s="5">
        <v>5</v>
      </c>
      <c r="X849" s="16">
        <v>2000</v>
      </c>
      <c r="Y849" s="16">
        <v>7000</v>
      </c>
      <c r="Z849" s="16">
        <v>14000</v>
      </c>
      <c r="AA849" s="12" t="str">
        <f t="shared" si="145"/>
        <v>1/60</v>
      </c>
      <c r="AB849" s="12" t="str">
        <f t="shared" si="146"/>
        <v>100,0,100,100,100,100</v>
      </c>
      <c r="AC849" s="12">
        <f t="shared" si="147"/>
        <v>3</v>
      </c>
      <c r="AD849" s="12" t="str">
        <f t="shared" si="148"/>
        <v>2000/7000/14000</v>
      </c>
      <c r="AE849" s="12" t="str">
        <f t="shared" si="149"/>
        <v/>
      </c>
      <c r="AF849" s="12" t="str">
        <f t="shared" si="150"/>
        <v/>
      </c>
      <c r="AG849" s="12" t="str">
        <f t="shared" si="151"/>
        <v/>
      </c>
      <c r="AH849" s="12" t="str">
        <f t="shared" si="152"/>
        <v/>
      </c>
      <c r="AI849" s="12" t="str">
        <f t="shared" si="153"/>
        <v>10/5</v>
      </c>
    </row>
    <row r="850" spans="1:35" s="8" customFormat="1" ht="21.95" customHeight="1">
      <c r="A850" s="9">
        <v>848</v>
      </c>
      <c r="B850" s="17">
        <v>848</v>
      </c>
      <c r="C850" s="6">
        <v>0</v>
      </c>
      <c r="D850" s="6">
        <v>60</v>
      </c>
      <c r="E850" s="5">
        <v>100</v>
      </c>
      <c r="F850" s="5">
        <v>100</v>
      </c>
      <c r="G850" s="5">
        <v>0</v>
      </c>
      <c r="H850" s="5">
        <v>100</v>
      </c>
      <c r="I850" s="5">
        <v>100</v>
      </c>
      <c r="J850" s="5">
        <v>100</v>
      </c>
      <c r="K850" s="15" t="s">
        <v>54</v>
      </c>
      <c r="L850" s="6">
        <v>3</v>
      </c>
      <c r="M850" s="6">
        <v>0</v>
      </c>
      <c r="N850" s="6">
        <v>0</v>
      </c>
      <c r="O850" s="5">
        <v>0</v>
      </c>
      <c r="P850" s="5">
        <v>0</v>
      </c>
      <c r="Q850" s="5">
        <v>0</v>
      </c>
      <c r="R850" s="5">
        <v>0</v>
      </c>
      <c r="S850" s="5">
        <v>0</v>
      </c>
      <c r="T850" s="5">
        <v>0</v>
      </c>
      <c r="U850" s="6">
        <v>0</v>
      </c>
      <c r="V850" s="5">
        <v>10</v>
      </c>
      <c r="W850" s="5">
        <v>5</v>
      </c>
      <c r="X850" s="16">
        <v>2000</v>
      </c>
      <c r="Y850" s="16">
        <v>7000</v>
      </c>
      <c r="Z850" s="16">
        <v>14000</v>
      </c>
      <c r="AA850" s="12" t="str">
        <f t="shared" si="145"/>
        <v>1/60</v>
      </c>
      <c r="AB850" s="12" t="str">
        <f t="shared" si="146"/>
        <v>100,100,0,100,100,100</v>
      </c>
      <c r="AC850" s="12">
        <f t="shared" si="147"/>
        <v>3</v>
      </c>
      <c r="AD850" s="12" t="str">
        <f t="shared" si="148"/>
        <v>2000/7000/14000</v>
      </c>
      <c r="AE850" s="12" t="str">
        <f t="shared" si="149"/>
        <v/>
      </c>
      <c r="AF850" s="12" t="str">
        <f t="shared" si="150"/>
        <v/>
      </c>
      <c r="AG850" s="12" t="str">
        <f t="shared" si="151"/>
        <v/>
      </c>
      <c r="AH850" s="12" t="str">
        <f t="shared" si="152"/>
        <v/>
      </c>
      <c r="AI850" s="12" t="str">
        <f t="shared" si="153"/>
        <v>10/5</v>
      </c>
    </row>
    <row r="851" spans="1:35" s="8" customFormat="1" ht="21.95" customHeight="1">
      <c r="A851" s="9">
        <v>849</v>
      </c>
      <c r="B851" s="17">
        <v>849</v>
      </c>
      <c r="C851" s="6">
        <v>30</v>
      </c>
      <c r="D851" s="6">
        <v>0</v>
      </c>
      <c r="E851" s="5">
        <v>100</v>
      </c>
      <c r="F851" s="5">
        <v>100</v>
      </c>
      <c r="G851" s="5">
        <v>100</v>
      </c>
      <c r="H851" s="5">
        <v>0</v>
      </c>
      <c r="I851" s="5">
        <v>100</v>
      </c>
      <c r="J851" s="5">
        <v>100</v>
      </c>
      <c r="K851" s="15" t="s">
        <v>55</v>
      </c>
      <c r="L851" s="6">
        <v>3</v>
      </c>
      <c r="M851" s="6">
        <v>0</v>
      </c>
      <c r="N851" s="6">
        <v>0</v>
      </c>
      <c r="O851" s="5">
        <v>0</v>
      </c>
      <c r="P851" s="5">
        <v>0</v>
      </c>
      <c r="Q851" s="5">
        <v>0</v>
      </c>
      <c r="R851" s="5">
        <v>0</v>
      </c>
      <c r="S851" s="5">
        <v>0</v>
      </c>
      <c r="T851" s="5">
        <v>0</v>
      </c>
      <c r="U851" s="6">
        <v>5</v>
      </c>
      <c r="V851" s="5">
        <v>10</v>
      </c>
      <c r="W851" s="5">
        <v>5</v>
      </c>
      <c r="X851" s="16">
        <v>2000</v>
      </c>
      <c r="Y851" s="16">
        <v>7000</v>
      </c>
      <c r="Z851" s="16">
        <v>14000</v>
      </c>
      <c r="AA851" s="12" t="str">
        <f t="shared" si="145"/>
        <v>0/30</v>
      </c>
      <c r="AB851" s="12" t="str">
        <f t="shared" si="146"/>
        <v>100,100,100,0,100,100</v>
      </c>
      <c r="AC851" s="12">
        <f t="shared" si="147"/>
        <v>4</v>
      </c>
      <c r="AD851" s="12" t="str">
        <f t="shared" si="148"/>
        <v>2000/7000/14000</v>
      </c>
      <c r="AE851" s="12" t="str">
        <f t="shared" si="149"/>
        <v/>
      </c>
      <c r="AF851" s="12" t="str">
        <f t="shared" si="150"/>
        <v/>
      </c>
      <c r="AG851" s="12" t="str">
        <f t="shared" si="151"/>
        <v/>
      </c>
      <c r="AH851" s="12" t="str">
        <f t="shared" si="152"/>
        <v/>
      </c>
      <c r="AI851" s="12" t="str">
        <f t="shared" si="153"/>
        <v>10/5</v>
      </c>
    </row>
    <row r="852" spans="1:35" s="8" customFormat="1" ht="21.95" customHeight="1">
      <c r="A852" s="9">
        <v>850</v>
      </c>
      <c r="B852" s="17">
        <v>850</v>
      </c>
      <c r="C852" s="6">
        <v>30</v>
      </c>
      <c r="D852" s="6">
        <v>0</v>
      </c>
      <c r="E852" s="5">
        <v>100</v>
      </c>
      <c r="F852" s="5">
        <v>100</v>
      </c>
      <c r="G852" s="5">
        <v>100</v>
      </c>
      <c r="H852" s="5">
        <v>100</v>
      </c>
      <c r="I852" s="5">
        <v>0</v>
      </c>
      <c r="J852" s="5">
        <v>100</v>
      </c>
      <c r="K852" s="15" t="s">
        <v>55</v>
      </c>
      <c r="L852" s="6">
        <v>3</v>
      </c>
      <c r="M852" s="6">
        <v>0</v>
      </c>
      <c r="N852" s="6">
        <v>0</v>
      </c>
      <c r="O852" s="5">
        <v>0</v>
      </c>
      <c r="P852" s="5">
        <v>0</v>
      </c>
      <c r="Q852" s="5">
        <v>0</v>
      </c>
      <c r="R852" s="5">
        <v>0</v>
      </c>
      <c r="S852" s="5">
        <v>0</v>
      </c>
      <c r="T852" s="5">
        <v>0</v>
      </c>
      <c r="U852" s="6">
        <v>5</v>
      </c>
      <c r="V852" s="5">
        <v>10</v>
      </c>
      <c r="W852" s="5">
        <v>5</v>
      </c>
      <c r="X852" s="16">
        <v>2000</v>
      </c>
      <c r="Y852" s="16">
        <v>7000</v>
      </c>
      <c r="Z852" s="16">
        <v>14000</v>
      </c>
      <c r="AA852" s="12" t="str">
        <f t="shared" si="145"/>
        <v>0/30</v>
      </c>
      <c r="AB852" s="12" t="str">
        <f t="shared" si="146"/>
        <v>100,100,100,100,0,100</v>
      </c>
      <c r="AC852" s="12">
        <f t="shared" si="147"/>
        <v>4</v>
      </c>
      <c r="AD852" s="12" t="str">
        <f t="shared" si="148"/>
        <v>2000/7000/14000</v>
      </c>
      <c r="AE852" s="12" t="str">
        <f t="shared" si="149"/>
        <v/>
      </c>
      <c r="AF852" s="12" t="str">
        <f t="shared" si="150"/>
        <v/>
      </c>
      <c r="AG852" s="12" t="str">
        <f t="shared" si="151"/>
        <v/>
      </c>
      <c r="AH852" s="12" t="str">
        <f t="shared" si="152"/>
        <v/>
      </c>
      <c r="AI852" s="12" t="str">
        <f t="shared" si="153"/>
        <v>10/5</v>
      </c>
    </row>
    <row r="853" spans="1:35" s="8" customFormat="1" ht="21.95" customHeight="1">
      <c r="A853" s="9">
        <v>851</v>
      </c>
      <c r="B853" s="17">
        <v>851</v>
      </c>
      <c r="C853" s="6">
        <v>30</v>
      </c>
      <c r="D853" s="6">
        <v>0</v>
      </c>
      <c r="E853" s="5">
        <v>100</v>
      </c>
      <c r="F853" s="5">
        <v>100</v>
      </c>
      <c r="G853" s="5">
        <v>100</v>
      </c>
      <c r="H853" s="5">
        <v>100</v>
      </c>
      <c r="I853" s="5">
        <v>100</v>
      </c>
      <c r="J853" s="5">
        <v>0</v>
      </c>
      <c r="K853" s="15" t="s">
        <v>56</v>
      </c>
      <c r="L853" s="6">
        <v>3</v>
      </c>
      <c r="M853" s="6">
        <v>0</v>
      </c>
      <c r="N853" s="6">
        <v>0</v>
      </c>
      <c r="O853" s="5">
        <v>0</v>
      </c>
      <c r="P853" s="5">
        <v>0</v>
      </c>
      <c r="Q853" s="5">
        <v>0</v>
      </c>
      <c r="R853" s="5">
        <v>0</v>
      </c>
      <c r="S853" s="5">
        <v>0</v>
      </c>
      <c r="T853" s="5">
        <v>0</v>
      </c>
      <c r="U853" s="6">
        <v>0</v>
      </c>
      <c r="V853" s="5">
        <v>10</v>
      </c>
      <c r="W853" s="5">
        <v>5</v>
      </c>
      <c r="X853" s="16">
        <v>2000</v>
      </c>
      <c r="Y853" s="16">
        <v>7000</v>
      </c>
      <c r="Z853" s="16">
        <v>14000</v>
      </c>
      <c r="AA853" s="12" t="str">
        <f t="shared" si="145"/>
        <v>0/30</v>
      </c>
      <c r="AB853" s="12" t="str">
        <f t="shared" si="146"/>
        <v>100,100,100,100,100,0</v>
      </c>
      <c r="AC853" s="12">
        <f t="shared" si="147"/>
        <v>5</v>
      </c>
      <c r="AD853" s="12" t="str">
        <f t="shared" si="148"/>
        <v>2000/7000/14000</v>
      </c>
      <c r="AE853" s="12" t="str">
        <f t="shared" si="149"/>
        <v/>
      </c>
      <c r="AF853" s="12" t="str">
        <f t="shared" si="150"/>
        <v/>
      </c>
      <c r="AG853" s="12" t="str">
        <f t="shared" si="151"/>
        <v/>
      </c>
      <c r="AH853" s="12" t="str">
        <f t="shared" si="152"/>
        <v/>
      </c>
      <c r="AI853" s="12" t="str">
        <f t="shared" si="153"/>
        <v>10/5</v>
      </c>
    </row>
    <row r="854" spans="1:35" s="8" customFormat="1" ht="21.95" customHeight="1">
      <c r="A854" s="9">
        <v>852</v>
      </c>
      <c r="B854" s="17">
        <v>852</v>
      </c>
      <c r="C854" s="6">
        <v>0</v>
      </c>
      <c r="D854" s="6">
        <v>60</v>
      </c>
      <c r="E854" s="5">
        <v>0</v>
      </c>
      <c r="F854" s="5">
        <v>100</v>
      </c>
      <c r="G854" s="5">
        <v>100</v>
      </c>
      <c r="H854" s="5">
        <v>100</v>
      </c>
      <c r="I854" s="5">
        <v>100</v>
      </c>
      <c r="J854" s="5">
        <v>100</v>
      </c>
      <c r="K854" s="15" t="s">
        <v>56</v>
      </c>
      <c r="L854" s="6">
        <v>3</v>
      </c>
      <c r="M854" s="6">
        <v>0</v>
      </c>
      <c r="N854" s="6">
        <v>0</v>
      </c>
      <c r="O854" s="5">
        <v>0</v>
      </c>
      <c r="P854" s="5">
        <v>0</v>
      </c>
      <c r="Q854" s="5">
        <v>0</v>
      </c>
      <c r="R854" s="5">
        <v>0</v>
      </c>
      <c r="S854" s="5">
        <v>0</v>
      </c>
      <c r="T854" s="5">
        <v>0</v>
      </c>
      <c r="U854" s="6">
        <v>0</v>
      </c>
      <c r="V854" s="5">
        <v>10</v>
      </c>
      <c r="W854" s="5">
        <v>5</v>
      </c>
      <c r="X854" s="16">
        <v>2000</v>
      </c>
      <c r="Y854" s="16">
        <v>7000</v>
      </c>
      <c r="Z854" s="16">
        <v>14000</v>
      </c>
      <c r="AA854" s="12" t="str">
        <f t="shared" si="145"/>
        <v>1/60</v>
      </c>
      <c r="AB854" s="12" t="str">
        <f t="shared" si="146"/>
        <v>0,100,100,100,100,100</v>
      </c>
      <c r="AC854" s="12">
        <f t="shared" si="147"/>
        <v>5</v>
      </c>
      <c r="AD854" s="12" t="str">
        <f t="shared" si="148"/>
        <v>2000/7000/14000</v>
      </c>
      <c r="AE854" s="12" t="str">
        <f t="shared" si="149"/>
        <v/>
      </c>
      <c r="AF854" s="12" t="str">
        <f t="shared" si="150"/>
        <v/>
      </c>
      <c r="AG854" s="12" t="str">
        <f t="shared" si="151"/>
        <v/>
      </c>
      <c r="AH854" s="12" t="str">
        <f t="shared" si="152"/>
        <v/>
      </c>
      <c r="AI854" s="12" t="str">
        <f t="shared" si="153"/>
        <v>10/5</v>
      </c>
    </row>
    <row r="855" spans="1:35" s="8" customFormat="1" ht="21.95" customHeight="1">
      <c r="A855" s="9">
        <v>853</v>
      </c>
      <c r="B855" s="17">
        <v>853</v>
      </c>
      <c r="C855" s="6">
        <v>0</v>
      </c>
      <c r="D855" s="6">
        <v>60</v>
      </c>
      <c r="E855" s="5">
        <v>0</v>
      </c>
      <c r="F855" s="5">
        <v>100</v>
      </c>
      <c r="G855" s="5">
        <v>100</v>
      </c>
      <c r="H855" s="5">
        <v>100</v>
      </c>
      <c r="I855" s="5">
        <v>100</v>
      </c>
      <c r="J855" s="5">
        <v>100</v>
      </c>
      <c r="K855" s="15" t="s">
        <v>56</v>
      </c>
      <c r="L855" s="6">
        <v>3</v>
      </c>
      <c r="M855" s="6">
        <v>0</v>
      </c>
      <c r="N855" s="6">
        <v>0</v>
      </c>
      <c r="O855" s="5">
        <v>0</v>
      </c>
      <c r="P855" s="5">
        <v>0</v>
      </c>
      <c r="Q855" s="5">
        <v>0</v>
      </c>
      <c r="R855" s="5">
        <v>0</v>
      </c>
      <c r="S855" s="5">
        <v>0</v>
      </c>
      <c r="T855" s="5">
        <v>0</v>
      </c>
      <c r="U855" s="6">
        <v>0</v>
      </c>
      <c r="V855" s="5">
        <v>10</v>
      </c>
      <c r="W855" s="5">
        <v>5</v>
      </c>
      <c r="X855" s="16">
        <v>2000</v>
      </c>
      <c r="Y855" s="16">
        <v>7000</v>
      </c>
      <c r="Z855" s="16">
        <v>14000</v>
      </c>
      <c r="AA855" s="12" t="str">
        <f t="shared" si="145"/>
        <v>1/60</v>
      </c>
      <c r="AB855" s="12" t="str">
        <f t="shared" si="146"/>
        <v>0,100,100,100,100,100</v>
      </c>
      <c r="AC855" s="12">
        <f t="shared" si="147"/>
        <v>5</v>
      </c>
      <c r="AD855" s="12" t="str">
        <f t="shared" si="148"/>
        <v>2000/7000/14000</v>
      </c>
      <c r="AE855" s="12" t="str">
        <f t="shared" si="149"/>
        <v/>
      </c>
      <c r="AF855" s="12" t="str">
        <f t="shared" si="150"/>
        <v/>
      </c>
      <c r="AG855" s="12" t="str">
        <f t="shared" si="151"/>
        <v/>
      </c>
      <c r="AH855" s="12" t="str">
        <f t="shared" si="152"/>
        <v/>
      </c>
      <c r="AI855" s="12" t="str">
        <f t="shared" si="153"/>
        <v>10/5</v>
      </c>
    </row>
    <row r="856" spans="1:35" s="8" customFormat="1" ht="21.95" customHeight="1">
      <c r="A856" s="9">
        <v>854</v>
      </c>
      <c r="B856" s="17">
        <v>854</v>
      </c>
      <c r="C856" s="6">
        <v>30</v>
      </c>
      <c r="D856" s="6">
        <v>0</v>
      </c>
      <c r="E856" s="5">
        <v>100</v>
      </c>
      <c r="F856" s="5">
        <v>0</v>
      </c>
      <c r="G856" s="5">
        <v>100</v>
      </c>
      <c r="H856" s="5">
        <v>100</v>
      </c>
      <c r="I856" s="5">
        <v>100</v>
      </c>
      <c r="J856" s="5">
        <v>100</v>
      </c>
      <c r="K856" s="15" t="s">
        <v>53</v>
      </c>
      <c r="L856" s="6">
        <v>3</v>
      </c>
      <c r="M856" s="6">
        <v>0</v>
      </c>
      <c r="N856" s="6">
        <v>0</v>
      </c>
      <c r="O856" s="5">
        <v>0</v>
      </c>
      <c r="P856" s="5">
        <v>0</v>
      </c>
      <c r="Q856" s="5">
        <v>20</v>
      </c>
      <c r="R856" s="5">
        <v>24</v>
      </c>
      <c r="S856" s="5">
        <v>0</v>
      </c>
      <c r="T856" s="5">
        <v>0</v>
      </c>
      <c r="U856" s="6">
        <v>0</v>
      </c>
      <c r="V856" s="5">
        <v>10</v>
      </c>
      <c r="W856" s="5">
        <v>5</v>
      </c>
      <c r="X856" s="16">
        <v>2000</v>
      </c>
      <c r="Y856" s="16">
        <v>7000</v>
      </c>
      <c r="Z856" s="16">
        <v>14000</v>
      </c>
      <c r="AA856" s="12" t="str">
        <f t="shared" si="145"/>
        <v>0/30</v>
      </c>
      <c r="AB856" s="12" t="str">
        <f t="shared" si="146"/>
        <v>100,0,100,100,100,100</v>
      </c>
      <c r="AC856" s="12">
        <f t="shared" si="147"/>
        <v>2</v>
      </c>
      <c r="AD856" s="12" t="str">
        <f t="shared" si="148"/>
        <v>2000/7000/14000</v>
      </c>
      <c r="AE856" s="12" t="str">
        <f t="shared" si="149"/>
        <v/>
      </c>
      <c r="AF856" s="12" t="str">
        <f t="shared" si="150"/>
        <v/>
      </c>
      <c r="AG856" s="12" t="str">
        <f t="shared" si="151"/>
        <v>2/3/</v>
      </c>
      <c r="AH856" s="12" t="str">
        <f t="shared" si="152"/>
        <v>20/24/</v>
      </c>
      <c r="AI856" s="12" t="str">
        <f t="shared" si="153"/>
        <v>10/5</v>
      </c>
    </row>
    <row r="857" spans="1:35" s="8" customFormat="1" ht="21.95" customHeight="1">
      <c r="A857" s="9">
        <v>855</v>
      </c>
      <c r="B857" s="17">
        <v>855</v>
      </c>
      <c r="C857" s="6">
        <v>30</v>
      </c>
      <c r="D857" s="6">
        <v>0</v>
      </c>
      <c r="E857" s="5">
        <v>100</v>
      </c>
      <c r="F857" s="5">
        <v>100</v>
      </c>
      <c r="G857" s="5">
        <v>0</v>
      </c>
      <c r="H857" s="5">
        <v>100</v>
      </c>
      <c r="I857" s="5">
        <v>100</v>
      </c>
      <c r="J857" s="5">
        <v>100</v>
      </c>
      <c r="K857" s="15" t="s">
        <v>53</v>
      </c>
      <c r="L857" s="6">
        <v>3</v>
      </c>
      <c r="M857" s="6">
        <v>0</v>
      </c>
      <c r="N857" s="6">
        <v>0</v>
      </c>
      <c r="O857" s="5">
        <v>0</v>
      </c>
      <c r="P857" s="5">
        <v>0</v>
      </c>
      <c r="Q857" s="5">
        <v>0</v>
      </c>
      <c r="R857" s="5">
        <v>18</v>
      </c>
      <c r="S857" s="5">
        <v>32</v>
      </c>
      <c r="T857" s="5">
        <v>0</v>
      </c>
      <c r="U857" s="6">
        <v>0</v>
      </c>
      <c r="V857" s="5">
        <v>10</v>
      </c>
      <c r="W857" s="5">
        <v>5</v>
      </c>
      <c r="X857" s="16">
        <v>2000</v>
      </c>
      <c r="Y857" s="16">
        <v>7000</v>
      </c>
      <c r="Z857" s="16">
        <v>14000</v>
      </c>
      <c r="AA857" s="12" t="str">
        <f t="shared" si="145"/>
        <v>0/30</v>
      </c>
      <c r="AB857" s="12" t="str">
        <f t="shared" si="146"/>
        <v>100,100,0,100,100,100</v>
      </c>
      <c r="AC857" s="12">
        <f t="shared" si="147"/>
        <v>2</v>
      </c>
      <c r="AD857" s="12" t="str">
        <f t="shared" si="148"/>
        <v>2000/7000/14000</v>
      </c>
      <c r="AE857" s="12" t="str">
        <f t="shared" si="149"/>
        <v/>
      </c>
      <c r="AF857" s="12" t="str">
        <f t="shared" si="150"/>
        <v/>
      </c>
      <c r="AG857" s="12" t="str">
        <f t="shared" si="151"/>
        <v>3/4/</v>
      </c>
      <c r="AH857" s="12" t="str">
        <f t="shared" si="152"/>
        <v>18/32/</v>
      </c>
      <c r="AI857" s="12" t="str">
        <f t="shared" si="153"/>
        <v>10/5</v>
      </c>
    </row>
    <row r="858" spans="1:35" s="8" customFormat="1" ht="21.95" customHeight="1">
      <c r="A858" s="9">
        <v>856</v>
      </c>
      <c r="B858" s="17">
        <v>856</v>
      </c>
      <c r="C858" s="6">
        <v>30</v>
      </c>
      <c r="D858" s="6">
        <v>0</v>
      </c>
      <c r="E858" s="5">
        <v>100</v>
      </c>
      <c r="F858" s="5">
        <v>100</v>
      </c>
      <c r="G858" s="5">
        <v>100</v>
      </c>
      <c r="H858" s="5">
        <v>0</v>
      </c>
      <c r="I858" s="5">
        <v>100</v>
      </c>
      <c r="J858" s="5">
        <v>100</v>
      </c>
      <c r="K858" s="15" t="s">
        <v>52</v>
      </c>
      <c r="L858" s="6">
        <v>3</v>
      </c>
      <c r="M858" s="6">
        <v>6</v>
      </c>
      <c r="N858" s="6">
        <v>0</v>
      </c>
      <c r="O858" s="5">
        <v>0</v>
      </c>
      <c r="P858" s="5">
        <v>0</v>
      </c>
      <c r="Q858" s="5">
        <v>0</v>
      </c>
      <c r="R858" s="5">
        <v>0</v>
      </c>
      <c r="S858" s="5">
        <v>0</v>
      </c>
      <c r="T858" s="5">
        <v>0</v>
      </c>
      <c r="U858" s="6">
        <v>0</v>
      </c>
      <c r="V858" s="5">
        <v>10</v>
      </c>
      <c r="W858" s="5">
        <v>5</v>
      </c>
      <c r="X858" s="16">
        <v>2000</v>
      </c>
      <c r="Y858" s="16">
        <v>7000</v>
      </c>
      <c r="Z858" s="16">
        <v>14000</v>
      </c>
      <c r="AA858" s="12" t="str">
        <f t="shared" si="145"/>
        <v>0/30</v>
      </c>
      <c r="AB858" s="12" t="str">
        <f t="shared" si="146"/>
        <v>100,100,100,0,100,100</v>
      </c>
      <c r="AC858" s="12">
        <f t="shared" si="147"/>
        <v>1</v>
      </c>
      <c r="AD858" s="12" t="str">
        <f t="shared" si="148"/>
        <v>2000/7000/14000</v>
      </c>
      <c r="AE858" s="12" t="str">
        <f t="shared" si="149"/>
        <v>0/</v>
      </c>
      <c r="AF858" s="12" t="str">
        <f t="shared" si="150"/>
        <v>6/</v>
      </c>
      <c r="AG858" s="12" t="str">
        <f t="shared" si="151"/>
        <v/>
      </c>
      <c r="AH858" s="12" t="str">
        <f t="shared" si="152"/>
        <v/>
      </c>
      <c r="AI858" s="12" t="str">
        <f t="shared" si="153"/>
        <v>10/5</v>
      </c>
    </row>
    <row r="859" spans="1:35" s="8" customFormat="1" ht="21.95" customHeight="1">
      <c r="A859" s="9">
        <v>857</v>
      </c>
      <c r="B859" s="17">
        <v>857</v>
      </c>
      <c r="C859" s="6">
        <v>30</v>
      </c>
      <c r="D859" s="6">
        <v>0</v>
      </c>
      <c r="E859" s="5">
        <v>100</v>
      </c>
      <c r="F859" s="5">
        <v>100</v>
      </c>
      <c r="G859" s="5">
        <v>100</v>
      </c>
      <c r="H859" s="5">
        <v>100</v>
      </c>
      <c r="I859" s="5">
        <v>0</v>
      </c>
      <c r="J859" s="5">
        <v>100</v>
      </c>
      <c r="K859" s="15" t="s">
        <v>52</v>
      </c>
      <c r="L859" s="6">
        <v>3</v>
      </c>
      <c r="M859" s="6">
        <v>2</v>
      </c>
      <c r="N859" s="6">
        <v>4</v>
      </c>
      <c r="O859" s="5">
        <v>0</v>
      </c>
      <c r="P859" s="5">
        <v>0</v>
      </c>
      <c r="Q859" s="5">
        <v>0</v>
      </c>
      <c r="R859" s="5">
        <v>0</v>
      </c>
      <c r="S859" s="5">
        <v>0</v>
      </c>
      <c r="T859" s="5">
        <v>0</v>
      </c>
      <c r="U859" s="6">
        <v>0</v>
      </c>
      <c r="V859" s="5">
        <v>10</v>
      </c>
      <c r="W859" s="5">
        <v>5</v>
      </c>
      <c r="X859" s="16">
        <v>2000</v>
      </c>
      <c r="Y859" s="16">
        <v>7000</v>
      </c>
      <c r="Z859" s="16">
        <v>14000</v>
      </c>
      <c r="AA859" s="12" t="str">
        <f t="shared" si="145"/>
        <v>0/30</v>
      </c>
      <c r="AB859" s="12" t="str">
        <f t="shared" si="146"/>
        <v>100,100,100,100,0,100</v>
      </c>
      <c r="AC859" s="12">
        <f t="shared" si="147"/>
        <v>1</v>
      </c>
      <c r="AD859" s="12" t="str">
        <f t="shared" si="148"/>
        <v>2000/7000/14000</v>
      </c>
      <c r="AE859" s="12" t="str">
        <f t="shared" si="149"/>
        <v>0/1/</v>
      </c>
      <c r="AF859" s="12" t="str">
        <f t="shared" si="150"/>
        <v>2/4/</v>
      </c>
      <c r="AG859" s="12" t="str">
        <f t="shared" si="151"/>
        <v/>
      </c>
      <c r="AH859" s="12" t="str">
        <f t="shared" si="152"/>
        <v/>
      </c>
      <c r="AI859" s="12" t="str">
        <f t="shared" si="153"/>
        <v>10/5</v>
      </c>
    </row>
    <row r="860" spans="1:35" s="8" customFormat="1" ht="21.95" customHeight="1">
      <c r="A860" s="9">
        <v>858</v>
      </c>
      <c r="B860" s="17">
        <v>858</v>
      </c>
      <c r="C860" s="6">
        <v>0</v>
      </c>
      <c r="D860" s="6">
        <v>60</v>
      </c>
      <c r="E860" s="5">
        <v>100</v>
      </c>
      <c r="F860" s="5">
        <v>100</v>
      </c>
      <c r="G860" s="5">
        <v>100</v>
      </c>
      <c r="H860" s="5">
        <v>100</v>
      </c>
      <c r="I860" s="5">
        <v>100</v>
      </c>
      <c r="J860" s="5">
        <v>0</v>
      </c>
      <c r="K860" s="15" t="s">
        <v>54</v>
      </c>
      <c r="L860" s="6">
        <v>3</v>
      </c>
      <c r="M860" s="6">
        <v>0</v>
      </c>
      <c r="N860" s="6">
        <v>0</v>
      </c>
      <c r="O860" s="5">
        <v>0</v>
      </c>
      <c r="P860" s="5">
        <v>0</v>
      </c>
      <c r="Q860" s="5">
        <v>0</v>
      </c>
      <c r="R860" s="5">
        <v>0</v>
      </c>
      <c r="S860" s="5">
        <v>0</v>
      </c>
      <c r="T860" s="5">
        <v>0</v>
      </c>
      <c r="U860" s="6">
        <v>0</v>
      </c>
      <c r="V860" s="5">
        <v>10</v>
      </c>
      <c r="W860" s="5">
        <v>5</v>
      </c>
      <c r="X860" s="16">
        <v>2000</v>
      </c>
      <c r="Y860" s="16">
        <v>7000</v>
      </c>
      <c r="Z860" s="16">
        <v>14000</v>
      </c>
      <c r="AA860" s="12" t="str">
        <f t="shared" si="145"/>
        <v>1/60</v>
      </c>
      <c r="AB860" s="12" t="str">
        <f t="shared" si="146"/>
        <v>100,100,100,100,100,0</v>
      </c>
      <c r="AC860" s="12">
        <f t="shared" si="147"/>
        <v>3</v>
      </c>
      <c r="AD860" s="12" t="str">
        <f t="shared" si="148"/>
        <v>2000/7000/14000</v>
      </c>
      <c r="AE860" s="12" t="str">
        <f t="shared" si="149"/>
        <v/>
      </c>
      <c r="AF860" s="12" t="str">
        <f t="shared" si="150"/>
        <v/>
      </c>
      <c r="AG860" s="12" t="str">
        <f t="shared" si="151"/>
        <v/>
      </c>
      <c r="AH860" s="12" t="str">
        <f t="shared" si="152"/>
        <v/>
      </c>
      <c r="AI860" s="12" t="str">
        <f t="shared" si="153"/>
        <v>10/5</v>
      </c>
    </row>
    <row r="861" spans="1:35" s="8" customFormat="1" ht="21.95" customHeight="1">
      <c r="A861" s="9">
        <v>859</v>
      </c>
      <c r="B861" s="17">
        <v>859</v>
      </c>
      <c r="C861" s="6">
        <v>0</v>
      </c>
      <c r="D861" s="6">
        <v>60</v>
      </c>
      <c r="E861" s="5">
        <v>0</v>
      </c>
      <c r="F861" s="5">
        <v>100</v>
      </c>
      <c r="G861" s="5">
        <v>100</v>
      </c>
      <c r="H861" s="5">
        <v>100</v>
      </c>
      <c r="I861" s="5">
        <v>100</v>
      </c>
      <c r="J861" s="5">
        <v>100</v>
      </c>
      <c r="K861" s="15" t="s">
        <v>54</v>
      </c>
      <c r="L861" s="6">
        <v>3</v>
      </c>
      <c r="M861" s="6">
        <v>0</v>
      </c>
      <c r="N861" s="6">
        <v>0</v>
      </c>
      <c r="O861" s="5">
        <v>0</v>
      </c>
      <c r="P861" s="5">
        <v>0</v>
      </c>
      <c r="Q861" s="5">
        <v>0</v>
      </c>
      <c r="R861" s="5">
        <v>0</v>
      </c>
      <c r="S861" s="5">
        <v>0</v>
      </c>
      <c r="T861" s="5">
        <v>0</v>
      </c>
      <c r="U861" s="6">
        <v>0</v>
      </c>
      <c r="V861" s="5">
        <v>10</v>
      </c>
      <c r="W861" s="5">
        <v>5</v>
      </c>
      <c r="X861" s="16">
        <v>2000</v>
      </c>
      <c r="Y861" s="16">
        <v>7000</v>
      </c>
      <c r="Z861" s="16">
        <v>14000</v>
      </c>
      <c r="AA861" s="12" t="str">
        <f t="shared" si="145"/>
        <v>1/60</v>
      </c>
      <c r="AB861" s="12" t="str">
        <f t="shared" si="146"/>
        <v>0,100,100,100,100,100</v>
      </c>
      <c r="AC861" s="12">
        <f t="shared" si="147"/>
        <v>3</v>
      </c>
      <c r="AD861" s="12" t="str">
        <f t="shared" si="148"/>
        <v>2000/7000/14000</v>
      </c>
      <c r="AE861" s="12" t="str">
        <f t="shared" si="149"/>
        <v/>
      </c>
      <c r="AF861" s="12" t="str">
        <f t="shared" si="150"/>
        <v/>
      </c>
      <c r="AG861" s="12" t="str">
        <f t="shared" si="151"/>
        <v/>
      </c>
      <c r="AH861" s="12" t="str">
        <f t="shared" si="152"/>
        <v/>
      </c>
      <c r="AI861" s="12" t="str">
        <f t="shared" si="153"/>
        <v>10/5</v>
      </c>
    </row>
    <row r="862" spans="1:35" s="8" customFormat="1" ht="21.95" customHeight="1">
      <c r="A862" s="9">
        <v>860</v>
      </c>
      <c r="B862" s="17">
        <v>860</v>
      </c>
      <c r="C862" s="6">
        <v>30</v>
      </c>
      <c r="D862" s="6">
        <v>0</v>
      </c>
      <c r="E862" s="5">
        <v>100</v>
      </c>
      <c r="F862" s="5">
        <v>0</v>
      </c>
      <c r="G862" s="5">
        <v>100</v>
      </c>
      <c r="H862" s="5">
        <v>100</v>
      </c>
      <c r="I862" s="5">
        <v>100</v>
      </c>
      <c r="J862" s="5">
        <v>100</v>
      </c>
      <c r="K862" s="15" t="s">
        <v>55</v>
      </c>
      <c r="L862" s="6">
        <v>3</v>
      </c>
      <c r="M862" s="6">
        <v>0</v>
      </c>
      <c r="N862" s="6">
        <v>0</v>
      </c>
      <c r="O862" s="5">
        <v>0</v>
      </c>
      <c r="P862" s="5">
        <v>0</v>
      </c>
      <c r="Q862" s="5">
        <v>0</v>
      </c>
      <c r="R862" s="5">
        <v>0</v>
      </c>
      <c r="S862" s="5">
        <v>0</v>
      </c>
      <c r="T862" s="5">
        <v>0</v>
      </c>
      <c r="U862" s="6">
        <v>5</v>
      </c>
      <c r="V862" s="5">
        <v>10</v>
      </c>
      <c r="W862" s="5">
        <v>5</v>
      </c>
      <c r="X862" s="16">
        <v>2000</v>
      </c>
      <c r="Y862" s="16">
        <v>7000</v>
      </c>
      <c r="Z862" s="16">
        <v>14000</v>
      </c>
      <c r="AA862" s="12" t="str">
        <f t="shared" si="145"/>
        <v>0/30</v>
      </c>
      <c r="AB862" s="12" t="str">
        <f t="shared" si="146"/>
        <v>100,0,100,100,100,100</v>
      </c>
      <c r="AC862" s="12">
        <f t="shared" si="147"/>
        <v>4</v>
      </c>
      <c r="AD862" s="12" t="str">
        <f t="shared" si="148"/>
        <v>2000/7000/14000</v>
      </c>
      <c r="AE862" s="12" t="str">
        <f t="shared" si="149"/>
        <v/>
      </c>
      <c r="AF862" s="12" t="str">
        <f t="shared" si="150"/>
        <v/>
      </c>
      <c r="AG862" s="12" t="str">
        <f t="shared" si="151"/>
        <v/>
      </c>
      <c r="AH862" s="12" t="str">
        <f t="shared" si="152"/>
        <v/>
      </c>
      <c r="AI862" s="12" t="str">
        <f t="shared" si="153"/>
        <v>10/5</v>
      </c>
    </row>
    <row r="863" spans="1:35" s="8" customFormat="1" ht="21.95" customHeight="1">
      <c r="A863" s="9">
        <v>861</v>
      </c>
      <c r="B863" s="17">
        <v>861</v>
      </c>
      <c r="C863" s="6">
        <v>30</v>
      </c>
      <c r="D863" s="6">
        <v>0</v>
      </c>
      <c r="E863" s="5">
        <v>100</v>
      </c>
      <c r="F863" s="5">
        <v>100</v>
      </c>
      <c r="G863" s="5">
        <v>0</v>
      </c>
      <c r="H863" s="5">
        <v>100</v>
      </c>
      <c r="I863" s="5">
        <v>100</v>
      </c>
      <c r="J863" s="5">
        <v>100</v>
      </c>
      <c r="K863" s="15" t="s">
        <v>55</v>
      </c>
      <c r="L863" s="6">
        <v>3</v>
      </c>
      <c r="M863" s="6">
        <v>0</v>
      </c>
      <c r="N863" s="6">
        <v>0</v>
      </c>
      <c r="O863" s="5">
        <v>0</v>
      </c>
      <c r="P863" s="5">
        <v>0</v>
      </c>
      <c r="Q863" s="5">
        <v>0</v>
      </c>
      <c r="R863" s="5">
        <v>0</v>
      </c>
      <c r="S863" s="5">
        <v>0</v>
      </c>
      <c r="T863" s="5">
        <v>0</v>
      </c>
      <c r="U863" s="6">
        <v>5</v>
      </c>
      <c r="V863" s="5">
        <v>10</v>
      </c>
      <c r="W863" s="5">
        <v>5</v>
      </c>
      <c r="X863" s="16">
        <v>2000</v>
      </c>
      <c r="Y863" s="16">
        <v>7000</v>
      </c>
      <c r="Z863" s="16">
        <v>14000</v>
      </c>
      <c r="AA863" s="12" t="str">
        <f t="shared" si="145"/>
        <v>0/30</v>
      </c>
      <c r="AB863" s="12" t="str">
        <f t="shared" si="146"/>
        <v>100,100,0,100,100,100</v>
      </c>
      <c r="AC863" s="12">
        <f t="shared" si="147"/>
        <v>4</v>
      </c>
      <c r="AD863" s="12" t="str">
        <f t="shared" si="148"/>
        <v>2000/7000/14000</v>
      </c>
      <c r="AE863" s="12" t="str">
        <f t="shared" si="149"/>
        <v/>
      </c>
      <c r="AF863" s="12" t="str">
        <f t="shared" si="150"/>
        <v/>
      </c>
      <c r="AG863" s="12" t="str">
        <f t="shared" si="151"/>
        <v/>
      </c>
      <c r="AH863" s="12" t="str">
        <f t="shared" si="152"/>
        <v/>
      </c>
      <c r="AI863" s="12" t="str">
        <f t="shared" si="153"/>
        <v>10/5</v>
      </c>
    </row>
    <row r="864" spans="1:35" s="8" customFormat="1" ht="21.95" customHeight="1">
      <c r="A864" s="9">
        <v>862</v>
      </c>
      <c r="B864" s="17">
        <v>862</v>
      </c>
      <c r="C864" s="6">
        <v>32</v>
      </c>
      <c r="D864" s="6">
        <v>0</v>
      </c>
      <c r="E864" s="5">
        <v>100</v>
      </c>
      <c r="F864" s="5">
        <v>100</v>
      </c>
      <c r="G864" s="5">
        <v>100</v>
      </c>
      <c r="H864" s="5">
        <v>0</v>
      </c>
      <c r="I864" s="5">
        <v>100</v>
      </c>
      <c r="J864" s="5">
        <v>100</v>
      </c>
      <c r="K864" s="15" t="s">
        <v>51</v>
      </c>
      <c r="L864" s="6">
        <v>3</v>
      </c>
      <c r="M864" s="6">
        <v>0</v>
      </c>
      <c r="N864" s="6">
        <v>0</v>
      </c>
      <c r="O864" s="5">
        <v>0</v>
      </c>
      <c r="P864" s="5">
        <v>0</v>
      </c>
      <c r="Q864" s="5">
        <v>0</v>
      </c>
      <c r="R864" s="5">
        <v>0</v>
      </c>
      <c r="S864" s="5">
        <v>0</v>
      </c>
      <c r="T864" s="5">
        <v>0</v>
      </c>
      <c r="U864" s="6">
        <v>0</v>
      </c>
      <c r="V864" s="5">
        <v>10</v>
      </c>
      <c r="W864" s="5">
        <v>5</v>
      </c>
      <c r="X864" s="16">
        <v>2000</v>
      </c>
      <c r="Y864" s="16">
        <v>7000</v>
      </c>
      <c r="Z864" s="16">
        <v>14000</v>
      </c>
      <c r="AA864" s="12" t="str">
        <f t="shared" si="145"/>
        <v>0/32</v>
      </c>
      <c r="AB864" s="12" t="str">
        <f t="shared" si="146"/>
        <v>100,100,100,0,100,100</v>
      </c>
      <c r="AC864" s="12">
        <f t="shared" si="147"/>
        <v>0</v>
      </c>
      <c r="AD864" s="12" t="str">
        <f t="shared" si="148"/>
        <v>2000/7000/14000</v>
      </c>
      <c r="AE864" s="12" t="str">
        <f t="shared" si="149"/>
        <v/>
      </c>
      <c r="AF864" s="12" t="str">
        <f t="shared" si="150"/>
        <v/>
      </c>
      <c r="AG864" s="12" t="str">
        <f t="shared" si="151"/>
        <v/>
      </c>
      <c r="AH864" s="12" t="str">
        <f t="shared" si="152"/>
        <v/>
      </c>
      <c r="AI864" s="12" t="str">
        <f t="shared" si="153"/>
        <v>10/5</v>
      </c>
    </row>
    <row r="865" spans="1:35" s="8" customFormat="1" ht="21.95" customHeight="1">
      <c r="A865" s="9">
        <v>863</v>
      </c>
      <c r="B865" s="17">
        <v>863</v>
      </c>
      <c r="C865" s="6">
        <v>30</v>
      </c>
      <c r="D865" s="6">
        <v>0</v>
      </c>
      <c r="E865" s="5">
        <v>100</v>
      </c>
      <c r="F865" s="5">
        <v>100</v>
      </c>
      <c r="G865" s="5">
        <v>100</v>
      </c>
      <c r="H865" s="5">
        <v>100</v>
      </c>
      <c r="I865" s="5">
        <v>0</v>
      </c>
      <c r="J865" s="5">
        <v>100</v>
      </c>
      <c r="K865" s="15" t="s">
        <v>53</v>
      </c>
      <c r="L865" s="6">
        <v>3</v>
      </c>
      <c r="M865" s="6">
        <v>0</v>
      </c>
      <c r="N865" s="6">
        <v>0</v>
      </c>
      <c r="O865" s="5">
        <v>16</v>
      </c>
      <c r="P865" s="5">
        <v>0</v>
      </c>
      <c r="Q865" s="5">
        <v>0</v>
      </c>
      <c r="R865" s="5">
        <v>0</v>
      </c>
      <c r="S865" s="5">
        <v>0</v>
      </c>
      <c r="T865" s="5">
        <v>18</v>
      </c>
      <c r="U865" s="6">
        <v>0</v>
      </c>
      <c r="V865" s="5">
        <v>10</v>
      </c>
      <c r="W865" s="5">
        <v>5</v>
      </c>
      <c r="X865" s="16">
        <v>2000</v>
      </c>
      <c r="Y865" s="16">
        <v>7000</v>
      </c>
      <c r="Z865" s="16">
        <v>14000</v>
      </c>
      <c r="AA865" s="12" t="str">
        <f t="shared" si="145"/>
        <v>0/30</v>
      </c>
      <c r="AB865" s="12" t="str">
        <f t="shared" si="146"/>
        <v>100,100,100,100,0,100</v>
      </c>
      <c r="AC865" s="12">
        <f t="shared" si="147"/>
        <v>2</v>
      </c>
      <c r="AD865" s="12" t="str">
        <f t="shared" si="148"/>
        <v>2000/7000/14000</v>
      </c>
      <c r="AE865" s="12" t="str">
        <f t="shared" si="149"/>
        <v/>
      </c>
      <c r="AF865" s="12" t="str">
        <f t="shared" si="150"/>
        <v/>
      </c>
      <c r="AG865" s="12" t="str">
        <f t="shared" si="151"/>
        <v>0/5/</v>
      </c>
      <c r="AH865" s="12" t="str">
        <f t="shared" si="152"/>
        <v>16/18/</v>
      </c>
      <c r="AI865" s="12" t="str">
        <f t="shared" si="153"/>
        <v>10/5</v>
      </c>
    </row>
    <row r="866" spans="1:35" s="8" customFormat="1" ht="21.95" customHeight="1">
      <c r="A866" s="9">
        <v>864</v>
      </c>
      <c r="B866" s="17">
        <v>864</v>
      </c>
      <c r="C866" s="6">
        <v>30</v>
      </c>
      <c r="D866" s="6">
        <v>0</v>
      </c>
      <c r="E866" s="5">
        <v>100</v>
      </c>
      <c r="F866" s="5">
        <v>100</v>
      </c>
      <c r="G866" s="5">
        <v>100</v>
      </c>
      <c r="H866" s="5">
        <v>100</v>
      </c>
      <c r="I866" s="5">
        <v>100</v>
      </c>
      <c r="J866" s="5">
        <v>0</v>
      </c>
      <c r="K866" s="15" t="s">
        <v>52</v>
      </c>
      <c r="L866" s="6">
        <v>3</v>
      </c>
      <c r="M866" s="6">
        <v>6</v>
      </c>
      <c r="N866" s="6">
        <v>0</v>
      </c>
      <c r="O866" s="5">
        <v>0</v>
      </c>
      <c r="P866" s="5">
        <v>0</v>
      </c>
      <c r="Q866" s="5">
        <v>0</v>
      </c>
      <c r="R866" s="5">
        <v>0</v>
      </c>
      <c r="S866" s="5">
        <v>0</v>
      </c>
      <c r="T866" s="5">
        <v>0</v>
      </c>
      <c r="U866" s="6">
        <v>0</v>
      </c>
      <c r="V866" s="5">
        <v>10</v>
      </c>
      <c r="W866" s="5">
        <v>5</v>
      </c>
      <c r="X866" s="16">
        <v>2000</v>
      </c>
      <c r="Y866" s="16">
        <v>7000</v>
      </c>
      <c r="Z866" s="16">
        <v>14000</v>
      </c>
      <c r="AA866" s="12" t="str">
        <f t="shared" ref="AA866:AA929" si="154">IF(C866=0,CONCATENATE("1/",D866),CONCATENATE("0/",C866))</f>
        <v>0/30</v>
      </c>
      <c r="AB866" s="12" t="str">
        <f t="shared" ref="AB866:AB929" si="155">CONCATENATE(E866,",",F866,",",G866,",",H866,",",I866,",",J866)</f>
        <v>100,100,100,100,100,0</v>
      </c>
      <c r="AC866" s="12">
        <f t="shared" ref="AC866:AC929" si="156">VLOOKUP(K866,$I$1005:$J$1012,2,FALSE)</f>
        <v>1</v>
      </c>
      <c r="AD866" s="12" t="str">
        <f t="shared" ref="AD866:AD929" si="157">CONCATENATE(X866,"/",Y866,"/",Z866)</f>
        <v>2000/7000/14000</v>
      </c>
      <c r="AE866" s="12" t="str">
        <f t="shared" ref="AE866:AE929" si="158">CONCATENATE(IF(M866=0,"","0/"),IF(N866=0,"","1/"))</f>
        <v>0/</v>
      </c>
      <c r="AF866" s="12" t="str">
        <f t="shared" ref="AF866:AF929" si="159">CONCATENATE(IF(M866=0,"",CONCATENATE(M866,"/")),IF(N866=0,"",CONCATENATE(N866,"/")))</f>
        <v>6/</v>
      </c>
      <c r="AG866" s="12" t="str">
        <f t="shared" ref="AG866:AG929" si="160">CONCATENATE(IF(O866=0,"","0/"),IF(P866=0,"","1/"),IF(Q866=0,"","2/"),IF(R866=0,"","3/"),IF(S866=0,"","4/"),IF(T866=0,"","5/"))</f>
        <v/>
      </c>
      <c r="AH866" s="12" t="str">
        <f t="shared" ref="AH866:AH929" si="161">CONCATENATE(IF(O866=0,"",CONCATENATE(O866,"/")),IF(P866=0,"",CONCATENATE(P866,"/")),IF(Q866=0,"",CONCATENATE(Q866,"/")),IF(R866=0,"",CONCATENATE(R866,"/")),IF(S866=0,"",CONCATENATE(S866,"/")),IF(T866=0,"",CONCATENATE(T866,"/")))</f>
        <v/>
      </c>
      <c r="AI866" s="12" t="str">
        <f t="shared" ref="AI866:AI929" si="162">CONCATENATE(V866,"/",W866)</f>
        <v>10/5</v>
      </c>
    </row>
    <row r="867" spans="1:35" s="8" customFormat="1" ht="21.95" customHeight="1">
      <c r="A867" s="9">
        <v>865</v>
      </c>
      <c r="B867" s="17">
        <v>865</v>
      </c>
      <c r="C867" s="6">
        <v>30</v>
      </c>
      <c r="D867" s="6">
        <v>0</v>
      </c>
      <c r="E867" s="5">
        <v>0</v>
      </c>
      <c r="F867" s="5">
        <v>100</v>
      </c>
      <c r="G867" s="5">
        <v>100</v>
      </c>
      <c r="H867" s="5">
        <v>100</v>
      </c>
      <c r="I867" s="5">
        <v>100</v>
      </c>
      <c r="J867" s="5">
        <v>100</v>
      </c>
      <c r="K867" s="15" t="s">
        <v>52</v>
      </c>
      <c r="L867" s="6">
        <v>3</v>
      </c>
      <c r="M867" s="6">
        <v>0</v>
      </c>
      <c r="N867" s="6">
        <v>6</v>
      </c>
      <c r="O867" s="5">
        <v>0</v>
      </c>
      <c r="P867" s="5">
        <v>0</v>
      </c>
      <c r="Q867" s="5">
        <v>0</v>
      </c>
      <c r="R867" s="5">
        <v>0</v>
      </c>
      <c r="S867" s="5">
        <v>0</v>
      </c>
      <c r="T867" s="5">
        <v>0</v>
      </c>
      <c r="U867" s="6">
        <v>0</v>
      </c>
      <c r="V867" s="5">
        <v>10</v>
      </c>
      <c r="W867" s="5">
        <v>5</v>
      </c>
      <c r="X867" s="16">
        <v>2000</v>
      </c>
      <c r="Y867" s="16">
        <v>7000</v>
      </c>
      <c r="Z867" s="16">
        <v>14000</v>
      </c>
      <c r="AA867" s="12" t="str">
        <f t="shared" si="154"/>
        <v>0/30</v>
      </c>
      <c r="AB867" s="12" t="str">
        <f t="shared" si="155"/>
        <v>0,100,100,100,100,100</v>
      </c>
      <c r="AC867" s="12">
        <f t="shared" si="156"/>
        <v>1</v>
      </c>
      <c r="AD867" s="12" t="str">
        <f t="shared" si="157"/>
        <v>2000/7000/14000</v>
      </c>
      <c r="AE867" s="12" t="str">
        <f t="shared" si="158"/>
        <v>1/</v>
      </c>
      <c r="AF867" s="12" t="str">
        <f t="shared" si="159"/>
        <v>6/</v>
      </c>
      <c r="AG867" s="12" t="str">
        <f t="shared" si="160"/>
        <v/>
      </c>
      <c r="AH867" s="12" t="str">
        <f t="shared" si="161"/>
        <v/>
      </c>
      <c r="AI867" s="12" t="str">
        <f t="shared" si="162"/>
        <v>10/5</v>
      </c>
    </row>
    <row r="868" spans="1:35" s="8" customFormat="1" ht="21.95" customHeight="1">
      <c r="A868" s="9">
        <v>866</v>
      </c>
      <c r="B868" s="17">
        <v>866</v>
      </c>
      <c r="C868" s="6">
        <v>0</v>
      </c>
      <c r="D868" s="6">
        <v>60</v>
      </c>
      <c r="E868" s="5">
        <v>100</v>
      </c>
      <c r="F868" s="5">
        <v>0</v>
      </c>
      <c r="G868" s="5">
        <v>100</v>
      </c>
      <c r="H868" s="5">
        <v>100</v>
      </c>
      <c r="I868" s="5">
        <v>100</v>
      </c>
      <c r="J868" s="5">
        <v>100</v>
      </c>
      <c r="K868" s="15" t="s">
        <v>54</v>
      </c>
      <c r="L868" s="6">
        <v>3</v>
      </c>
      <c r="M868" s="6">
        <v>0</v>
      </c>
      <c r="N868" s="6">
        <v>0</v>
      </c>
      <c r="O868" s="5">
        <v>0</v>
      </c>
      <c r="P868" s="5">
        <v>0</v>
      </c>
      <c r="Q868" s="5">
        <v>0</v>
      </c>
      <c r="R868" s="5">
        <v>0</v>
      </c>
      <c r="S868" s="5">
        <v>0</v>
      </c>
      <c r="T868" s="5">
        <v>0</v>
      </c>
      <c r="U868" s="6">
        <v>0</v>
      </c>
      <c r="V868" s="5">
        <v>10</v>
      </c>
      <c r="W868" s="5">
        <v>5</v>
      </c>
      <c r="X868" s="16">
        <v>2000</v>
      </c>
      <c r="Y868" s="16">
        <v>7000</v>
      </c>
      <c r="Z868" s="16">
        <v>14000</v>
      </c>
      <c r="AA868" s="12" t="str">
        <f t="shared" si="154"/>
        <v>1/60</v>
      </c>
      <c r="AB868" s="12" t="str">
        <f t="shared" si="155"/>
        <v>100,0,100,100,100,100</v>
      </c>
      <c r="AC868" s="12">
        <f t="shared" si="156"/>
        <v>3</v>
      </c>
      <c r="AD868" s="12" t="str">
        <f t="shared" si="157"/>
        <v>2000/7000/14000</v>
      </c>
      <c r="AE868" s="12" t="str">
        <f t="shared" si="158"/>
        <v/>
      </c>
      <c r="AF868" s="12" t="str">
        <f t="shared" si="159"/>
        <v/>
      </c>
      <c r="AG868" s="12" t="str">
        <f t="shared" si="160"/>
        <v/>
      </c>
      <c r="AH868" s="12" t="str">
        <f t="shared" si="161"/>
        <v/>
      </c>
      <c r="AI868" s="12" t="str">
        <f t="shared" si="162"/>
        <v>10/5</v>
      </c>
    </row>
    <row r="869" spans="1:35" s="8" customFormat="1" ht="21.95" customHeight="1">
      <c r="A869" s="9">
        <v>867</v>
      </c>
      <c r="B869" s="17">
        <v>867</v>
      </c>
      <c r="C869" s="6">
        <v>0</v>
      </c>
      <c r="D869" s="6">
        <v>60</v>
      </c>
      <c r="E869" s="5">
        <v>100</v>
      </c>
      <c r="F869" s="5">
        <v>100</v>
      </c>
      <c r="G869" s="5">
        <v>0</v>
      </c>
      <c r="H869" s="5">
        <v>100</v>
      </c>
      <c r="I869" s="5">
        <v>100</v>
      </c>
      <c r="J869" s="5">
        <v>100</v>
      </c>
      <c r="K869" s="15" t="s">
        <v>54</v>
      </c>
      <c r="L869" s="6">
        <v>3</v>
      </c>
      <c r="M869" s="6">
        <v>0</v>
      </c>
      <c r="N869" s="6">
        <v>0</v>
      </c>
      <c r="O869" s="5">
        <v>0</v>
      </c>
      <c r="P869" s="5">
        <v>0</v>
      </c>
      <c r="Q869" s="5">
        <v>0</v>
      </c>
      <c r="R869" s="5">
        <v>0</v>
      </c>
      <c r="S869" s="5">
        <v>0</v>
      </c>
      <c r="T869" s="5">
        <v>0</v>
      </c>
      <c r="U869" s="6">
        <v>0</v>
      </c>
      <c r="V869" s="5">
        <v>10</v>
      </c>
      <c r="W869" s="5">
        <v>5</v>
      </c>
      <c r="X869" s="16">
        <v>2000</v>
      </c>
      <c r="Y869" s="16">
        <v>7000</v>
      </c>
      <c r="Z869" s="16">
        <v>14000</v>
      </c>
      <c r="AA869" s="12" t="str">
        <f t="shared" si="154"/>
        <v>1/60</v>
      </c>
      <c r="AB869" s="12" t="str">
        <f t="shared" si="155"/>
        <v>100,100,0,100,100,100</v>
      </c>
      <c r="AC869" s="12">
        <f t="shared" si="156"/>
        <v>3</v>
      </c>
      <c r="AD869" s="12" t="str">
        <f t="shared" si="157"/>
        <v>2000/7000/14000</v>
      </c>
      <c r="AE869" s="12" t="str">
        <f t="shared" si="158"/>
        <v/>
      </c>
      <c r="AF869" s="12" t="str">
        <f t="shared" si="159"/>
        <v/>
      </c>
      <c r="AG869" s="12" t="str">
        <f t="shared" si="160"/>
        <v/>
      </c>
      <c r="AH869" s="12" t="str">
        <f t="shared" si="161"/>
        <v/>
      </c>
      <c r="AI869" s="12" t="str">
        <f t="shared" si="162"/>
        <v>10/5</v>
      </c>
    </row>
    <row r="870" spans="1:35" s="8" customFormat="1" ht="21.95" customHeight="1">
      <c r="A870" s="9">
        <v>868</v>
      </c>
      <c r="B870" s="17">
        <v>868</v>
      </c>
      <c r="C870" s="6">
        <v>0</v>
      </c>
      <c r="D870" s="6">
        <v>60</v>
      </c>
      <c r="E870" s="5">
        <v>100</v>
      </c>
      <c r="F870" s="5">
        <v>100</v>
      </c>
      <c r="G870" s="5">
        <v>100</v>
      </c>
      <c r="H870" s="5">
        <v>100</v>
      </c>
      <c r="I870" s="5">
        <v>0</v>
      </c>
      <c r="J870" s="5">
        <v>100</v>
      </c>
      <c r="K870" s="15" t="s">
        <v>52</v>
      </c>
      <c r="L870" s="6">
        <v>3</v>
      </c>
      <c r="M870" s="6">
        <v>2</v>
      </c>
      <c r="N870" s="6">
        <v>4</v>
      </c>
      <c r="O870" s="5">
        <v>0</v>
      </c>
      <c r="P870" s="5">
        <v>0</v>
      </c>
      <c r="Q870" s="5">
        <v>0</v>
      </c>
      <c r="R870" s="5">
        <v>0</v>
      </c>
      <c r="S870" s="5">
        <v>0</v>
      </c>
      <c r="T870" s="5">
        <v>0</v>
      </c>
      <c r="U870" s="6">
        <v>0</v>
      </c>
      <c r="V870" s="5">
        <v>10</v>
      </c>
      <c r="W870" s="5">
        <v>5</v>
      </c>
      <c r="X870" s="16">
        <v>2000</v>
      </c>
      <c r="Y870" s="16">
        <v>7000</v>
      </c>
      <c r="Z870" s="16">
        <v>14000</v>
      </c>
      <c r="AA870" s="12" t="str">
        <f t="shared" si="154"/>
        <v>1/60</v>
      </c>
      <c r="AB870" s="12" t="str">
        <f t="shared" si="155"/>
        <v>100,100,100,100,0,100</v>
      </c>
      <c r="AC870" s="12">
        <f t="shared" si="156"/>
        <v>1</v>
      </c>
      <c r="AD870" s="12" t="str">
        <f t="shared" si="157"/>
        <v>2000/7000/14000</v>
      </c>
      <c r="AE870" s="12" t="str">
        <f t="shared" si="158"/>
        <v>0/1/</v>
      </c>
      <c r="AF870" s="12" t="str">
        <f t="shared" si="159"/>
        <v>2/4/</v>
      </c>
      <c r="AG870" s="12" t="str">
        <f t="shared" si="160"/>
        <v/>
      </c>
      <c r="AH870" s="12" t="str">
        <f t="shared" si="161"/>
        <v/>
      </c>
      <c r="AI870" s="12" t="str">
        <f t="shared" si="162"/>
        <v>10/5</v>
      </c>
    </row>
    <row r="871" spans="1:35" s="8" customFormat="1" ht="21.95" customHeight="1">
      <c r="A871" s="9">
        <v>869</v>
      </c>
      <c r="B871" s="17">
        <v>869</v>
      </c>
      <c r="C871" s="6">
        <v>30</v>
      </c>
      <c r="D871" s="6">
        <v>0</v>
      </c>
      <c r="E871" s="5">
        <v>100</v>
      </c>
      <c r="F871" s="5">
        <v>100</v>
      </c>
      <c r="G871" s="5">
        <v>100</v>
      </c>
      <c r="H871" s="5">
        <v>100</v>
      </c>
      <c r="I871" s="5">
        <v>100</v>
      </c>
      <c r="J871" s="5">
        <v>0</v>
      </c>
      <c r="K871" s="15" t="s">
        <v>54</v>
      </c>
      <c r="L871" s="6">
        <v>3</v>
      </c>
      <c r="M871" s="6">
        <v>0</v>
      </c>
      <c r="N871" s="6">
        <v>0</v>
      </c>
      <c r="O871" s="5">
        <v>0</v>
      </c>
      <c r="P871" s="5">
        <v>0</v>
      </c>
      <c r="Q871" s="5">
        <v>0</v>
      </c>
      <c r="R871" s="5">
        <v>0</v>
      </c>
      <c r="S871" s="5">
        <v>0</v>
      </c>
      <c r="T871" s="5">
        <v>0</v>
      </c>
      <c r="U871" s="6">
        <v>0</v>
      </c>
      <c r="V871" s="5">
        <v>10</v>
      </c>
      <c r="W871" s="5">
        <v>5</v>
      </c>
      <c r="X871" s="16">
        <v>2000</v>
      </c>
      <c r="Y871" s="16">
        <v>7000</v>
      </c>
      <c r="Z871" s="16">
        <v>14000</v>
      </c>
      <c r="AA871" s="12" t="str">
        <f t="shared" si="154"/>
        <v>0/30</v>
      </c>
      <c r="AB871" s="12" t="str">
        <f t="shared" si="155"/>
        <v>100,100,100,100,100,0</v>
      </c>
      <c r="AC871" s="12">
        <f t="shared" si="156"/>
        <v>3</v>
      </c>
      <c r="AD871" s="12" t="str">
        <f t="shared" si="157"/>
        <v>2000/7000/14000</v>
      </c>
      <c r="AE871" s="12" t="str">
        <f t="shared" si="158"/>
        <v/>
      </c>
      <c r="AF871" s="12" t="str">
        <f t="shared" si="159"/>
        <v/>
      </c>
      <c r="AG871" s="12" t="str">
        <f t="shared" si="160"/>
        <v/>
      </c>
      <c r="AH871" s="12" t="str">
        <f t="shared" si="161"/>
        <v/>
      </c>
      <c r="AI871" s="12" t="str">
        <f t="shared" si="162"/>
        <v>10/5</v>
      </c>
    </row>
    <row r="872" spans="1:35" s="8" customFormat="1" ht="21.95" customHeight="1">
      <c r="A872" s="9">
        <v>870</v>
      </c>
      <c r="B872" s="17">
        <v>870</v>
      </c>
      <c r="C872" s="6">
        <v>30</v>
      </c>
      <c r="D872" s="6">
        <v>0</v>
      </c>
      <c r="E872" s="5">
        <v>0</v>
      </c>
      <c r="F872" s="5">
        <v>100</v>
      </c>
      <c r="G872" s="5">
        <v>100</v>
      </c>
      <c r="H872" s="5">
        <v>100</v>
      </c>
      <c r="I872" s="5">
        <v>100</v>
      </c>
      <c r="J872" s="5">
        <v>100</v>
      </c>
      <c r="K872" s="15" t="s">
        <v>54</v>
      </c>
      <c r="L872" s="6">
        <v>3</v>
      </c>
      <c r="M872" s="6">
        <v>0</v>
      </c>
      <c r="N872" s="6">
        <v>0</v>
      </c>
      <c r="O872" s="5">
        <v>0</v>
      </c>
      <c r="P872" s="5">
        <v>0</v>
      </c>
      <c r="Q872" s="5">
        <v>0</v>
      </c>
      <c r="R872" s="5">
        <v>0</v>
      </c>
      <c r="S872" s="5">
        <v>0</v>
      </c>
      <c r="T872" s="5">
        <v>0</v>
      </c>
      <c r="U872" s="6">
        <v>0</v>
      </c>
      <c r="V872" s="5">
        <v>10</v>
      </c>
      <c r="W872" s="5">
        <v>5</v>
      </c>
      <c r="X872" s="16">
        <v>2000</v>
      </c>
      <c r="Y872" s="16">
        <v>7000</v>
      </c>
      <c r="Z872" s="16">
        <v>14000</v>
      </c>
      <c r="AA872" s="12" t="str">
        <f t="shared" si="154"/>
        <v>0/30</v>
      </c>
      <c r="AB872" s="12" t="str">
        <f t="shared" si="155"/>
        <v>0,100,100,100,100,100</v>
      </c>
      <c r="AC872" s="12">
        <f t="shared" si="156"/>
        <v>3</v>
      </c>
      <c r="AD872" s="12" t="str">
        <f t="shared" si="157"/>
        <v>2000/7000/14000</v>
      </c>
      <c r="AE872" s="12" t="str">
        <f t="shared" si="158"/>
        <v/>
      </c>
      <c r="AF872" s="12" t="str">
        <f t="shared" si="159"/>
        <v/>
      </c>
      <c r="AG872" s="12" t="str">
        <f t="shared" si="160"/>
        <v/>
      </c>
      <c r="AH872" s="12" t="str">
        <f t="shared" si="161"/>
        <v/>
      </c>
      <c r="AI872" s="12" t="str">
        <f t="shared" si="162"/>
        <v>10/5</v>
      </c>
    </row>
    <row r="873" spans="1:35" s="8" customFormat="1" ht="21.95" customHeight="1">
      <c r="A873" s="9">
        <v>871</v>
      </c>
      <c r="B873" s="17">
        <v>871</v>
      </c>
      <c r="C873" s="6">
        <v>30</v>
      </c>
      <c r="D873" s="6">
        <v>0</v>
      </c>
      <c r="E873" s="5">
        <v>100</v>
      </c>
      <c r="F873" s="5">
        <v>0</v>
      </c>
      <c r="G873" s="5">
        <v>100</v>
      </c>
      <c r="H873" s="5">
        <v>100</v>
      </c>
      <c r="I873" s="5">
        <v>100</v>
      </c>
      <c r="J873" s="5">
        <v>100</v>
      </c>
      <c r="K873" s="15" t="s">
        <v>55</v>
      </c>
      <c r="L873" s="6">
        <v>3</v>
      </c>
      <c r="M873" s="6">
        <v>0</v>
      </c>
      <c r="N873" s="6">
        <v>0</v>
      </c>
      <c r="O873" s="5">
        <v>0</v>
      </c>
      <c r="P873" s="5">
        <v>0</v>
      </c>
      <c r="Q873" s="5">
        <v>0</v>
      </c>
      <c r="R873" s="5">
        <v>0</v>
      </c>
      <c r="S873" s="5">
        <v>0</v>
      </c>
      <c r="T873" s="5">
        <v>0</v>
      </c>
      <c r="U873" s="6">
        <v>5</v>
      </c>
      <c r="V873" s="5">
        <v>10</v>
      </c>
      <c r="W873" s="5">
        <v>5</v>
      </c>
      <c r="X873" s="16">
        <v>2000</v>
      </c>
      <c r="Y873" s="16">
        <v>7000</v>
      </c>
      <c r="Z873" s="16">
        <v>14000</v>
      </c>
      <c r="AA873" s="12" t="str">
        <f t="shared" si="154"/>
        <v>0/30</v>
      </c>
      <c r="AB873" s="12" t="str">
        <f t="shared" si="155"/>
        <v>100,0,100,100,100,100</v>
      </c>
      <c r="AC873" s="12">
        <f t="shared" si="156"/>
        <v>4</v>
      </c>
      <c r="AD873" s="12" t="str">
        <f t="shared" si="157"/>
        <v>2000/7000/14000</v>
      </c>
      <c r="AE873" s="12" t="str">
        <f t="shared" si="158"/>
        <v/>
      </c>
      <c r="AF873" s="12" t="str">
        <f t="shared" si="159"/>
        <v/>
      </c>
      <c r="AG873" s="12" t="str">
        <f t="shared" si="160"/>
        <v/>
      </c>
      <c r="AH873" s="12" t="str">
        <f t="shared" si="161"/>
        <v/>
      </c>
      <c r="AI873" s="12" t="str">
        <f t="shared" si="162"/>
        <v>10/5</v>
      </c>
    </row>
    <row r="874" spans="1:35" s="8" customFormat="1" ht="21.95" customHeight="1">
      <c r="A874" s="9">
        <v>872</v>
      </c>
      <c r="B874" s="17">
        <v>872</v>
      </c>
      <c r="C874" s="6">
        <v>30</v>
      </c>
      <c r="D874" s="6">
        <v>0</v>
      </c>
      <c r="E874" s="5">
        <v>100</v>
      </c>
      <c r="F874" s="5">
        <v>100</v>
      </c>
      <c r="G874" s="5">
        <v>0</v>
      </c>
      <c r="H874" s="5">
        <v>100</v>
      </c>
      <c r="I874" s="5">
        <v>100</v>
      </c>
      <c r="J874" s="5">
        <v>100</v>
      </c>
      <c r="K874" s="15" t="s">
        <v>55</v>
      </c>
      <c r="L874" s="6">
        <v>3</v>
      </c>
      <c r="M874" s="6">
        <v>0</v>
      </c>
      <c r="N874" s="6">
        <v>0</v>
      </c>
      <c r="O874" s="5">
        <v>0</v>
      </c>
      <c r="P874" s="5">
        <v>0</v>
      </c>
      <c r="Q874" s="5">
        <v>0</v>
      </c>
      <c r="R874" s="5">
        <v>0</v>
      </c>
      <c r="S874" s="5">
        <v>0</v>
      </c>
      <c r="T874" s="5">
        <v>0</v>
      </c>
      <c r="U874" s="6">
        <v>5</v>
      </c>
      <c r="V874" s="5">
        <v>10</v>
      </c>
      <c r="W874" s="5">
        <v>5</v>
      </c>
      <c r="X874" s="16">
        <v>2000</v>
      </c>
      <c r="Y874" s="16">
        <v>7000</v>
      </c>
      <c r="Z874" s="16">
        <v>14000</v>
      </c>
      <c r="AA874" s="12" t="str">
        <f t="shared" si="154"/>
        <v>0/30</v>
      </c>
      <c r="AB874" s="12" t="str">
        <f t="shared" si="155"/>
        <v>100,100,0,100,100,100</v>
      </c>
      <c r="AC874" s="12">
        <f t="shared" si="156"/>
        <v>4</v>
      </c>
      <c r="AD874" s="12" t="str">
        <f t="shared" si="157"/>
        <v>2000/7000/14000</v>
      </c>
      <c r="AE874" s="12" t="str">
        <f t="shared" si="158"/>
        <v/>
      </c>
      <c r="AF874" s="12" t="str">
        <f t="shared" si="159"/>
        <v/>
      </c>
      <c r="AG874" s="12" t="str">
        <f t="shared" si="160"/>
        <v/>
      </c>
      <c r="AH874" s="12" t="str">
        <f t="shared" si="161"/>
        <v/>
      </c>
      <c r="AI874" s="12" t="str">
        <f t="shared" si="162"/>
        <v>10/5</v>
      </c>
    </row>
    <row r="875" spans="1:35" s="8" customFormat="1" ht="21.95" customHeight="1">
      <c r="A875" s="9">
        <v>873</v>
      </c>
      <c r="B875" s="17">
        <v>873</v>
      </c>
      <c r="C875" s="6">
        <v>32</v>
      </c>
      <c r="D875" s="6">
        <v>0</v>
      </c>
      <c r="E875" s="5">
        <v>100</v>
      </c>
      <c r="F875" s="5">
        <v>100</v>
      </c>
      <c r="G875" s="5">
        <v>100</v>
      </c>
      <c r="H875" s="5">
        <v>0</v>
      </c>
      <c r="I875" s="5">
        <v>100</v>
      </c>
      <c r="J875" s="5">
        <v>100</v>
      </c>
      <c r="K875" s="15" t="s">
        <v>51</v>
      </c>
      <c r="L875" s="6">
        <v>3</v>
      </c>
      <c r="M875" s="6">
        <v>0</v>
      </c>
      <c r="N875" s="6">
        <v>0</v>
      </c>
      <c r="O875" s="5">
        <v>0</v>
      </c>
      <c r="P875" s="5">
        <v>0</v>
      </c>
      <c r="Q875" s="5">
        <v>0</v>
      </c>
      <c r="R875" s="5">
        <v>0</v>
      </c>
      <c r="S875" s="5">
        <v>0</v>
      </c>
      <c r="T875" s="5">
        <v>0</v>
      </c>
      <c r="U875" s="6">
        <v>0</v>
      </c>
      <c r="V875" s="5">
        <v>10</v>
      </c>
      <c r="W875" s="5">
        <v>5</v>
      </c>
      <c r="X875" s="16">
        <v>2000</v>
      </c>
      <c r="Y875" s="16">
        <v>7000</v>
      </c>
      <c r="Z875" s="16">
        <v>14000</v>
      </c>
      <c r="AA875" s="12" t="str">
        <f t="shared" si="154"/>
        <v>0/32</v>
      </c>
      <c r="AB875" s="12" t="str">
        <f t="shared" si="155"/>
        <v>100,100,100,0,100,100</v>
      </c>
      <c r="AC875" s="12">
        <f t="shared" si="156"/>
        <v>0</v>
      </c>
      <c r="AD875" s="12" t="str">
        <f t="shared" si="157"/>
        <v>2000/7000/14000</v>
      </c>
      <c r="AE875" s="12" t="str">
        <f t="shared" si="158"/>
        <v/>
      </c>
      <c r="AF875" s="12" t="str">
        <f t="shared" si="159"/>
        <v/>
      </c>
      <c r="AG875" s="12" t="str">
        <f t="shared" si="160"/>
        <v/>
      </c>
      <c r="AH875" s="12" t="str">
        <f t="shared" si="161"/>
        <v/>
      </c>
      <c r="AI875" s="12" t="str">
        <f t="shared" si="162"/>
        <v>10/5</v>
      </c>
    </row>
    <row r="876" spans="1:35" s="8" customFormat="1" ht="21.95" customHeight="1">
      <c r="A876" s="9">
        <v>874</v>
      </c>
      <c r="B876" s="17">
        <v>874</v>
      </c>
      <c r="C876" s="6">
        <v>30</v>
      </c>
      <c r="D876" s="6">
        <v>0</v>
      </c>
      <c r="E876" s="5">
        <v>100</v>
      </c>
      <c r="F876" s="5">
        <v>100</v>
      </c>
      <c r="G876" s="5">
        <v>0</v>
      </c>
      <c r="H876" s="5">
        <v>100</v>
      </c>
      <c r="I876" s="5">
        <v>100</v>
      </c>
      <c r="J876" s="5">
        <v>100</v>
      </c>
      <c r="K876" s="15" t="s">
        <v>56</v>
      </c>
      <c r="L876" s="6">
        <v>3</v>
      </c>
      <c r="M876" s="6">
        <v>0</v>
      </c>
      <c r="N876" s="6">
        <v>0</v>
      </c>
      <c r="O876" s="5">
        <v>0</v>
      </c>
      <c r="P876" s="5">
        <v>0</v>
      </c>
      <c r="Q876" s="5">
        <v>0</v>
      </c>
      <c r="R876" s="5">
        <v>0</v>
      </c>
      <c r="S876" s="5">
        <v>0</v>
      </c>
      <c r="T876" s="5">
        <v>0</v>
      </c>
      <c r="U876" s="6">
        <v>0</v>
      </c>
      <c r="V876" s="5">
        <v>10</v>
      </c>
      <c r="W876" s="5">
        <v>5</v>
      </c>
      <c r="X876" s="16">
        <v>2000</v>
      </c>
      <c r="Y876" s="16">
        <v>7000</v>
      </c>
      <c r="Z876" s="16">
        <v>14000</v>
      </c>
      <c r="AA876" s="12" t="str">
        <f t="shared" si="154"/>
        <v>0/30</v>
      </c>
      <c r="AB876" s="12" t="str">
        <f t="shared" si="155"/>
        <v>100,100,0,100,100,100</v>
      </c>
      <c r="AC876" s="12">
        <f t="shared" si="156"/>
        <v>5</v>
      </c>
      <c r="AD876" s="12" t="str">
        <f t="shared" si="157"/>
        <v>2000/7000/14000</v>
      </c>
      <c r="AE876" s="12" t="str">
        <f t="shared" si="158"/>
        <v/>
      </c>
      <c r="AF876" s="12" t="str">
        <f t="shared" si="159"/>
        <v/>
      </c>
      <c r="AG876" s="12" t="str">
        <f t="shared" si="160"/>
        <v/>
      </c>
      <c r="AH876" s="12" t="str">
        <f t="shared" si="161"/>
        <v/>
      </c>
      <c r="AI876" s="12" t="str">
        <f t="shared" si="162"/>
        <v>10/5</v>
      </c>
    </row>
    <row r="877" spans="1:35" s="8" customFormat="1" ht="21.95" customHeight="1">
      <c r="A877" s="9">
        <v>875</v>
      </c>
      <c r="B877" s="17">
        <v>875</v>
      </c>
      <c r="C877" s="6">
        <v>30</v>
      </c>
      <c r="D877" s="6">
        <v>0</v>
      </c>
      <c r="E877" s="5">
        <v>100</v>
      </c>
      <c r="F877" s="5">
        <v>100</v>
      </c>
      <c r="G877" s="5">
        <v>100</v>
      </c>
      <c r="H877" s="5">
        <v>0</v>
      </c>
      <c r="I877" s="5">
        <v>100</v>
      </c>
      <c r="J877" s="5">
        <v>100</v>
      </c>
      <c r="K877" s="15" t="s">
        <v>53</v>
      </c>
      <c r="L877" s="6">
        <v>3</v>
      </c>
      <c r="M877" s="6">
        <v>0</v>
      </c>
      <c r="N877" s="6">
        <v>0</v>
      </c>
      <c r="O877" s="5">
        <v>0</v>
      </c>
      <c r="P877" s="5">
        <v>0</v>
      </c>
      <c r="Q877" s="5">
        <v>0</v>
      </c>
      <c r="R877" s="5">
        <v>0</v>
      </c>
      <c r="S877" s="5">
        <v>18</v>
      </c>
      <c r="T877" s="5">
        <v>16</v>
      </c>
      <c r="U877" s="6">
        <v>0</v>
      </c>
      <c r="V877" s="5">
        <v>10</v>
      </c>
      <c r="W877" s="5">
        <v>5</v>
      </c>
      <c r="X877" s="16">
        <v>2000</v>
      </c>
      <c r="Y877" s="16">
        <v>7000</v>
      </c>
      <c r="Z877" s="16">
        <v>14000</v>
      </c>
      <c r="AA877" s="12" t="str">
        <f t="shared" si="154"/>
        <v>0/30</v>
      </c>
      <c r="AB877" s="12" t="str">
        <f t="shared" si="155"/>
        <v>100,100,100,0,100,100</v>
      </c>
      <c r="AC877" s="12">
        <f t="shared" si="156"/>
        <v>2</v>
      </c>
      <c r="AD877" s="12" t="str">
        <f t="shared" si="157"/>
        <v>2000/7000/14000</v>
      </c>
      <c r="AE877" s="12" t="str">
        <f t="shared" si="158"/>
        <v/>
      </c>
      <c r="AF877" s="12" t="str">
        <f t="shared" si="159"/>
        <v/>
      </c>
      <c r="AG877" s="12" t="str">
        <f t="shared" si="160"/>
        <v>4/5/</v>
      </c>
      <c r="AH877" s="12" t="str">
        <f t="shared" si="161"/>
        <v>18/16/</v>
      </c>
      <c r="AI877" s="12" t="str">
        <f t="shared" si="162"/>
        <v>10/5</v>
      </c>
    </row>
    <row r="878" spans="1:35" s="8" customFormat="1" ht="21.95" customHeight="1">
      <c r="A878" s="9">
        <v>876</v>
      </c>
      <c r="B878" s="17">
        <v>876</v>
      </c>
      <c r="C878" s="6">
        <v>30</v>
      </c>
      <c r="D878" s="6">
        <v>0</v>
      </c>
      <c r="E878" s="5">
        <v>100</v>
      </c>
      <c r="F878" s="5">
        <v>100</v>
      </c>
      <c r="G878" s="5">
        <v>100</v>
      </c>
      <c r="H878" s="5">
        <v>100</v>
      </c>
      <c r="I878" s="5">
        <v>0</v>
      </c>
      <c r="J878" s="5">
        <v>100</v>
      </c>
      <c r="K878" s="15" t="s">
        <v>53</v>
      </c>
      <c r="L878" s="6">
        <v>3</v>
      </c>
      <c r="M878" s="6">
        <v>0</v>
      </c>
      <c r="N878" s="6">
        <v>0</v>
      </c>
      <c r="O878" s="5">
        <v>16</v>
      </c>
      <c r="P878" s="5">
        <v>0</v>
      </c>
      <c r="Q878" s="5">
        <v>0</v>
      </c>
      <c r="R878" s="5">
        <v>0</v>
      </c>
      <c r="S878" s="5">
        <v>0</v>
      </c>
      <c r="T878" s="5">
        <v>18</v>
      </c>
      <c r="U878" s="6">
        <v>0</v>
      </c>
      <c r="V878" s="5">
        <v>10</v>
      </c>
      <c r="W878" s="5">
        <v>5</v>
      </c>
      <c r="X878" s="16">
        <v>2000</v>
      </c>
      <c r="Y878" s="16">
        <v>7000</v>
      </c>
      <c r="Z878" s="16">
        <v>14000</v>
      </c>
      <c r="AA878" s="12" t="str">
        <f t="shared" si="154"/>
        <v>0/30</v>
      </c>
      <c r="AB878" s="12" t="str">
        <f t="shared" si="155"/>
        <v>100,100,100,100,0,100</v>
      </c>
      <c r="AC878" s="12">
        <f t="shared" si="156"/>
        <v>2</v>
      </c>
      <c r="AD878" s="12" t="str">
        <f t="shared" si="157"/>
        <v>2000/7000/14000</v>
      </c>
      <c r="AE878" s="12" t="str">
        <f t="shared" si="158"/>
        <v/>
      </c>
      <c r="AF878" s="12" t="str">
        <f t="shared" si="159"/>
        <v/>
      </c>
      <c r="AG878" s="12" t="str">
        <f t="shared" si="160"/>
        <v>0/5/</v>
      </c>
      <c r="AH878" s="12" t="str">
        <f t="shared" si="161"/>
        <v>16/18/</v>
      </c>
      <c r="AI878" s="12" t="str">
        <f t="shared" si="162"/>
        <v>10/5</v>
      </c>
    </row>
    <row r="879" spans="1:35" s="8" customFormat="1" ht="21.95" customHeight="1">
      <c r="A879" s="9">
        <v>877</v>
      </c>
      <c r="B879" s="17">
        <v>877</v>
      </c>
      <c r="C879" s="6">
        <v>30</v>
      </c>
      <c r="D879" s="6">
        <v>0</v>
      </c>
      <c r="E879" s="5">
        <v>100</v>
      </c>
      <c r="F879" s="5">
        <v>100</v>
      </c>
      <c r="G879" s="5">
        <v>100</v>
      </c>
      <c r="H879" s="5">
        <v>100</v>
      </c>
      <c r="I879" s="5">
        <v>100</v>
      </c>
      <c r="J879" s="5">
        <v>0</v>
      </c>
      <c r="K879" s="15" t="s">
        <v>52</v>
      </c>
      <c r="L879" s="6">
        <v>3</v>
      </c>
      <c r="M879" s="6">
        <v>6</v>
      </c>
      <c r="N879" s="6">
        <v>0</v>
      </c>
      <c r="O879" s="5">
        <v>0</v>
      </c>
      <c r="P879" s="5">
        <v>0</v>
      </c>
      <c r="Q879" s="5">
        <v>0</v>
      </c>
      <c r="R879" s="5">
        <v>0</v>
      </c>
      <c r="S879" s="5">
        <v>0</v>
      </c>
      <c r="T879" s="5">
        <v>0</v>
      </c>
      <c r="U879" s="6">
        <v>0</v>
      </c>
      <c r="V879" s="5">
        <v>10</v>
      </c>
      <c r="W879" s="5">
        <v>5</v>
      </c>
      <c r="X879" s="16">
        <v>2000</v>
      </c>
      <c r="Y879" s="16">
        <v>7000</v>
      </c>
      <c r="Z879" s="16">
        <v>14000</v>
      </c>
      <c r="AA879" s="12" t="str">
        <f t="shared" si="154"/>
        <v>0/30</v>
      </c>
      <c r="AB879" s="12" t="str">
        <f t="shared" si="155"/>
        <v>100,100,100,100,100,0</v>
      </c>
      <c r="AC879" s="12">
        <f t="shared" si="156"/>
        <v>1</v>
      </c>
      <c r="AD879" s="12" t="str">
        <f t="shared" si="157"/>
        <v>2000/7000/14000</v>
      </c>
      <c r="AE879" s="12" t="str">
        <f t="shared" si="158"/>
        <v>0/</v>
      </c>
      <c r="AF879" s="12" t="str">
        <f t="shared" si="159"/>
        <v>6/</v>
      </c>
      <c r="AG879" s="12" t="str">
        <f t="shared" si="160"/>
        <v/>
      </c>
      <c r="AH879" s="12" t="str">
        <f t="shared" si="161"/>
        <v/>
      </c>
      <c r="AI879" s="12" t="str">
        <f t="shared" si="162"/>
        <v>10/5</v>
      </c>
    </row>
    <row r="880" spans="1:35" s="8" customFormat="1" ht="21.95" customHeight="1">
      <c r="A880" s="9">
        <v>878</v>
      </c>
      <c r="B880" s="17">
        <v>878</v>
      </c>
      <c r="C880" s="6">
        <v>30</v>
      </c>
      <c r="D880" s="6">
        <v>0</v>
      </c>
      <c r="E880" s="5">
        <v>0</v>
      </c>
      <c r="F880" s="5">
        <v>100</v>
      </c>
      <c r="G880" s="5">
        <v>100</v>
      </c>
      <c r="H880" s="5">
        <v>100</v>
      </c>
      <c r="I880" s="5">
        <v>100</v>
      </c>
      <c r="J880" s="5">
        <v>100</v>
      </c>
      <c r="K880" s="15" t="s">
        <v>52</v>
      </c>
      <c r="L880" s="6">
        <v>3</v>
      </c>
      <c r="M880" s="6">
        <v>0</v>
      </c>
      <c r="N880" s="6">
        <v>6</v>
      </c>
      <c r="O880" s="5">
        <v>0</v>
      </c>
      <c r="P880" s="5">
        <v>0</v>
      </c>
      <c r="Q880" s="5">
        <v>0</v>
      </c>
      <c r="R880" s="5">
        <v>0</v>
      </c>
      <c r="S880" s="5">
        <v>0</v>
      </c>
      <c r="T880" s="5">
        <v>0</v>
      </c>
      <c r="U880" s="6">
        <v>0</v>
      </c>
      <c r="V880" s="5">
        <v>10</v>
      </c>
      <c r="W880" s="5">
        <v>5</v>
      </c>
      <c r="X880" s="16">
        <v>2000</v>
      </c>
      <c r="Y880" s="16">
        <v>7000</v>
      </c>
      <c r="Z880" s="16">
        <v>14000</v>
      </c>
      <c r="AA880" s="12" t="str">
        <f t="shared" si="154"/>
        <v>0/30</v>
      </c>
      <c r="AB880" s="12" t="str">
        <f t="shared" si="155"/>
        <v>0,100,100,100,100,100</v>
      </c>
      <c r="AC880" s="12">
        <f t="shared" si="156"/>
        <v>1</v>
      </c>
      <c r="AD880" s="12" t="str">
        <f t="shared" si="157"/>
        <v>2000/7000/14000</v>
      </c>
      <c r="AE880" s="12" t="str">
        <f t="shared" si="158"/>
        <v>1/</v>
      </c>
      <c r="AF880" s="12" t="str">
        <f t="shared" si="159"/>
        <v>6/</v>
      </c>
      <c r="AG880" s="12" t="str">
        <f t="shared" si="160"/>
        <v/>
      </c>
      <c r="AH880" s="12" t="str">
        <f t="shared" si="161"/>
        <v/>
      </c>
      <c r="AI880" s="12" t="str">
        <f t="shared" si="162"/>
        <v>10/5</v>
      </c>
    </row>
    <row r="881" spans="1:35" s="8" customFormat="1" ht="21.95" customHeight="1">
      <c r="A881" s="9">
        <v>879</v>
      </c>
      <c r="B881" s="17">
        <v>879</v>
      </c>
      <c r="C881" s="6">
        <v>0</v>
      </c>
      <c r="D881" s="6">
        <v>60</v>
      </c>
      <c r="E881" s="5">
        <v>100</v>
      </c>
      <c r="F881" s="5">
        <v>0</v>
      </c>
      <c r="G881" s="5">
        <v>100</v>
      </c>
      <c r="H881" s="5">
        <v>100</v>
      </c>
      <c r="I881" s="5">
        <v>100</v>
      </c>
      <c r="J881" s="5">
        <v>100</v>
      </c>
      <c r="K881" s="15" t="s">
        <v>54</v>
      </c>
      <c r="L881" s="6">
        <v>3</v>
      </c>
      <c r="M881" s="6">
        <v>0</v>
      </c>
      <c r="N881" s="6">
        <v>0</v>
      </c>
      <c r="O881" s="5">
        <v>0</v>
      </c>
      <c r="P881" s="5">
        <v>0</v>
      </c>
      <c r="Q881" s="5">
        <v>0</v>
      </c>
      <c r="R881" s="5">
        <v>0</v>
      </c>
      <c r="S881" s="5">
        <v>0</v>
      </c>
      <c r="T881" s="5">
        <v>0</v>
      </c>
      <c r="U881" s="6">
        <v>0</v>
      </c>
      <c r="V881" s="5">
        <v>10</v>
      </c>
      <c r="W881" s="5">
        <v>5</v>
      </c>
      <c r="X881" s="16">
        <v>2000</v>
      </c>
      <c r="Y881" s="16">
        <v>7000</v>
      </c>
      <c r="Z881" s="16">
        <v>14000</v>
      </c>
      <c r="AA881" s="12" t="str">
        <f t="shared" si="154"/>
        <v>1/60</v>
      </c>
      <c r="AB881" s="12" t="str">
        <f t="shared" si="155"/>
        <v>100,0,100,100,100,100</v>
      </c>
      <c r="AC881" s="12">
        <f t="shared" si="156"/>
        <v>3</v>
      </c>
      <c r="AD881" s="12" t="str">
        <f t="shared" si="157"/>
        <v>2000/7000/14000</v>
      </c>
      <c r="AE881" s="12" t="str">
        <f t="shared" si="158"/>
        <v/>
      </c>
      <c r="AF881" s="12" t="str">
        <f t="shared" si="159"/>
        <v/>
      </c>
      <c r="AG881" s="12" t="str">
        <f t="shared" si="160"/>
        <v/>
      </c>
      <c r="AH881" s="12" t="str">
        <f t="shared" si="161"/>
        <v/>
      </c>
      <c r="AI881" s="12" t="str">
        <f t="shared" si="162"/>
        <v>10/5</v>
      </c>
    </row>
    <row r="882" spans="1:35" s="8" customFormat="1" ht="21.95" customHeight="1">
      <c r="A882" s="9">
        <v>880</v>
      </c>
      <c r="B882" s="17">
        <v>880</v>
      </c>
      <c r="C882" s="6">
        <v>0</v>
      </c>
      <c r="D882" s="6">
        <v>60</v>
      </c>
      <c r="E882" s="5">
        <v>100</v>
      </c>
      <c r="F882" s="5">
        <v>100</v>
      </c>
      <c r="G882" s="5">
        <v>0</v>
      </c>
      <c r="H882" s="5">
        <v>100</v>
      </c>
      <c r="I882" s="5">
        <v>100</v>
      </c>
      <c r="J882" s="5">
        <v>100</v>
      </c>
      <c r="K882" s="15" t="s">
        <v>56</v>
      </c>
      <c r="L882" s="6">
        <v>3</v>
      </c>
      <c r="M882" s="6">
        <v>0</v>
      </c>
      <c r="N882" s="6">
        <v>0</v>
      </c>
      <c r="O882" s="5">
        <v>0</v>
      </c>
      <c r="P882" s="5">
        <v>0</v>
      </c>
      <c r="Q882" s="5">
        <v>0</v>
      </c>
      <c r="R882" s="5">
        <v>0</v>
      </c>
      <c r="S882" s="5">
        <v>0</v>
      </c>
      <c r="T882" s="5">
        <v>0</v>
      </c>
      <c r="U882" s="6">
        <v>0</v>
      </c>
      <c r="V882" s="5">
        <v>10</v>
      </c>
      <c r="W882" s="5">
        <v>5</v>
      </c>
      <c r="X882" s="16">
        <v>2000</v>
      </c>
      <c r="Y882" s="16">
        <v>7000</v>
      </c>
      <c r="Z882" s="16">
        <v>14000</v>
      </c>
      <c r="AA882" s="12" t="str">
        <f t="shared" si="154"/>
        <v>1/60</v>
      </c>
      <c r="AB882" s="12" t="str">
        <f t="shared" si="155"/>
        <v>100,100,0,100,100,100</v>
      </c>
      <c r="AC882" s="12">
        <f t="shared" si="156"/>
        <v>5</v>
      </c>
      <c r="AD882" s="12" t="str">
        <f t="shared" si="157"/>
        <v>2000/7000/14000</v>
      </c>
      <c r="AE882" s="12" t="str">
        <f t="shared" si="158"/>
        <v/>
      </c>
      <c r="AF882" s="12" t="str">
        <f t="shared" si="159"/>
        <v/>
      </c>
      <c r="AG882" s="12" t="str">
        <f t="shared" si="160"/>
        <v/>
      </c>
      <c r="AH882" s="12" t="str">
        <f t="shared" si="161"/>
        <v/>
      </c>
      <c r="AI882" s="12" t="str">
        <f t="shared" si="162"/>
        <v>10/5</v>
      </c>
    </row>
    <row r="883" spans="1:35" s="8" customFormat="1" ht="21.95" customHeight="1">
      <c r="A883" s="9">
        <v>881</v>
      </c>
      <c r="B883" s="17">
        <v>881</v>
      </c>
      <c r="C883" s="6">
        <v>0</v>
      </c>
      <c r="D883" s="6">
        <v>60</v>
      </c>
      <c r="E883" s="5">
        <v>100</v>
      </c>
      <c r="F883" s="5">
        <v>100</v>
      </c>
      <c r="G883" s="5">
        <v>100</v>
      </c>
      <c r="H883" s="5">
        <v>0</v>
      </c>
      <c r="I883" s="5">
        <v>100</v>
      </c>
      <c r="J883" s="5">
        <v>100</v>
      </c>
      <c r="K883" s="15" t="s">
        <v>53</v>
      </c>
      <c r="L883" s="6">
        <v>3</v>
      </c>
      <c r="M883" s="6">
        <v>0</v>
      </c>
      <c r="N883" s="6">
        <v>0</v>
      </c>
      <c r="O883" s="5">
        <v>0</v>
      </c>
      <c r="P883" s="5">
        <v>0</v>
      </c>
      <c r="Q883" s="5">
        <v>0</v>
      </c>
      <c r="R883" s="5">
        <v>0</v>
      </c>
      <c r="S883" s="5">
        <v>18</v>
      </c>
      <c r="T883" s="5">
        <v>16</v>
      </c>
      <c r="U883" s="6">
        <v>0</v>
      </c>
      <c r="V883" s="5">
        <v>10</v>
      </c>
      <c r="W883" s="5">
        <v>5</v>
      </c>
      <c r="X883" s="16">
        <v>2000</v>
      </c>
      <c r="Y883" s="16">
        <v>7000</v>
      </c>
      <c r="Z883" s="16">
        <v>14000</v>
      </c>
      <c r="AA883" s="12" t="str">
        <f t="shared" si="154"/>
        <v>1/60</v>
      </c>
      <c r="AB883" s="12" t="str">
        <f t="shared" si="155"/>
        <v>100,100,100,0,100,100</v>
      </c>
      <c r="AC883" s="12">
        <f t="shared" si="156"/>
        <v>2</v>
      </c>
      <c r="AD883" s="12" t="str">
        <f t="shared" si="157"/>
        <v>2000/7000/14000</v>
      </c>
      <c r="AE883" s="12" t="str">
        <f t="shared" si="158"/>
        <v/>
      </c>
      <c r="AF883" s="12" t="str">
        <f t="shared" si="159"/>
        <v/>
      </c>
      <c r="AG883" s="12" t="str">
        <f t="shared" si="160"/>
        <v>4/5/</v>
      </c>
      <c r="AH883" s="12" t="str">
        <f t="shared" si="161"/>
        <v>18/16/</v>
      </c>
      <c r="AI883" s="12" t="str">
        <f t="shared" si="162"/>
        <v>10/5</v>
      </c>
    </row>
    <row r="884" spans="1:35" s="8" customFormat="1" ht="21.95" customHeight="1">
      <c r="A884" s="9">
        <v>882</v>
      </c>
      <c r="B884" s="17">
        <v>882</v>
      </c>
      <c r="C884" s="6">
        <v>30</v>
      </c>
      <c r="D884" s="6">
        <v>0</v>
      </c>
      <c r="E884" s="5">
        <v>100</v>
      </c>
      <c r="F884" s="5">
        <v>100</v>
      </c>
      <c r="G884" s="5">
        <v>100</v>
      </c>
      <c r="H884" s="5">
        <v>100</v>
      </c>
      <c r="I884" s="5">
        <v>0</v>
      </c>
      <c r="J884" s="5">
        <v>100</v>
      </c>
      <c r="K884" s="15" t="s">
        <v>53</v>
      </c>
      <c r="L884" s="6">
        <v>3</v>
      </c>
      <c r="M884" s="6">
        <v>0</v>
      </c>
      <c r="N884" s="6">
        <v>0</v>
      </c>
      <c r="O884" s="5">
        <v>16</v>
      </c>
      <c r="P884" s="5">
        <v>0</v>
      </c>
      <c r="Q884" s="5">
        <v>0</v>
      </c>
      <c r="R884" s="5">
        <v>0</v>
      </c>
      <c r="S884" s="5">
        <v>0</v>
      </c>
      <c r="T884" s="5">
        <v>18</v>
      </c>
      <c r="U884" s="6">
        <v>0</v>
      </c>
      <c r="V884" s="5">
        <v>10</v>
      </c>
      <c r="W884" s="5">
        <v>5</v>
      </c>
      <c r="X884" s="16">
        <v>2000</v>
      </c>
      <c r="Y884" s="16">
        <v>7000</v>
      </c>
      <c r="Z884" s="16">
        <v>14000</v>
      </c>
      <c r="AA884" s="12" t="str">
        <f t="shared" si="154"/>
        <v>0/30</v>
      </c>
      <c r="AB884" s="12" t="str">
        <f t="shared" si="155"/>
        <v>100,100,100,100,0,100</v>
      </c>
      <c r="AC884" s="12">
        <f t="shared" si="156"/>
        <v>2</v>
      </c>
      <c r="AD884" s="12" t="str">
        <f t="shared" si="157"/>
        <v>2000/7000/14000</v>
      </c>
      <c r="AE884" s="12" t="str">
        <f t="shared" si="158"/>
        <v/>
      </c>
      <c r="AF884" s="12" t="str">
        <f t="shared" si="159"/>
        <v/>
      </c>
      <c r="AG884" s="12" t="str">
        <f t="shared" si="160"/>
        <v>0/5/</v>
      </c>
      <c r="AH884" s="12" t="str">
        <f t="shared" si="161"/>
        <v>16/18/</v>
      </c>
      <c r="AI884" s="12" t="str">
        <f t="shared" si="162"/>
        <v>10/5</v>
      </c>
    </row>
    <row r="885" spans="1:35" s="8" customFormat="1" ht="21.95" customHeight="1">
      <c r="A885" s="9">
        <v>883</v>
      </c>
      <c r="B885" s="17">
        <v>883</v>
      </c>
      <c r="C885" s="6">
        <v>30</v>
      </c>
      <c r="D885" s="6">
        <v>0</v>
      </c>
      <c r="E885" s="5">
        <v>100</v>
      </c>
      <c r="F885" s="5">
        <v>100</v>
      </c>
      <c r="G885" s="5">
        <v>100</v>
      </c>
      <c r="H885" s="5">
        <v>100</v>
      </c>
      <c r="I885" s="5">
        <v>100</v>
      </c>
      <c r="J885" s="5">
        <v>0</v>
      </c>
      <c r="K885" s="15" t="s">
        <v>52</v>
      </c>
      <c r="L885" s="6">
        <v>3</v>
      </c>
      <c r="M885" s="6">
        <v>6</v>
      </c>
      <c r="N885" s="6">
        <v>0</v>
      </c>
      <c r="O885" s="5">
        <v>0</v>
      </c>
      <c r="P885" s="5">
        <v>0</v>
      </c>
      <c r="Q885" s="5">
        <v>0</v>
      </c>
      <c r="R885" s="5">
        <v>0</v>
      </c>
      <c r="S885" s="5">
        <v>0</v>
      </c>
      <c r="T885" s="5">
        <v>0</v>
      </c>
      <c r="U885" s="6">
        <v>0</v>
      </c>
      <c r="V885" s="5">
        <v>10</v>
      </c>
      <c r="W885" s="5">
        <v>5</v>
      </c>
      <c r="X885" s="16">
        <v>2000</v>
      </c>
      <c r="Y885" s="16">
        <v>7000</v>
      </c>
      <c r="Z885" s="16">
        <v>14000</v>
      </c>
      <c r="AA885" s="12" t="str">
        <f t="shared" si="154"/>
        <v>0/30</v>
      </c>
      <c r="AB885" s="12" t="str">
        <f t="shared" si="155"/>
        <v>100,100,100,100,100,0</v>
      </c>
      <c r="AC885" s="12">
        <f t="shared" si="156"/>
        <v>1</v>
      </c>
      <c r="AD885" s="12" t="str">
        <f t="shared" si="157"/>
        <v>2000/7000/14000</v>
      </c>
      <c r="AE885" s="12" t="str">
        <f t="shared" si="158"/>
        <v>0/</v>
      </c>
      <c r="AF885" s="12" t="str">
        <f t="shared" si="159"/>
        <v>6/</v>
      </c>
      <c r="AG885" s="12" t="str">
        <f t="shared" si="160"/>
        <v/>
      </c>
      <c r="AH885" s="12" t="str">
        <f t="shared" si="161"/>
        <v/>
      </c>
      <c r="AI885" s="12" t="str">
        <f t="shared" si="162"/>
        <v>10/5</v>
      </c>
    </row>
    <row r="886" spans="1:35" s="8" customFormat="1" ht="21.95" customHeight="1">
      <c r="A886" s="9">
        <v>884</v>
      </c>
      <c r="B886" s="17">
        <v>884</v>
      </c>
      <c r="C886" s="6">
        <v>30</v>
      </c>
      <c r="D886" s="6">
        <v>0</v>
      </c>
      <c r="E886" s="5">
        <v>0</v>
      </c>
      <c r="F886" s="5">
        <v>100</v>
      </c>
      <c r="G886" s="5">
        <v>100</v>
      </c>
      <c r="H886" s="5">
        <v>100</v>
      </c>
      <c r="I886" s="5">
        <v>100</v>
      </c>
      <c r="J886" s="5">
        <v>100</v>
      </c>
      <c r="K886" s="15" t="s">
        <v>52</v>
      </c>
      <c r="L886" s="6">
        <v>3</v>
      </c>
      <c r="M886" s="6">
        <v>0</v>
      </c>
      <c r="N886" s="6">
        <v>6</v>
      </c>
      <c r="O886" s="5">
        <v>0</v>
      </c>
      <c r="P886" s="5">
        <v>0</v>
      </c>
      <c r="Q886" s="5">
        <v>0</v>
      </c>
      <c r="R886" s="5">
        <v>0</v>
      </c>
      <c r="S886" s="5">
        <v>0</v>
      </c>
      <c r="T886" s="5">
        <v>0</v>
      </c>
      <c r="U886" s="6">
        <v>0</v>
      </c>
      <c r="V886" s="5">
        <v>10</v>
      </c>
      <c r="W886" s="5">
        <v>5</v>
      </c>
      <c r="X886" s="16">
        <v>2000</v>
      </c>
      <c r="Y886" s="16">
        <v>7000</v>
      </c>
      <c r="Z886" s="16">
        <v>14000</v>
      </c>
      <c r="AA886" s="12" t="str">
        <f t="shared" si="154"/>
        <v>0/30</v>
      </c>
      <c r="AB886" s="12" t="str">
        <f t="shared" si="155"/>
        <v>0,100,100,100,100,100</v>
      </c>
      <c r="AC886" s="12">
        <f t="shared" si="156"/>
        <v>1</v>
      </c>
      <c r="AD886" s="12" t="str">
        <f t="shared" si="157"/>
        <v>2000/7000/14000</v>
      </c>
      <c r="AE886" s="12" t="str">
        <f t="shared" si="158"/>
        <v>1/</v>
      </c>
      <c r="AF886" s="12" t="str">
        <f t="shared" si="159"/>
        <v>6/</v>
      </c>
      <c r="AG886" s="12" t="str">
        <f t="shared" si="160"/>
        <v/>
      </c>
      <c r="AH886" s="12" t="str">
        <f t="shared" si="161"/>
        <v/>
      </c>
      <c r="AI886" s="12" t="str">
        <f t="shared" si="162"/>
        <v>10/5</v>
      </c>
    </row>
    <row r="887" spans="1:35" s="8" customFormat="1" ht="21.95" customHeight="1">
      <c r="A887" s="9">
        <v>885</v>
      </c>
      <c r="B887" s="17">
        <v>885</v>
      </c>
      <c r="C887" s="6">
        <v>0</v>
      </c>
      <c r="D887" s="6">
        <v>60</v>
      </c>
      <c r="E887" s="5">
        <v>100</v>
      </c>
      <c r="F887" s="5">
        <v>0</v>
      </c>
      <c r="G887" s="5">
        <v>100</v>
      </c>
      <c r="H887" s="5">
        <v>100</v>
      </c>
      <c r="I887" s="5">
        <v>100</v>
      </c>
      <c r="J887" s="5">
        <v>100</v>
      </c>
      <c r="K887" s="15" t="s">
        <v>54</v>
      </c>
      <c r="L887" s="6">
        <v>3</v>
      </c>
      <c r="M887" s="6">
        <v>0</v>
      </c>
      <c r="N887" s="6">
        <v>0</v>
      </c>
      <c r="O887" s="5">
        <v>0</v>
      </c>
      <c r="P887" s="5">
        <v>0</v>
      </c>
      <c r="Q887" s="5">
        <v>0</v>
      </c>
      <c r="R887" s="5">
        <v>0</v>
      </c>
      <c r="S887" s="5">
        <v>0</v>
      </c>
      <c r="T887" s="5">
        <v>0</v>
      </c>
      <c r="U887" s="6">
        <v>0</v>
      </c>
      <c r="V887" s="5">
        <v>10</v>
      </c>
      <c r="W887" s="5">
        <v>5</v>
      </c>
      <c r="X887" s="16">
        <v>2000</v>
      </c>
      <c r="Y887" s="16">
        <v>7000</v>
      </c>
      <c r="Z887" s="16">
        <v>14000</v>
      </c>
      <c r="AA887" s="12" t="str">
        <f t="shared" si="154"/>
        <v>1/60</v>
      </c>
      <c r="AB887" s="12" t="str">
        <f t="shared" si="155"/>
        <v>100,0,100,100,100,100</v>
      </c>
      <c r="AC887" s="12">
        <f t="shared" si="156"/>
        <v>3</v>
      </c>
      <c r="AD887" s="12" t="str">
        <f t="shared" si="157"/>
        <v>2000/7000/14000</v>
      </c>
      <c r="AE887" s="12" t="str">
        <f t="shared" si="158"/>
        <v/>
      </c>
      <c r="AF887" s="12" t="str">
        <f t="shared" si="159"/>
        <v/>
      </c>
      <c r="AG887" s="12" t="str">
        <f t="shared" si="160"/>
        <v/>
      </c>
      <c r="AH887" s="12" t="str">
        <f t="shared" si="161"/>
        <v/>
      </c>
      <c r="AI887" s="12" t="str">
        <f t="shared" si="162"/>
        <v>10/5</v>
      </c>
    </row>
    <row r="888" spans="1:35" s="8" customFormat="1" ht="21.95" customHeight="1">
      <c r="A888" s="9">
        <v>886</v>
      </c>
      <c r="B888" s="17">
        <v>886</v>
      </c>
      <c r="C888" s="6">
        <v>0</v>
      </c>
      <c r="D888" s="6">
        <v>60</v>
      </c>
      <c r="E888" s="5">
        <v>100</v>
      </c>
      <c r="F888" s="5">
        <v>100</v>
      </c>
      <c r="G888" s="5">
        <v>0</v>
      </c>
      <c r="H888" s="5">
        <v>100</v>
      </c>
      <c r="I888" s="5">
        <v>100</v>
      </c>
      <c r="J888" s="5">
        <v>100</v>
      </c>
      <c r="K888" s="15" t="s">
        <v>54</v>
      </c>
      <c r="L888" s="6">
        <v>3</v>
      </c>
      <c r="M888" s="6">
        <v>0</v>
      </c>
      <c r="N888" s="6">
        <v>0</v>
      </c>
      <c r="O888" s="5">
        <v>0</v>
      </c>
      <c r="P888" s="5">
        <v>0</v>
      </c>
      <c r="Q888" s="5">
        <v>0</v>
      </c>
      <c r="R888" s="5">
        <v>0</v>
      </c>
      <c r="S888" s="5">
        <v>0</v>
      </c>
      <c r="T888" s="5">
        <v>0</v>
      </c>
      <c r="U888" s="6">
        <v>0</v>
      </c>
      <c r="V888" s="5">
        <v>10</v>
      </c>
      <c r="W888" s="5">
        <v>5</v>
      </c>
      <c r="X888" s="16">
        <v>2000</v>
      </c>
      <c r="Y888" s="16">
        <v>7000</v>
      </c>
      <c r="Z888" s="16">
        <v>14000</v>
      </c>
      <c r="AA888" s="12" t="str">
        <f t="shared" si="154"/>
        <v>1/60</v>
      </c>
      <c r="AB888" s="12" t="str">
        <f t="shared" si="155"/>
        <v>100,100,0,100,100,100</v>
      </c>
      <c r="AC888" s="12">
        <f t="shared" si="156"/>
        <v>3</v>
      </c>
      <c r="AD888" s="12" t="str">
        <f t="shared" si="157"/>
        <v>2000/7000/14000</v>
      </c>
      <c r="AE888" s="12" t="str">
        <f t="shared" si="158"/>
        <v/>
      </c>
      <c r="AF888" s="12" t="str">
        <f t="shared" si="159"/>
        <v/>
      </c>
      <c r="AG888" s="12" t="str">
        <f t="shared" si="160"/>
        <v/>
      </c>
      <c r="AH888" s="12" t="str">
        <f t="shared" si="161"/>
        <v/>
      </c>
      <c r="AI888" s="12" t="str">
        <f t="shared" si="162"/>
        <v>10/5</v>
      </c>
    </row>
    <row r="889" spans="1:35" s="8" customFormat="1" ht="21.95" customHeight="1">
      <c r="A889" s="9">
        <v>887</v>
      </c>
      <c r="B889" s="17">
        <v>887</v>
      </c>
      <c r="C889" s="6">
        <v>30</v>
      </c>
      <c r="D889" s="6">
        <v>0</v>
      </c>
      <c r="E889" s="5">
        <v>100</v>
      </c>
      <c r="F889" s="5">
        <v>100</v>
      </c>
      <c r="G889" s="5">
        <v>100</v>
      </c>
      <c r="H889" s="5">
        <v>0</v>
      </c>
      <c r="I889" s="5">
        <v>100</v>
      </c>
      <c r="J889" s="5">
        <v>100</v>
      </c>
      <c r="K889" s="15" t="s">
        <v>55</v>
      </c>
      <c r="L889" s="6">
        <v>3</v>
      </c>
      <c r="M889" s="6">
        <v>0</v>
      </c>
      <c r="N889" s="6">
        <v>0</v>
      </c>
      <c r="O889" s="5">
        <v>0</v>
      </c>
      <c r="P889" s="5">
        <v>0</v>
      </c>
      <c r="Q889" s="5">
        <v>0</v>
      </c>
      <c r="R889" s="5">
        <v>0</v>
      </c>
      <c r="S889" s="5">
        <v>0</v>
      </c>
      <c r="T889" s="5">
        <v>0</v>
      </c>
      <c r="U889" s="6">
        <v>5</v>
      </c>
      <c r="V889" s="5">
        <v>10</v>
      </c>
      <c r="W889" s="5">
        <v>5</v>
      </c>
      <c r="X889" s="16">
        <v>2000</v>
      </c>
      <c r="Y889" s="16">
        <v>7000</v>
      </c>
      <c r="Z889" s="16">
        <v>14000</v>
      </c>
      <c r="AA889" s="12" t="str">
        <f t="shared" si="154"/>
        <v>0/30</v>
      </c>
      <c r="AB889" s="12" t="str">
        <f t="shared" si="155"/>
        <v>100,100,100,0,100,100</v>
      </c>
      <c r="AC889" s="12">
        <f t="shared" si="156"/>
        <v>4</v>
      </c>
      <c r="AD889" s="12" t="str">
        <f t="shared" si="157"/>
        <v>2000/7000/14000</v>
      </c>
      <c r="AE889" s="12" t="str">
        <f t="shared" si="158"/>
        <v/>
      </c>
      <c r="AF889" s="12" t="str">
        <f t="shared" si="159"/>
        <v/>
      </c>
      <c r="AG889" s="12" t="str">
        <f t="shared" si="160"/>
        <v/>
      </c>
      <c r="AH889" s="12" t="str">
        <f t="shared" si="161"/>
        <v/>
      </c>
      <c r="AI889" s="12" t="str">
        <f t="shared" si="162"/>
        <v>10/5</v>
      </c>
    </row>
    <row r="890" spans="1:35" s="8" customFormat="1" ht="21.95" customHeight="1">
      <c r="A890" s="9">
        <v>888</v>
      </c>
      <c r="B890" s="17">
        <v>888</v>
      </c>
      <c r="C890" s="6">
        <v>30</v>
      </c>
      <c r="D890" s="6">
        <v>0</v>
      </c>
      <c r="E890" s="5">
        <v>100</v>
      </c>
      <c r="F890" s="5">
        <v>100</v>
      </c>
      <c r="G890" s="5">
        <v>100</v>
      </c>
      <c r="H890" s="5">
        <v>100</v>
      </c>
      <c r="I890" s="5">
        <v>0</v>
      </c>
      <c r="J890" s="5">
        <v>100</v>
      </c>
      <c r="K890" s="15" t="s">
        <v>55</v>
      </c>
      <c r="L890" s="6">
        <v>3</v>
      </c>
      <c r="M890" s="6">
        <v>0</v>
      </c>
      <c r="N890" s="6">
        <v>0</v>
      </c>
      <c r="O890" s="5">
        <v>0</v>
      </c>
      <c r="P890" s="5">
        <v>0</v>
      </c>
      <c r="Q890" s="5">
        <v>0</v>
      </c>
      <c r="R890" s="5">
        <v>0</v>
      </c>
      <c r="S890" s="5">
        <v>0</v>
      </c>
      <c r="T890" s="5">
        <v>0</v>
      </c>
      <c r="U890" s="6">
        <v>5</v>
      </c>
      <c r="V890" s="5">
        <v>10</v>
      </c>
      <c r="W890" s="5">
        <v>5</v>
      </c>
      <c r="X890" s="16">
        <v>2000</v>
      </c>
      <c r="Y890" s="16">
        <v>7000</v>
      </c>
      <c r="Z890" s="16">
        <v>14000</v>
      </c>
      <c r="AA890" s="12" t="str">
        <f t="shared" si="154"/>
        <v>0/30</v>
      </c>
      <c r="AB890" s="12" t="str">
        <f t="shared" si="155"/>
        <v>100,100,100,100,0,100</v>
      </c>
      <c r="AC890" s="12">
        <f t="shared" si="156"/>
        <v>4</v>
      </c>
      <c r="AD890" s="12" t="str">
        <f t="shared" si="157"/>
        <v>2000/7000/14000</v>
      </c>
      <c r="AE890" s="12" t="str">
        <f t="shared" si="158"/>
        <v/>
      </c>
      <c r="AF890" s="12" t="str">
        <f t="shared" si="159"/>
        <v/>
      </c>
      <c r="AG890" s="12" t="str">
        <f t="shared" si="160"/>
        <v/>
      </c>
      <c r="AH890" s="12" t="str">
        <f t="shared" si="161"/>
        <v/>
      </c>
      <c r="AI890" s="12" t="str">
        <f t="shared" si="162"/>
        <v>10/5</v>
      </c>
    </row>
    <row r="891" spans="1:35" s="8" customFormat="1" ht="21.95" customHeight="1">
      <c r="A891" s="9">
        <v>889</v>
      </c>
      <c r="B891" s="17">
        <v>889</v>
      </c>
      <c r="C891" s="6">
        <v>30</v>
      </c>
      <c r="D891" s="6">
        <v>0</v>
      </c>
      <c r="E891" s="5">
        <v>100</v>
      </c>
      <c r="F891" s="5">
        <v>100</v>
      </c>
      <c r="G891" s="5">
        <v>100</v>
      </c>
      <c r="H891" s="5">
        <v>100</v>
      </c>
      <c r="I891" s="5">
        <v>100</v>
      </c>
      <c r="J891" s="5">
        <v>0</v>
      </c>
      <c r="K891" s="15" t="s">
        <v>56</v>
      </c>
      <c r="L891" s="6">
        <v>3</v>
      </c>
      <c r="M891" s="6">
        <v>0</v>
      </c>
      <c r="N891" s="6">
        <v>0</v>
      </c>
      <c r="O891" s="5">
        <v>0</v>
      </c>
      <c r="P891" s="5">
        <v>0</v>
      </c>
      <c r="Q891" s="5">
        <v>0</v>
      </c>
      <c r="R891" s="5">
        <v>0</v>
      </c>
      <c r="S891" s="5">
        <v>0</v>
      </c>
      <c r="T891" s="5">
        <v>0</v>
      </c>
      <c r="U891" s="6">
        <v>0</v>
      </c>
      <c r="V891" s="5">
        <v>10</v>
      </c>
      <c r="W891" s="5">
        <v>5</v>
      </c>
      <c r="X891" s="16">
        <v>2000</v>
      </c>
      <c r="Y891" s="16">
        <v>7000</v>
      </c>
      <c r="Z891" s="16">
        <v>14000</v>
      </c>
      <c r="AA891" s="12" t="str">
        <f t="shared" si="154"/>
        <v>0/30</v>
      </c>
      <c r="AB891" s="12" t="str">
        <f t="shared" si="155"/>
        <v>100,100,100,100,100,0</v>
      </c>
      <c r="AC891" s="12">
        <f t="shared" si="156"/>
        <v>5</v>
      </c>
      <c r="AD891" s="12" t="str">
        <f t="shared" si="157"/>
        <v>2000/7000/14000</v>
      </c>
      <c r="AE891" s="12" t="str">
        <f t="shared" si="158"/>
        <v/>
      </c>
      <c r="AF891" s="12" t="str">
        <f t="shared" si="159"/>
        <v/>
      </c>
      <c r="AG891" s="12" t="str">
        <f t="shared" si="160"/>
        <v/>
      </c>
      <c r="AH891" s="12" t="str">
        <f t="shared" si="161"/>
        <v/>
      </c>
      <c r="AI891" s="12" t="str">
        <f t="shared" si="162"/>
        <v>10/5</v>
      </c>
    </row>
    <row r="892" spans="1:35" s="8" customFormat="1" ht="21.95" customHeight="1">
      <c r="A892" s="9">
        <v>890</v>
      </c>
      <c r="B892" s="17">
        <v>890</v>
      </c>
      <c r="C892" s="6">
        <v>30</v>
      </c>
      <c r="D892" s="6">
        <v>0</v>
      </c>
      <c r="E892" s="5">
        <v>0</v>
      </c>
      <c r="F892" s="5">
        <v>100</v>
      </c>
      <c r="G892" s="5">
        <v>100</v>
      </c>
      <c r="H892" s="5">
        <v>100</v>
      </c>
      <c r="I892" s="5">
        <v>100</v>
      </c>
      <c r="J892" s="5">
        <v>100</v>
      </c>
      <c r="K892" s="15" t="s">
        <v>56</v>
      </c>
      <c r="L892" s="6">
        <v>3</v>
      </c>
      <c r="M892" s="6">
        <v>0</v>
      </c>
      <c r="N892" s="6">
        <v>0</v>
      </c>
      <c r="O892" s="5">
        <v>0</v>
      </c>
      <c r="P892" s="5">
        <v>0</v>
      </c>
      <c r="Q892" s="5">
        <v>0</v>
      </c>
      <c r="R892" s="5">
        <v>0</v>
      </c>
      <c r="S892" s="5">
        <v>0</v>
      </c>
      <c r="T892" s="5">
        <v>0</v>
      </c>
      <c r="U892" s="6">
        <v>0</v>
      </c>
      <c r="V892" s="5">
        <v>10</v>
      </c>
      <c r="W892" s="5">
        <v>5</v>
      </c>
      <c r="X892" s="16">
        <v>2000</v>
      </c>
      <c r="Y892" s="16">
        <v>7000</v>
      </c>
      <c r="Z892" s="16">
        <v>14000</v>
      </c>
      <c r="AA892" s="12" t="str">
        <f t="shared" si="154"/>
        <v>0/30</v>
      </c>
      <c r="AB892" s="12" t="str">
        <f t="shared" si="155"/>
        <v>0,100,100,100,100,100</v>
      </c>
      <c r="AC892" s="12">
        <f t="shared" si="156"/>
        <v>5</v>
      </c>
      <c r="AD892" s="12" t="str">
        <f t="shared" si="157"/>
        <v>2000/7000/14000</v>
      </c>
      <c r="AE892" s="12" t="str">
        <f t="shared" si="158"/>
        <v/>
      </c>
      <c r="AF892" s="12" t="str">
        <f t="shared" si="159"/>
        <v/>
      </c>
      <c r="AG892" s="12" t="str">
        <f t="shared" si="160"/>
        <v/>
      </c>
      <c r="AH892" s="12" t="str">
        <f t="shared" si="161"/>
        <v/>
      </c>
      <c r="AI892" s="12" t="str">
        <f t="shared" si="162"/>
        <v>10/5</v>
      </c>
    </row>
    <row r="893" spans="1:35" s="8" customFormat="1" ht="21.95" customHeight="1">
      <c r="A893" s="9">
        <v>891</v>
      </c>
      <c r="B893" s="17">
        <v>891</v>
      </c>
      <c r="C893" s="6">
        <v>30</v>
      </c>
      <c r="D893" s="6">
        <v>0</v>
      </c>
      <c r="E893" s="5">
        <v>100</v>
      </c>
      <c r="F893" s="5">
        <v>0</v>
      </c>
      <c r="G893" s="5">
        <v>100</v>
      </c>
      <c r="H893" s="5">
        <v>100</v>
      </c>
      <c r="I893" s="5">
        <v>100</v>
      </c>
      <c r="J893" s="5">
        <v>100</v>
      </c>
      <c r="K893" s="15" t="s">
        <v>53</v>
      </c>
      <c r="L893" s="6">
        <v>3</v>
      </c>
      <c r="M893" s="6">
        <v>0</v>
      </c>
      <c r="N893" s="6">
        <v>0</v>
      </c>
      <c r="O893" s="5">
        <v>0</v>
      </c>
      <c r="P893" s="5">
        <v>0</v>
      </c>
      <c r="Q893" s="5">
        <v>20</v>
      </c>
      <c r="R893" s="5">
        <v>24</v>
      </c>
      <c r="S893" s="5">
        <v>0</v>
      </c>
      <c r="T893" s="5">
        <v>0</v>
      </c>
      <c r="U893" s="6">
        <v>0</v>
      </c>
      <c r="V893" s="5">
        <v>10</v>
      </c>
      <c r="W893" s="5">
        <v>5</v>
      </c>
      <c r="X893" s="16">
        <v>2000</v>
      </c>
      <c r="Y893" s="16">
        <v>7000</v>
      </c>
      <c r="Z893" s="16">
        <v>14000</v>
      </c>
      <c r="AA893" s="12" t="str">
        <f t="shared" si="154"/>
        <v>0/30</v>
      </c>
      <c r="AB893" s="12" t="str">
        <f t="shared" si="155"/>
        <v>100,0,100,100,100,100</v>
      </c>
      <c r="AC893" s="12">
        <f t="shared" si="156"/>
        <v>2</v>
      </c>
      <c r="AD893" s="12" t="str">
        <f t="shared" si="157"/>
        <v>2000/7000/14000</v>
      </c>
      <c r="AE893" s="12" t="str">
        <f t="shared" si="158"/>
        <v/>
      </c>
      <c r="AF893" s="12" t="str">
        <f t="shared" si="159"/>
        <v/>
      </c>
      <c r="AG893" s="12" t="str">
        <f t="shared" si="160"/>
        <v>2/3/</v>
      </c>
      <c r="AH893" s="12" t="str">
        <f t="shared" si="161"/>
        <v>20/24/</v>
      </c>
      <c r="AI893" s="12" t="str">
        <f t="shared" si="162"/>
        <v>10/5</v>
      </c>
    </row>
    <row r="894" spans="1:35" s="8" customFormat="1" ht="21.95" customHeight="1">
      <c r="A894" s="9">
        <v>892</v>
      </c>
      <c r="B894" s="17">
        <v>892</v>
      </c>
      <c r="C894" s="6">
        <v>30</v>
      </c>
      <c r="D894" s="6">
        <v>0</v>
      </c>
      <c r="E894" s="5">
        <v>100</v>
      </c>
      <c r="F894" s="5">
        <v>100</v>
      </c>
      <c r="G894" s="5">
        <v>0</v>
      </c>
      <c r="H894" s="5">
        <v>100</v>
      </c>
      <c r="I894" s="5">
        <v>100</v>
      </c>
      <c r="J894" s="5">
        <v>100</v>
      </c>
      <c r="K894" s="15" t="s">
        <v>53</v>
      </c>
      <c r="L894" s="6">
        <v>3</v>
      </c>
      <c r="M894" s="6">
        <v>0</v>
      </c>
      <c r="N894" s="6">
        <v>0</v>
      </c>
      <c r="O894" s="5">
        <v>0</v>
      </c>
      <c r="P894" s="5">
        <v>0</v>
      </c>
      <c r="Q894" s="5">
        <v>0</v>
      </c>
      <c r="R894" s="5">
        <v>18</v>
      </c>
      <c r="S894" s="5">
        <v>32</v>
      </c>
      <c r="T894" s="5">
        <v>0</v>
      </c>
      <c r="U894" s="6">
        <v>0</v>
      </c>
      <c r="V894" s="5">
        <v>10</v>
      </c>
      <c r="W894" s="5">
        <v>5</v>
      </c>
      <c r="X894" s="16">
        <v>2000</v>
      </c>
      <c r="Y894" s="16">
        <v>7000</v>
      </c>
      <c r="Z894" s="16">
        <v>14000</v>
      </c>
      <c r="AA894" s="12" t="str">
        <f t="shared" si="154"/>
        <v>0/30</v>
      </c>
      <c r="AB894" s="12" t="str">
        <f t="shared" si="155"/>
        <v>100,100,0,100,100,100</v>
      </c>
      <c r="AC894" s="12">
        <f t="shared" si="156"/>
        <v>2</v>
      </c>
      <c r="AD894" s="12" t="str">
        <f t="shared" si="157"/>
        <v>2000/7000/14000</v>
      </c>
      <c r="AE894" s="12" t="str">
        <f t="shared" si="158"/>
        <v/>
      </c>
      <c r="AF894" s="12" t="str">
        <f t="shared" si="159"/>
        <v/>
      </c>
      <c r="AG894" s="12" t="str">
        <f t="shared" si="160"/>
        <v>3/4/</v>
      </c>
      <c r="AH894" s="12" t="str">
        <f t="shared" si="161"/>
        <v>18/32/</v>
      </c>
      <c r="AI894" s="12" t="str">
        <f t="shared" si="162"/>
        <v>10/5</v>
      </c>
    </row>
    <row r="895" spans="1:35" s="8" customFormat="1" ht="21.95" customHeight="1">
      <c r="A895" s="9">
        <v>893</v>
      </c>
      <c r="B895" s="17">
        <v>893</v>
      </c>
      <c r="C895" s="6">
        <v>0</v>
      </c>
      <c r="D895" s="6">
        <v>60</v>
      </c>
      <c r="E895" s="5">
        <v>100</v>
      </c>
      <c r="F895" s="5">
        <v>100</v>
      </c>
      <c r="G895" s="5">
        <v>100</v>
      </c>
      <c r="H895" s="5">
        <v>0</v>
      </c>
      <c r="I895" s="5">
        <v>100</v>
      </c>
      <c r="J895" s="5">
        <v>100</v>
      </c>
      <c r="K895" s="15" t="s">
        <v>52</v>
      </c>
      <c r="L895" s="6">
        <v>3</v>
      </c>
      <c r="M895" s="6">
        <v>6</v>
      </c>
      <c r="N895" s="6">
        <v>0</v>
      </c>
      <c r="O895" s="5">
        <v>0</v>
      </c>
      <c r="P895" s="5">
        <v>0</v>
      </c>
      <c r="Q895" s="5">
        <v>0</v>
      </c>
      <c r="R895" s="5">
        <v>0</v>
      </c>
      <c r="S895" s="5">
        <v>0</v>
      </c>
      <c r="T895" s="5">
        <v>0</v>
      </c>
      <c r="U895" s="6">
        <v>0</v>
      </c>
      <c r="V895" s="5">
        <v>10</v>
      </c>
      <c r="W895" s="5">
        <v>5</v>
      </c>
      <c r="X895" s="16">
        <v>2000</v>
      </c>
      <c r="Y895" s="16">
        <v>7000</v>
      </c>
      <c r="Z895" s="16">
        <v>14000</v>
      </c>
      <c r="AA895" s="12" t="str">
        <f t="shared" si="154"/>
        <v>1/60</v>
      </c>
      <c r="AB895" s="12" t="str">
        <f t="shared" si="155"/>
        <v>100,100,100,0,100,100</v>
      </c>
      <c r="AC895" s="12">
        <f t="shared" si="156"/>
        <v>1</v>
      </c>
      <c r="AD895" s="12" t="str">
        <f t="shared" si="157"/>
        <v>2000/7000/14000</v>
      </c>
      <c r="AE895" s="12" t="str">
        <f t="shared" si="158"/>
        <v>0/</v>
      </c>
      <c r="AF895" s="12" t="str">
        <f t="shared" si="159"/>
        <v>6/</v>
      </c>
      <c r="AG895" s="12" t="str">
        <f t="shared" si="160"/>
        <v/>
      </c>
      <c r="AH895" s="12" t="str">
        <f t="shared" si="161"/>
        <v/>
      </c>
      <c r="AI895" s="12" t="str">
        <f t="shared" si="162"/>
        <v>10/5</v>
      </c>
    </row>
    <row r="896" spans="1:35" s="8" customFormat="1" ht="21.95" customHeight="1">
      <c r="A896" s="9">
        <v>894</v>
      </c>
      <c r="B896" s="17">
        <v>894</v>
      </c>
      <c r="C896" s="6">
        <v>0</v>
      </c>
      <c r="D896" s="6">
        <v>60</v>
      </c>
      <c r="E896" s="5">
        <v>100</v>
      </c>
      <c r="F896" s="5">
        <v>100</v>
      </c>
      <c r="G896" s="5">
        <v>100</v>
      </c>
      <c r="H896" s="5">
        <v>100</v>
      </c>
      <c r="I896" s="5">
        <v>0</v>
      </c>
      <c r="J896" s="5">
        <v>100</v>
      </c>
      <c r="K896" s="15" t="s">
        <v>52</v>
      </c>
      <c r="L896" s="6">
        <v>3</v>
      </c>
      <c r="M896" s="6">
        <v>2</v>
      </c>
      <c r="N896" s="6">
        <v>4</v>
      </c>
      <c r="O896" s="5">
        <v>0</v>
      </c>
      <c r="P896" s="5">
        <v>0</v>
      </c>
      <c r="Q896" s="5">
        <v>0</v>
      </c>
      <c r="R896" s="5">
        <v>0</v>
      </c>
      <c r="S896" s="5">
        <v>0</v>
      </c>
      <c r="T896" s="5">
        <v>0</v>
      </c>
      <c r="U896" s="6">
        <v>0</v>
      </c>
      <c r="V896" s="5">
        <v>10</v>
      </c>
      <c r="W896" s="5">
        <v>5</v>
      </c>
      <c r="X896" s="16">
        <v>2000</v>
      </c>
      <c r="Y896" s="16">
        <v>7000</v>
      </c>
      <c r="Z896" s="16">
        <v>14000</v>
      </c>
      <c r="AA896" s="12" t="str">
        <f t="shared" si="154"/>
        <v>1/60</v>
      </c>
      <c r="AB896" s="12" t="str">
        <f t="shared" si="155"/>
        <v>100,100,100,100,0,100</v>
      </c>
      <c r="AC896" s="12">
        <f t="shared" si="156"/>
        <v>1</v>
      </c>
      <c r="AD896" s="12" t="str">
        <f t="shared" si="157"/>
        <v>2000/7000/14000</v>
      </c>
      <c r="AE896" s="12" t="str">
        <f t="shared" si="158"/>
        <v>0/1/</v>
      </c>
      <c r="AF896" s="12" t="str">
        <f t="shared" si="159"/>
        <v>2/4/</v>
      </c>
      <c r="AG896" s="12" t="str">
        <f t="shared" si="160"/>
        <v/>
      </c>
      <c r="AH896" s="12" t="str">
        <f t="shared" si="161"/>
        <v/>
      </c>
      <c r="AI896" s="12" t="str">
        <f t="shared" si="162"/>
        <v>10/5</v>
      </c>
    </row>
    <row r="897" spans="1:35" s="8" customFormat="1" ht="21.95" customHeight="1">
      <c r="A897" s="9">
        <v>895</v>
      </c>
      <c r="B897" s="17">
        <v>895</v>
      </c>
      <c r="C897" s="6">
        <v>30</v>
      </c>
      <c r="D897" s="6">
        <v>0</v>
      </c>
      <c r="E897" s="5">
        <v>100</v>
      </c>
      <c r="F897" s="5">
        <v>100</v>
      </c>
      <c r="G897" s="5">
        <v>100</v>
      </c>
      <c r="H897" s="5">
        <v>100</v>
      </c>
      <c r="I897" s="5">
        <v>100</v>
      </c>
      <c r="J897" s="5">
        <v>0</v>
      </c>
      <c r="K897" s="15" t="s">
        <v>54</v>
      </c>
      <c r="L897" s="6">
        <v>3</v>
      </c>
      <c r="M897" s="6">
        <v>0</v>
      </c>
      <c r="N897" s="6">
        <v>0</v>
      </c>
      <c r="O897" s="5">
        <v>0</v>
      </c>
      <c r="P897" s="5">
        <v>0</v>
      </c>
      <c r="Q897" s="5">
        <v>0</v>
      </c>
      <c r="R897" s="5">
        <v>0</v>
      </c>
      <c r="S897" s="5">
        <v>0</v>
      </c>
      <c r="T897" s="5">
        <v>0</v>
      </c>
      <c r="U897" s="6">
        <v>0</v>
      </c>
      <c r="V897" s="5">
        <v>10</v>
      </c>
      <c r="W897" s="5">
        <v>5</v>
      </c>
      <c r="X897" s="16">
        <v>2000</v>
      </c>
      <c r="Y897" s="16">
        <v>7000</v>
      </c>
      <c r="Z897" s="16">
        <v>14000</v>
      </c>
      <c r="AA897" s="12" t="str">
        <f t="shared" si="154"/>
        <v>0/30</v>
      </c>
      <c r="AB897" s="12" t="str">
        <f t="shared" si="155"/>
        <v>100,100,100,100,100,0</v>
      </c>
      <c r="AC897" s="12">
        <f t="shared" si="156"/>
        <v>3</v>
      </c>
      <c r="AD897" s="12" t="str">
        <f t="shared" si="157"/>
        <v>2000/7000/14000</v>
      </c>
      <c r="AE897" s="12" t="str">
        <f t="shared" si="158"/>
        <v/>
      </c>
      <c r="AF897" s="12" t="str">
        <f t="shared" si="159"/>
        <v/>
      </c>
      <c r="AG897" s="12" t="str">
        <f t="shared" si="160"/>
        <v/>
      </c>
      <c r="AH897" s="12" t="str">
        <f t="shared" si="161"/>
        <v/>
      </c>
      <c r="AI897" s="12" t="str">
        <f t="shared" si="162"/>
        <v>10/5</v>
      </c>
    </row>
    <row r="898" spans="1:35" s="8" customFormat="1" ht="21.95" customHeight="1">
      <c r="A898" s="9">
        <v>896</v>
      </c>
      <c r="B898" s="17">
        <v>896</v>
      </c>
      <c r="C898" s="6">
        <v>30</v>
      </c>
      <c r="D898" s="6">
        <v>0</v>
      </c>
      <c r="E898" s="5">
        <v>0</v>
      </c>
      <c r="F898" s="5">
        <v>100</v>
      </c>
      <c r="G898" s="5">
        <v>100</v>
      </c>
      <c r="H898" s="5">
        <v>100</v>
      </c>
      <c r="I898" s="5">
        <v>100</v>
      </c>
      <c r="J898" s="5">
        <v>100</v>
      </c>
      <c r="K898" s="15" t="s">
        <v>54</v>
      </c>
      <c r="L898" s="6">
        <v>3</v>
      </c>
      <c r="M898" s="6">
        <v>0</v>
      </c>
      <c r="N898" s="6">
        <v>0</v>
      </c>
      <c r="O898" s="5">
        <v>0</v>
      </c>
      <c r="P898" s="5">
        <v>0</v>
      </c>
      <c r="Q898" s="5">
        <v>0</v>
      </c>
      <c r="R898" s="5">
        <v>0</v>
      </c>
      <c r="S898" s="5">
        <v>0</v>
      </c>
      <c r="T898" s="5">
        <v>0</v>
      </c>
      <c r="U898" s="6">
        <v>0</v>
      </c>
      <c r="V898" s="5">
        <v>10</v>
      </c>
      <c r="W898" s="5">
        <v>5</v>
      </c>
      <c r="X898" s="16">
        <v>2000</v>
      </c>
      <c r="Y898" s="16">
        <v>7000</v>
      </c>
      <c r="Z898" s="16">
        <v>14000</v>
      </c>
      <c r="AA898" s="12" t="str">
        <f t="shared" si="154"/>
        <v>0/30</v>
      </c>
      <c r="AB898" s="12" t="str">
        <f t="shared" si="155"/>
        <v>0,100,100,100,100,100</v>
      </c>
      <c r="AC898" s="12">
        <f t="shared" si="156"/>
        <v>3</v>
      </c>
      <c r="AD898" s="12" t="str">
        <f t="shared" si="157"/>
        <v>2000/7000/14000</v>
      </c>
      <c r="AE898" s="12" t="str">
        <f t="shared" si="158"/>
        <v/>
      </c>
      <c r="AF898" s="12" t="str">
        <f t="shared" si="159"/>
        <v/>
      </c>
      <c r="AG898" s="12" t="str">
        <f t="shared" si="160"/>
        <v/>
      </c>
      <c r="AH898" s="12" t="str">
        <f t="shared" si="161"/>
        <v/>
      </c>
      <c r="AI898" s="12" t="str">
        <f t="shared" si="162"/>
        <v>10/5</v>
      </c>
    </row>
    <row r="899" spans="1:35" s="8" customFormat="1" ht="21.95" customHeight="1">
      <c r="A899" s="9">
        <v>897</v>
      </c>
      <c r="B899" s="17">
        <v>897</v>
      </c>
      <c r="C899" s="6">
        <v>30</v>
      </c>
      <c r="D899" s="6">
        <v>0</v>
      </c>
      <c r="E899" s="5">
        <v>100</v>
      </c>
      <c r="F899" s="5">
        <v>0</v>
      </c>
      <c r="G899" s="5">
        <v>100</v>
      </c>
      <c r="H899" s="5">
        <v>100</v>
      </c>
      <c r="I899" s="5">
        <v>100</v>
      </c>
      <c r="J899" s="5">
        <v>100</v>
      </c>
      <c r="K899" s="15" t="s">
        <v>55</v>
      </c>
      <c r="L899" s="6">
        <v>3</v>
      </c>
      <c r="M899" s="6">
        <v>0</v>
      </c>
      <c r="N899" s="6">
        <v>0</v>
      </c>
      <c r="O899" s="5">
        <v>0</v>
      </c>
      <c r="P899" s="5">
        <v>0</v>
      </c>
      <c r="Q899" s="5">
        <v>0</v>
      </c>
      <c r="R899" s="5">
        <v>0</v>
      </c>
      <c r="S899" s="5">
        <v>0</v>
      </c>
      <c r="T899" s="5">
        <v>0</v>
      </c>
      <c r="U899" s="6">
        <v>5</v>
      </c>
      <c r="V899" s="5">
        <v>10</v>
      </c>
      <c r="W899" s="5">
        <v>5</v>
      </c>
      <c r="X899" s="16">
        <v>2000</v>
      </c>
      <c r="Y899" s="16">
        <v>7000</v>
      </c>
      <c r="Z899" s="16">
        <v>14000</v>
      </c>
      <c r="AA899" s="12" t="str">
        <f t="shared" si="154"/>
        <v>0/30</v>
      </c>
      <c r="AB899" s="12" t="str">
        <f t="shared" si="155"/>
        <v>100,0,100,100,100,100</v>
      </c>
      <c r="AC899" s="12">
        <f t="shared" si="156"/>
        <v>4</v>
      </c>
      <c r="AD899" s="12" t="str">
        <f t="shared" si="157"/>
        <v>2000/7000/14000</v>
      </c>
      <c r="AE899" s="12" t="str">
        <f t="shared" si="158"/>
        <v/>
      </c>
      <c r="AF899" s="12" t="str">
        <f t="shared" si="159"/>
        <v/>
      </c>
      <c r="AG899" s="12" t="str">
        <f t="shared" si="160"/>
        <v/>
      </c>
      <c r="AH899" s="12" t="str">
        <f t="shared" si="161"/>
        <v/>
      </c>
      <c r="AI899" s="12" t="str">
        <f t="shared" si="162"/>
        <v>10/5</v>
      </c>
    </row>
    <row r="900" spans="1:35" s="8" customFormat="1" ht="21.95" customHeight="1">
      <c r="A900" s="9">
        <v>898</v>
      </c>
      <c r="B900" s="17">
        <v>898</v>
      </c>
      <c r="C900" s="6">
        <v>30</v>
      </c>
      <c r="D900" s="6">
        <v>0</v>
      </c>
      <c r="E900" s="5">
        <v>100</v>
      </c>
      <c r="F900" s="5">
        <v>100</v>
      </c>
      <c r="G900" s="5">
        <v>0</v>
      </c>
      <c r="H900" s="5">
        <v>100</v>
      </c>
      <c r="I900" s="5">
        <v>100</v>
      </c>
      <c r="J900" s="5">
        <v>100</v>
      </c>
      <c r="K900" s="15" t="s">
        <v>55</v>
      </c>
      <c r="L900" s="6">
        <v>3</v>
      </c>
      <c r="M900" s="6">
        <v>0</v>
      </c>
      <c r="N900" s="6">
        <v>0</v>
      </c>
      <c r="O900" s="5">
        <v>0</v>
      </c>
      <c r="P900" s="5">
        <v>0</v>
      </c>
      <c r="Q900" s="5">
        <v>0</v>
      </c>
      <c r="R900" s="5">
        <v>0</v>
      </c>
      <c r="S900" s="5">
        <v>0</v>
      </c>
      <c r="T900" s="5">
        <v>0</v>
      </c>
      <c r="U900" s="6">
        <v>5</v>
      </c>
      <c r="V900" s="5">
        <v>10</v>
      </c>
      <c r="W900" s="5">
        <v>5</v>
      </c>
      <c r="X900" s="16">
        <v>2000</v>
      </c>
      <c r="Y900" s="16">
        <v>7000</v>
      </c>
      <c r="Z900" s="16">
        <v>14000</v>
      </c>
      <c r="AA900" s="12" t="str">
        <f t="shared" si="154"/>
        <v>0/30</v>
      </c>
      <c r="AB900" s="12" t="str">
        <f t="shared" si="155"/>
        <v>100,100,0,100,100,100</v>
      </c>
      <c r="AC900" s="12">
        <f t="shared" si="156"/>
        <v>4</v>
      </c>
      <c r="AD900" s="12" t="str">
        <f t="shared" si="157"/>
        <v>2000/7000/14000</v>
      </c>
      <c r="AE900" s="12" t="str">
        <f t="shared" si="158"/>
        <v/>
      </c>
      <c r="AF900" s="12" t="str">
        <f t="shared" si="159"/>
        <v/>
      </c>
      <c r="AG900" s="12" t="str">
        <f t="shared" si="160"/>
        <v/>
      </c>
      <c r="AH900" s="12" t="str">
        <f t="shared" si="161"/>
        <v/>
      </c>
      <c r="AI900" s="12" t="str">
        <f t="shared" si="162"/>
        <v>10/5</v>
      </c>
    </row>
    <row r="901" spans="1:35" s="8" customFormat="1" ht="21.95" customHeight="1">
      <c r="A901" s="9">
        <v>899</v>
      </c>
      <c r="B901" s="17">
        <v>899</v>
      </c>
      <c r="C901" s="6">
        <v>32</v>
      </c>
      <c r="D901" s="6">
        <v>0</v>
      </c>
      <c r="E901" s="5">
        <v>100</v>
      </c>
      <c r="F901" s="5">
        <v>100</v>
      </c>
      <c r="G901" s="5">
        <v>100</v>
      </c>
      <c r="H901" s="5">
        <v>0</v>
      </c>
      <c r="I901" s="5">
        <v>100</v>
      </c>
      <c r="J901" s="5">
        <v>100</v>
      </c>
      <c r="K901" s="15" t="s">
        <v>51</v>
      </c>
      <c r="L901" s="6">
        <v>3</v>
      </c>
      <c r="M901" s="6">
        <v>0</v>
      </c>
      <c r="N901" s="6">
        <v>0</v>
      </c>
      <c r="O901" s="5">
        <v>0</v>
      </c>
      <c r="P901" s="5">
        <v>0</v>
      </c>
      <c r="Q901" s="5">
        <v>0</v>
      </c>
      <c r="R901" s="5">
        <v>0</v>
      </c>
      <c r="S901" s="5">
        <v>0</v>
      </c>
      <c r="T901" s="5">
        <v>0</v>
      </c>
      <c r="U901" s="6">
        <v>0</v>
      </c>
      <c r="V901" s="5">
        <v>10</v>
      </c>
      <c r="W901" s="5">
        <v>5</v>
      </c>
      <c r="X901" s="16">
        <v>2000</v>
      </c>
      <c r="Y901" s="16">
        <v>7000</v>
      </c>
      <c r="Z901" s="16">
        <v>14000</v>
      </c>
      <c r="AA901" s="12" t="str">
        <f t="shared" si="154"/>
        <v>0/32</v>
      </c>
      <c r="AB901" s="12" t="str">
        <f t="shared" si="155"/>
        <v>100,100,100,0,100,100</v>
      </c>
      <c r="AC901" s="12">
        <f t="shared" si="156"/>
        <v>0</v>
      </c>
      <c r="AD901" s="12" t="str">
        <f t="shared" si="157"/>
        <v>2000/7000/14000</v>
      </c>
      <c r="AE901" s="12" t="str">
        <f t="shared" si="158"/>
        <v/>
      </c>
      <c r="AF901" s="12" t="str">
        <f t="shared" si="159"/>
        <v/>
      </c>
      <c r="AG901" s="12" t="str">
        <f t="shared" si="160"/>
        <v/>
      </c>
      <c r="AH901" s="12" t="str">
        <f t="shared" si="161"/>
        <v/>
      </c>
      <c r="AI901" s="12" t="str">
        <f t="shared" si="162"/>
        <v>10/5</v>
      </c>
    </row>
    <row r="902" spans="1:35" s="8" customFormat="1" ht="21.95" customHeight="1">
      <c r="A902" s="9">
        <v>900</v>
      </c>
      <c r="B902" s="17">
        <v>900</v>
      </c>
      <c r="C902" s="6">
        <v>30</v>
      </c>
      <c r="D902" s="6">
        <v>0</v>
      </c>
      <c r="E902" s="5">
        <v>100</v>
      </c>
      <c r="F902" s="5">
        <v>100</v>
      </c>
      <c r="G902" s="5">
        <v>0</v>
      </c>
      <c r="H902" s="5">
        <v>100</v>
      </c>
      <c r="I902" s="5">
        <v>100</v>
      </c>
      <c r="J902" s="5">
        <v>100</v>
      </c>
      <c r="K902" s="15" t="s">
        <v>56</v>
      </c>
      <c r="L902" s="6">
        <v>3</v>
      </c>
      <c r="M902" s="6">
        <v>0</v>
      </c>
      <c r="N902" s="6">
        <v>0</v>
      </c>
      <c r="O902" s="5">
        <v>0</v>
      </c>
      <c r="P902" s="5">
        <v>0</v>
      </c>
      <c r="Q902" s="5">
        <v>0</v>
      </c>
      <c r="R902" s="5">
        <v>0</v>
      </c>
      <c r="S902" s="5">
        <v>0</v>
      </c>
      <c r="T902" s="5">
        <v>0</v>
      </c>
      <c r="U902" s="6">
        <v>0</v>
      </c>
      <c r="V902" s="5">
        <v>10</v>
      </c>
      <c r="W902" s="5">
        <v>5</v>
      </c>
      <c r="X902" s="16">
        <v>2000</v>
      </c>
      <c r="Y902" s="16">
        <v>7000</v>
      </c>
      <c r="Z902" s="16">
        <v>14000</v>
      </c>
      <c r="AA902" s="12" t="str">
        <f t="shared" si="154"/>
        <v>0/30</v>
      </c>
      <c r="AB902" s="12" t="str">
        <f t="shared" si="155"/>
        <v>100,100,0,100,100,100</v>
      </c>
      <c r="AC902" s="12">
        <f t="shared" si="156"/>
        <v>5</v>
      </c>
      <c r="AD902" s="12" t="str">
        <f t="shared" si="157"/>
        <v>2000/7000/14000</v>
      </c>
      <c r="AE902" s="12" t="str">
        <f t="shared" si="158"/>
        <v/>
      </c>
      <c r="AF902" s="12" t="str">
        <f t="shared" si="159"/>
        <v/>
      </c>
      <c r="AG902" s="12" t="str">
        <f t="shared" si="160"/>
        <v/>
      </c>
      <c r="AH902" s="12" t="str">
        <f t="shared" si="161"/>
        <v/>
      </c>
      <c r="AI902" s="12" t="str">
        <f t="shared" si="162"/>
        <v>10/5</v>
      </c>
    </row>
    <row r="903" spans="1:35" s="8" customFormat="1" ht="21.95" customHeight="1">
      <c r="A903" s="9">
        <v>901</v>
      </c>
      <c r="B903" s="17">
        <v>901</v>
      </c>
      <c r="C903" s="6">
        <v>30</v>
      </c>
      <c r="D903" s="6">
        <v>0</v>
      </c>
      <c r="E903" s="5">
        <v>100</v>
      </c>
      <c r="F903" s="5">
        <v>100</v>
      </c>
      <c r="G903" s="5">
        <v>100</v>
      </c>
      <c r="H903" s="5">
        <v>0</v>
      </c>
      <c r="I903" s="5">
        <v>100</v>
      </c>
      <c r="J903" s="5">
        <v>100</v>
      </c>
      <c r="K903" s="15" t="s">
        <v>53</v>
      </c>
      <c r="L903" s="6">
        <v>3</v>
      </c>
      <c r="M903" s="6">
        <v>0</v>
      </c>
      <c r="N903" s="6">
        <v>0</v>
      </c>
      <c r="O903" s="5">
        <v>0</v>
      </c>
      <c r="P903" s="5">
        <v>0</v>
      </c>
      <c r="Q903" s="5">
        <v>0</v>
      </c>
      <c r="R903" s="5">
        <v>0</v>
      </c>
      <c r="S903" s="5">
        <v>18</v>
      </c>
      <c r="T903" s="5">
        <v>16</v>
      </c>
      <c r="U903" s="6">
        <v>0</v>
      </c>
      <c r="V903" s="5">
        <v>10</v>
      </c>
      <c r="W903" s="5">
        <v>5</v>
      </c>
      <c r="X903" s="16">
        <v>2000</v>
      </c>
      <c r="Y903" s="16">
        <v>7000</v>
      </c>
      <c r="Z903" s="16">
        <v>14000</v>
      </c>
      <c r="AA903" s="12" t="str">
        <f t="shared" si="154"/>
        <v>0/30</v>
      </c>
      <c r="AB903" s="12" t="str">
        <f t="shared" si="155"/>
        <v>100,100,100,0,100,100</v>
      </c>
      <c r="AC903" s="12">
        <f t="shared" si="156"/>
        <v>2</v>
      </c>
      <c r="AD903" s="12" t="str">
        <f t="shared" si="157"/>
        <v>2000/7000/14000</v>
      </c>
      <c r="AE903" s="12" t="str">
        <f t="shared" si="158"/>
        <v/>
      </c>
      <c r="AF903" s="12" t="str">
        <f t="shared" si="159"/>
        <v/>
      </c>
      <c r="AG903" s="12" t="str">
        <f t="shared" si="160"/>
        <v>4/5/</v>
      </c>
      <c r="AH903" s="12" t="str">
        <f t="shared" si="161"/>
        <v>18/16/</v>
      </c>
      <c r="AI903" s="12" t="str">
        <f t="shared" si="162"/>
        <v>10/5</v>
      </c>
    </row>
    <row r="904" spans="1:35" s="8" customFormat="1" ht="21.95" customHeight="1">
      <c r="A904" s="9">
        <v>902</v>
      </c>
      <c r="B904" s="17">
        <v>902</v>
      </c>
      <c r="C904" s="6">
        <v>30</v>
      </c>
      <c r="D904" s="6">
        <v>0</v>
      </c>
      <c r="E904" s="5">
        <v>100</v>
      </c>
      <c r="F904" s="5">
        <v>100</v>
      </c>
      <c r="G904" s="5">
        <v>100</v>
      </c>
      <c r="H904" s="5">
        <v>100</v>
      </c>
      <c r="I904" s="5">
        <v>0</v>
      </c>
      <c r="J904" s="5">
        <v>100</v>
      </c>
      <c r="K904" s="15" t="s">
        <v>53</v>
      </c>
      <c r="L904" s="6">
        <v>3</v>
      </c>
      <c r="M904" s="6">
        <v>0</v>
      </c>
      <c r="N904" s="6">
        <v>0</v>
      </c>
      <c r="O904" s="5">
        <v>16</v>
      </c>
      <c r="P904" s="5">
        <v>0</v>
      </c>
      <c r="Q904" s="5">
        <v>0</v>
      </c>
      <c r="R904" s="5">
        <v>0</v>
      </c>
      <c r="S904" s="5">
        <v>0</v>
      </c>
      <c r="T904" s="5">
        <v>18</v>
      </c>
      <c r="U904" s="6">
        <v>0</v>
      </c>
      <c r="V904" s="5">
        <v>10</v>
      </c>
      <c r="W904" s="5">
        <v>5</v>
      </c>
      <c r="X904" s="16">
        <v>2000</v>
      </c>
      <c r="Y904" s="16">
        <v>7000</v>
      </c>
      <c r="Z904" s="16">
        <v>14000</v>
      </c>
      <c r="AA904" s="12" t="str">
        <f t="shared" si="154"/>
        <v>0/30</v>
      </c>
      <c r="AB904" s="12" t="str">
        <f t="shared" si="155"/>
        <v>100,100,100,100,0,100</v>
      </c>
      <c r="AC904" s="12">
        <f t="shared" si="156"/>
        <v>2</v>
      </c>
      <c r="AD904" s="12" t="str">
        <f t="shared" si="157"/>
        <v>2000/7000/14000</v>
      </c>
      <c r="AE904" s="12" t="str">
        <f t="shared" si="158"/>
        <v/>
      </c>
      <c r="AF904" s="12" t="str">
        <f t="shared" si="159"/>
        <v/>
      </c>
      <c r="AG904" s="12" t="str">
        <f t="shared" si="160"/>
        <v>0/5/</v>
      </c>
      <c r="AH904" s="12" t="str">
        <f t="shared" si="161"/>
        <v>16/18/</v>
      </c>
      <c r="AI904" s="12" t="str">
        <f t="shared" si="162"/>
        <v>10/5</v>
      </c>
    </row>
    <row r="905" spans="1:35" s="8" customFormat="1" ht="21.95" customHeight="1">
      <c r="A905" s="9">
        <v>903</v>
      </c>
      <c r="B905" s="17">
        <v>903</v>
      </c>
      <c r="C905" s="6">
        <v>30</v>
      </c>
      <c r="D905" s="6">
        <v>0</v>
      </c>
      <c r="E905" s="5">
        <v>100</v>
      </c>
      <c r="F905" s="5">
        <v>100</v>
      </c>
      <c r="G905" s="5">
        <v>100</v>
      </c>
      <c r="H905" s="5">
        <v>100</v>
      </c>
      <c r="I905" s="5">
        <v>100</v>
      </c>
      <c r="J905" s="5">
        <v>0</v>
      </c>
      <c r="K905" s="15" t="s">
        <v>52</v>
      </c>
      <c r="L905" s="6">
        <v>3</v>
      </c>
      <c r="M905" s="6">
        <v>6</v>
      </c>
      <c r="N905" s="6">
        <v>0</v>
      </c>
      <c r="O905" s="5">
        <v>0</v>
      </c>
      <c r="P905" s="5">
        <v>0</v>
      </c>
      <c r="Q905" s="5">
        <v>0</v>
      </c>
      <c r="R905" s="5">
        <v>0</v>
      </c>
      <c r="S905" s="5">
        <v>0</v>
      </c>
      <c r="T905" s="5">
        <v>0</v>
      </c>
      <c r="U905" s="6">
        <v>0</v>
      </c>
      <c r="V905" s="5">
        <v>10</v>
      </c>
      <c r="W905" s="5">
        <v>5</v>
      </c>
      <c r="X905" s="16">
        <v>2000</v>
      </c>
      <c r="Y905" s="16">
        <v>7000</v>
      </c>
      <c r="Z905" s="16">
        <v>14000</v>
      </c>
      <c r="AA905" s="12" t="str">
        <f t="shared" si="154"/>
        <v>0/30</v>
      </c>
      <c r="AB905" s="12" t="str">
        <f t="shared" si="155"/>
        <v>100,100,100,100,100,0</v>
      </c>
      <c r="AC905" s="12">
        <f t="shared" si="156"/>
        <v>1</v>
      </c>
      <c r="AD905" s="12" t="str">
        <f t="shared" si="157"/>
        <v>2000/7000/14000</v>
      </c>
      <c r="AE905" s="12" t="str">
        <f t="shared" si="158"/>
        <v>0/</v>
      </c>
      <c r="AF905" s="12" t="str">
        <f t="shared" si="159"/>
        <v>6/</v>
      </c>
      <c r="AG905" s="12" t="str">
        <f t="shared" si="160"/>
        <v/>
      </c>
      <c r="AH905" s="12" t="str">
        <f t="shared" si="161"/>
        <v/>
      </c>
      <c r="AI905" s="12" t="str">
        <f t="shared" si="162"/>
        <v>10/5</v>
      </c>
    </row>
    <row r="906" spans="1:35" s="8" customFormat="1" ht="21.95" customHeight="1">
      <c r="A906" s="9">
        <v>904</v>
      </c>
      <c r="B906" s="17">
        <v>904</v>
      </c>
      <c r="C906" s="6">
        <v>30</v>
      </c>
      <c r="D906" s="6">
        <v>0</v>
      </c>
      <c r="E906" s="5">
        <v>0</v>
      </c>
      <c r="F906" s="5">
        <v>100</v>
      </c>
      <c r="G906" s="5">
        <v>100</v>
      </c>
      <c r="H906" s="5">
        <v>100</v>
      </c>
      <c r="I906" s="5">
        <v>100</v>
      </c>
      <c r="J906" s="5">
        <v>100</v>
      </c>
      <c r="K906" s="15" t="s">
        <v>52</v>
      </c>
      <c r="L906" s="6">
        <v>3</v>
      </c>
      <c r="M906" s="6">
        <v>0</v>
      </c>
      <c r="N906" s="6">
        <v>6</v>
      </c>
      <c r="O906" s="5">
        <v>0</v>
      </c>
      <c r="P906" s="5">
        <v>0</v>
      </c>
      <c r="Q906" s="5">
        <v>0</v>
      </c>
      <c r="R906" s="5">
        <v>0</v>
      </c>
      <c r="S906" s="5">
        <v>0</v>
      </c>
      <c r="T906" s="5">
        <v>0</v>
      </c>
      <c r="U906" s="6">
        <v>0</v>
      </c>
      <c r="V906" s="5">
        <v>10</v>
      </c>
      <c r="W906" s="5">
        <v>5</v>
      </c>
      <c r="X906" s="16">
        <v>2000</v>
      </c>
      <c r="Y906" s="16">
        <v>7000</v>
      </c>
      <c r="Z906" s="16">
        <v>14000</v>
      </c>
      <c r="AA906" s="12" t="str">
        <f t="shared" si="154"/>
        <v>0/30</v>
      </c>
      <c r="AB906" s="12" t="str">
        <f t="shared" si="155"/>
        <v>0,100,100,100,100,100</v>
      </c>
      <c r="AC906" s="12">
        <f t="shared" si="156"/>
        <v>1</v>
      </c>
      <c r="AD906" s="12" t="str">
        <f t="shared" si="157"/>
        <v>2000/7000/14000</v>
      </c>
      <c r="AE906" s="12" t="str">
        <f t="shared" si="158"/>
        <v>1/</v>
      </c>
      <c r="AF906" s="12" t="str">
        <f t="shared" si="159"/>
        <v>6/</v>
      </c>
      <c r="AG906" s="12" t="str">
        <f t="shared" si="160"/>
        <v/>
      </c>
      <c r="AH906" s="12" t="str">
        <f t="shared" si="161"/>
        <v/>
      </c>
      <c r="AI906" s="12" t="str">
        <f t="shared" si="162"/>
        <v>10/5</v>
      </c>
    </row>
    <row r="907" spans="1:35" s="8" customFormat="1" ht="21.95" customHeight="1">
      <c r="A907" s="9">
        <v>905</v>
      </c>
      <c r="B907" s="17">
        <v>905</v>
      </c>
      <c r="C907" s="6">
        <v>0</v>
      </c>
      <c r="D907" s="6">
        <v>60</v>
      </c>
      <c r="E907" s="5">
        <v>100</v>
      </c>
      <c r="F907" s="5">
        <v>0</v>
      </c>
      <c r="G907" s="5">
        <v>100</v>
      </c>
      <c r="H907" s="5">
        <v>100</v>
      </c>
      <c r="I907" s="5">
        <v>100</v>
      </c>
      <c r="J907" s="5">
        <v>100</v>
      </c>
      <c r="K907" s="15" t="s">
        <v>54</v>
      </c>
      <c r="L907" s="6">
        <v>3</v>
      </c>
      <c r="M907" s="6">
        <v>0</v>
      </c>
      <c r="N907" s="6">
        <v>0</v>
      </c>
      <c r="O907" s="5">
        <v>0</v>
      </c>
      <c r="P907" s="5">
        <v>0</v>
      </c>
      <c r="Q907" s="5">
        <v>0</v>
      </c>
      <c r="R907" s="5">
        <v>0</v>
      </c>
      <c r="S907" s="5">
        <v>0</v>
      </c>
      <c r="T907" s="5">
        <v>0</v>
      </c>
      <c r="U907" s="6">
        <v>0</v>
      </c>
      <c r="V907" s="5">
        <v>10</v>
      </c>
      <c r="W907" s="5">
        <v>5</v>
      </c>
      <c r="X907" s="16">
        <v>2000</v>
      </c>
      <c r="Y907" s="16">
        <v>7000</v>
      </c>
      <c r="Z907" s="16">
        <v>14000</v>
      </c>
      <c r="AA907" s="12" t="str">
        <f t="shared" si="154"/>
        <v>1/60</v>
      </c>
      <c r="AB907" s="12" t="str">
        <f t="shared" si="155"/>
        <v>100,0,100,100,100,100</v>
      </c>
      <c r="AC907" s="12">
        <f t="shared" si="156"/>
        <v>3</v>
      </c>
      <c r="AD907" s="12" t="str">
        <f t="shared" si="157"/>
        <v>2000/7000/14000</v>
      </c>
      <c r="AE907" s="12" t="str">
        <f t="shared" si="158"/>
        <v/>
      </c>
      <c r="AF907" s="12" t="str">
        <f t="shared" si="159"/>
        <v/>
      </c>
      <c r="AG907" s="12" t="str">
        <f t="shared" si="160"/>
        <v/>
      </c>
      <c r="AH907" s="12" t="str">
        <f t="shared" si="161"/>
        <v/>
      </c>
      <c r="AI907" s="12" t="str">
        <f t="shared" si="162"/>
        <v>10/5</v>
      </c>
    </row>
    <row r="908" spans="1:35" s="8" customFormat="1" ht="21.95" customHeight="1">
      <c r="A908" s="9">
        <v>906</v>
      </c>
      <c r="B908" s="17">
        <v>906</v>
      </c>
      <c r="C908" s="6">
        <v>0</v>
      </c>
      <c r="D908" s="6">
        <v>60</v>
      </c>
      <c r="E908" s="5">
        <v>100</v>
      </c>
      <c r="F908" s="5">
        <v>100</v>
      </c>
      <c r="G908" s="5">
        <v>0</v>
      </c>
      <c r="H908" s="5">
        <v>100</v>
      </c>
      <c r="I908" s="5">
        <v>100</v>
      </c>
      <c r="J908" s="5">
        <v>100</v>
      </c>
      <c r="K908" s="15" t="s">
        <v>54</v>
      </c>
      <c r="L908" s="6">
        <v>3</v>
      </c>
      <c r="M908" s="6">
        <v>0</v>
      </c>
      <c r="N908" s="6">
        <v>0</v>
      </c>
      <c r="O908" s="5">
        <v>0</v>
      </c>
      <c r="P908" s="5">
        <v>0</v>
      </c>
      <c r="Q908" s="5">
        <v>0</v>
      </c>
      <c r="R908" s="5">
        <v>0</v>
      </c>
      <c r="S908" s="5">
        <v>0</v>
      </c>
      <c r="T908" s="5">
        <v>0</v>
      </c>
      <c r="U908" s="6">
        <v>0</v>
      </c>
      <c r="V908" s="5">
        <v>10</v>
      </c>
      <c r="W908" s="5">
        <v>5</v>
      </c>
      <c r="X908" s="16">
        <v>2000</v>
      </c>
      <c r="Y908" s="16">
        <v>7000</v>
      </c>
      <c r="Z908" s="16">
        <v>14000</v>
      </c>
      <c r="AA908" s="12" t="str">
        <f t="shared" si="154"/>
        <v>1/60</v>
      </c>
      <c r="AB908" s="12" t="str">
        <f t="shared" si="155"/>
        <v>100,100,0,100,100,100</v>
      </c>
      <c r="AC908" s="12">
        <f t="shared" si="156"/>
        <v>3</v>
      </c>
      <c r="AD908" s="12" t="str">
        <f t="shared" si="157"/>
        <v>2000/7000/14000</v>
      </c>
      <c r="AE908" s="12" t="str">
        <f t="shared" si="158"/>
        <v/>
      </c>
      <c r="AF908" s="12" t="str">
        <f t="shared" si="159"/>
        <v/>
      </c>
      <c r="AG908" s="12" t="str">
        <f t="shared" si="160"/>
        <v/>
      </c>
      <c r="AH908" s="12" t="str">
        <f t="shared" si="161"/>
        <v/>
      </c>
      <c r="AI908" s="12" t="str">
        <f t="shared" si="162"/>
        <v>10/5</v>
      </c>
    </row>
    <row r="909" spans="1:35" s="8" customFormat="1" ht="21.95" customHeight="1">
      <c r="A909" s="9">
        <v>907</v>
      </c>
      <c r="B909" s="17">
        <v>907</v>
      </c>
      <c r="C909" s="6">
        <v>30</v>
      </c>
      <c r="D909" s="6">
        <v>0</v>
      </c>
      <c r="E909" s="5">
        <v>100</v>
      </c>
      <c r="F909" s="5">
        <v>100</v>
      </c>
      <c r="G909" s="5">
        <v>100</v>
      </c>
      <c r="H909" s="5">
        <v>0</v>
      </c>
      <c r="I909" s="5">
        <v>100</v>
      </c>
      <c r="J909" s="5">
        <v>100</v>
      </c>
      <c r="K909" s="15" t="s">
        <v>55</v>
      </c>
      <c r="L909" s="6">
        <v>3</v>
      </c>
      <c r="M909" s="6">
        <v>0</v>
      </c>
      <c r="N909" s="6">
        <v>0</v>
      </c>
      <c r="O909" s="5">
        <v>0</v>
      </c>
      <c r="P909" s="5">
        <v>0</v>
      </c>
      <c r="Q909" s="5">
        <v>0</v>
      </c>
      <c r="R909" s="5">
        <v>0</v>
      </c>
      <c r="S909" s="5">
        <v>0</v>
      </c>
      <c r="T909" s="5">
        <v>0</v>
      </c>
      <c r="U909" s="6">
        <v>5</v>
      </c>
      <c r="V909" s="5">
        <v>10</v>
      </c>
      <c r="W909" s="5">
        <v>5</v>
      </c>
      <c r="X909" s="16">
        <v>2000</v>
      </c>
      <c r="Y909" s="16">
        <v>7000</v>
      </c>
      <c r="Z909" s="16">
        <v>14000</v>
      </c>
      <c r="AA909" s="12" t="str">
        <f t="shared" si="154"/>
        <v>0/30</v>
      </c>
      <c r="AB909" s="12" t="str">
        <f t="shared" si="155"/>
        <v>100,100,100,0,100,100</v>
      </c>
      <c r="AC909" s="12">
        <f t="shared" si="156"/>
        <v>4</v>
      </c>
      <c r="AD909" s="12" t="str">
        <f t="shared" si="157"/>
        <v>2000/7000/14000</v>
      </c>
      <c r="AE909" s="12" t="str">
        <f t="shared" si="158"/>
        <v/>
      </c>
      <c r="AF909" s="12" t="str">
        <f t="shared" si="159"/>
        <v/>
      </c>
      <c r="AG909" s="12" t="str">
        <f t="shared" si="160"/>
        <v/>
      </c>
      <c r="AH909" s="12" t="str">
        <f t="shared" si="161"/>
        <v/>
      </c>
      <c r="AI909" s="12" t="str">
        <f t="shared" si="162"/>
        <v>10/5</v>
      </c>
    </row>
    <row r="910" spans="1:35" s="8" customFormat="1" ht="21.95" customHeight="1">
      <c r="A910" s="9">
        <v>908</v>
      </c>
      <c r="B910" s="17">
        <v>908</v>
      </c>
      <c r="C910" s="6">
        <v>30</v>
      </c>
      <c r="D910" s="6">
        <v>0</v>
      </c>
      <c r="E910" s="5">
        <v>100</v>
      </c>
      <c r="F910" s="5">
        <v>100</v>
      </c>
      <c r="G910" s="5">
        <v>100</v>
      </c>
      <c r="H910" s="5">
        <v>100</v>
      </c>
      <c r="I910" s="5">
        <v>0</v>
      </c>
      <c r="J910" s="5">
        <v>100</v>
      </c>
      <c r="K910" s="15" t="s">
        <v>55</v>
      </c>
      <c r="L910" s="6">
        <v>3</v>
      </c>
      <c r="M910" s="6">
        <v>0</v>
      </c>
      <c r="N910" s="6">
        <v>0</v>
      </c>
      <c r="O910" s="5">
        <v>0</v>
      </c>
      <c r="P910" s="5">
        <v>0</v>
      </c>
      <c r="Q910" s="5">
        <v>0</v>
      </c>
      <c r="R910" s="5">
        <v>0</v>
      </c>
      <c r="S910" s="5">
        <v>0</v>
      </c>
      <c r="T910" s="5">
        <v>0</v>
      </c>
      <c r="U910" s="6">
        <v>5</v>
      </c>
      <c r="V910" s="5">
        <v>10</v>
      </c>
      <c r="W910" s="5">
        <v>5</v>
      </c>
      <c r="X910" s="16">
        <v>2000</v>
      </c>
      <c r="Y910" s="16">
        <v>7000</v>
      </c>
      <c r="Z910" s="16">
        <v>14000</v>
      </c>
      <c r="AA910" s="12" t="str">
        <f t="shared" si="154"/>
        <v>0/30</v>
      </c>
      <c r="AB910" s="12" t="str">
        <f t="shared" si="155"/>
        <v>100,100,100,100,0,100</v>
      </c>
      <c r="AC910" s="12">
        <f t="shared" si="156"/>
        <v>4</v>
      </c>
      <c r="AD910" s="12" t="str">
        <f t="shared" si="157"/>
        <v>2000/7000/14000</v>
      </c>
      <c r="AE910" s="12" t="str">
        <f t="shared" si="158"/>
        <v/>
      </c>
      <c r="AF910" s="12" t="str">
        <f t="shared" si="159"/>
        <v/>
      </c>
      <c r="AG910" s="12" t="str">
        <f t="shared" si="160"/>
        <v/>
      </c>
      <c r="AH910" s="12" t="str">
        <f t="shared" si="161"/>
        <v/>
      </c>
      <c r="AI910" s="12" t="str">
        <f t="shared" si="162"/>
        <v>10/5</v>
      </c>
    </row>
    <row r="911" spans="1:35" s="8" customFormat="1" ht="21.95" customHeight="1">
      <c r="A911" s="9">
        <v>909</v>
      </c>
      <c r="B911" s="17">
        <v>909</v>
      </c>
      <c r="C911" s="6">
        <v>30</v>
      </c>
      <c r="D911" s="6">
        <v>0</v>
      </c>
      <c r="E911" s="5">
        <v>100</v>
      </c>
      <c r="F911" s="5">
        <v>100</v>
      </c>
      <c r="G911" s="5">
        <v>100</v>
      </c>
      <c r="H911" s="5">
        <v>100</v>
      </c>
      <c r="I911" s="5">
        <v>100</v>
      </c>
      <c r="J911" s="5">
        <v>0</v>
      </c>
      <c r="K911" s="15" t="s">
        <v>56</v>
      </c>
      <c r="L911" s="6">
        <v>3</v>
      </c>
      <c r="M911" s="6">
        <v>0</v>
      </c>
      <c r="N911" s="6">
        <v>0</v>
      </c>
      <c r="O911" s="5">
        <v>0</v>
      </c>
      <c r="P911" s="5">
        <v>0</v>
      </c>
      <c r="Q911" s="5">
        <v>0</v>
      </c>
      <c r="R911" s="5">
        <v>0</v>
      </c>
      <c r="S911" s="5">
        <v>0</v>
      </c>
      <c r="T911" s="5">
        <v>0</v>
      </c>
      <c r="U911" s="6">
        <v>0</v>
      </c>
      <c r="V911" s="5">
        <v>10</v>
      </c>
      <c r="W911" s="5">
        <v>5</v>
      </c>
      <c r="X911" s="16">
        <v>2000</v>
      </c>
      <c r="Y911" s="16">
        <v>7000</v>
      </c>
      <c r="Z911" s="16">
        <v>14000</v>
      </c>
      <c r="AA911" s="12" t="str">
        <f t="shared" si="154"/>
        <v>0/30</v>
      </c>
      <c r="AB911" s="12" t="str">
        <f t="shared" si="155"/>
        <v>100,100,100,100,100,0</v>
      </c>
      <c r="AC911" s="12">
        <f t="shared" si="156"/>
        <v>5</v>
      </c>
      <c r="AD911" s="12" t="str">
        <f t="shared" si="157"/>
        <v>2000/7000/14000</v>
      </c>
      <c r="AE911" s="12" t="str">
        <f t="shared" si="158"/>
        <v/>
      </c>
      <c r="AF911" s="12" t="str">
        <f t="shared" si="159"/>
        <v/>
      </c>
      <c r="AG911" s="12" t="str">
        <f t="shared" si="160"/>
        <v/>
      </c>
      <c r="AH911" s="12" t="str">
        <f t="shared" si="161"/>
        <v/>
      </c>
      <c r="AI911" s="12" t="str">
        <f t="shared" si="162"/>
        <v>10/5</v>
      </c>
    </row>
    <row r="912" spans="1:35" s="8" customFormat="1" ht="21.95" customHeight="1">
      <c r="A912" s="9">
        <v>910</v>
      </c>
      <c r="B912" s="17">
        <v>910</v>
      </c>
      <c r="C912" s="6">
        <v>0</v>
      </c>
      <c r="D912" s="6">
        <v>60</v>
      </c>
      <c r="E912" s="5">
        <v>0</v>
      </c>
      <c r="F912" s="5">
        <v>100</v>
      </c>
      <c r="G912" s="5">
        <v>100</v>
      </c>
      <c r="H912" s="5">
        <v>100</v>
      </c>
      <c r="I912" s="5">
        <v>100</v>
      </c>
      <c r="J912" s="5">
        <v>100</v>
      </c>
      <c r="K912" s="15" t="s">
        <v>56</v>
      </c>
      <c r="L912" s="6">
        <v>3</v>
      </c>
      <c r="M912" s="6">
        <v>0</v>
      </c>
      <c r="N912" s="6">
        <v>0</v>
      </c>
      <c r="O912" s="5">
        <v>0</v>
      </c>
      <c r="P912" s="5">
        <v>0</v>
      </c>
      <c r="Q912" s="5">
        <v>0</v>
      </c>
      <c r="R912" s="5">
        <v>0</v>
      </c>
      <c r="S912" s="5">
        <v>0</v>
      </c>
      <c r="T912" s="5">
        <v>0</v>
      </c>
      <c r="U912" s="6">
        <v>0</v>
      </c>
      <c r="V912" s="5">
        <v>10</v>
      </c>
      <c r="W912" s="5">
        <v>5</v>
      </c>
      <c r="X912" s="16">
        <v>2000</v>
      </c>
      <c r="Y912" s="16">
        <v>7000</v>
      </c>
      <c r="Z912" s="16">
        <v>14000</v>
      </c>
      <c r="AA912" s="12" t="str">
        <f t="shared" si="154"/>
        <v>1/60</v>
      </c>
      <c r="AB912" s="12" t="str">
        <f t="shared" si="155"/>
        <v>0,100,100,100,100,100</v>
      </c>
      <c r="AC912" s="12">
        <f t="shared" si="156"/>
        <v>5</v>
      </c>
      <c r="AD912" s="12" t="str">
        <f t="shared" si="157"/>
        <v>2000/7000/14000</v>
      </c>
      <c r="AE912" s="12" t="str">
        <f t="shared" si="158"/>
        <v/>
      </c>
      <c r="AF912" s="12" t="str">
        <f t="shared" si="159"/>
        <v/>
      </c>
      <c r="AG912" s="12" t="str">
        <f t="shared" si="160"/>
        <v/>
      </c>
      <c r="AH912" s="12" t="str">
        <f t="shared" si="161"/>
        <v/>
      </c>
      <c r="AI912" s="12" t="str">
        <f t="shared" si="162"/>
        <v>10/5</v>
      </c>
    </row>
    <row r="913" spans="1:35" s="8" customFormat="1" ht="21.95" customHeight="1">
      <c r="A913" s="9">
        <v>911</v>
      </c>
      <c r="B913" s="17">
        <v>911</v>
      </c>
      <c r="C913" s="6">
        <v>30</v>
      </c>
      <c r="D913" s="6">
        <v>0</v>
      </c>
      <c r="E913" s="5">
        <v>100</v>
      </c>
      <c r="F913" s="5">
        <v>0</v>
      </c>
      <c r="G913" s="5">
        <v>100</v>
      </c>
      <c r="H913" s="5">
        <v>100</v>
      </c>
      <c r="I913" s="5">
        <v>100</v>
      </c>
      <c r="J913" s="5">
        <v>100</v>
      </c>
      <c r="K913" s="15" t="s">
        <v>53</v>
      </c>
      <c r="L913" s="6">
        <v>3</v>
      </c>
      <c r="M913" s="6">
        <v>0</v>
      </c>
      <c r="N913" s="6">
        <v>0</v>
      </c>
      <c r="O913" s="5">
        <v>0</v>
      </c>
      <c r="P913" s="5">
        <v>0</v>
      </c>
      <c r="Q913" s="5">
        <v>20</v>
      </c>
      <c r="R913" s="5">
        <v>24</v>
      </c>
      <c r="S913" s="5">
        <v>0</v>
      </c>
      <c r="T913" s="5">
        <v>0</v>
      </c>
      <c r="U913" s="6">
        <v>0</v>
      </c>
      <c r="V913" s="5">
        <v>10</v>
      </c>
      <c r="W913" s="5">
        <v>5</v>
      </c>
      <c r="X913" s="16">
        <v>2000</v>
      </c>
      <c r="Y913" s="16">
        <v>7000</v>
      </c>
      <c r="Z913" s="16">
        <v>14000</v>
      </c>
      <c r="AA913" s="12" t="str">
        <f t="shared" si="154"/>
        <v>0/30</v>
      </c>
      <c r="AB913" s="12" t="str">
        <f t="shared" si="155"/>
        <v>100,0,100,100,100,100</v>
      </c>
      <c r="AC913" s="12">
        <f t="shared" si="156"/>
        <v>2</v>
      </c>
      <c r="AD913" s="12" t="str">
        <f t="shared" si="157"/>
        <v>2000/7000/14000</v>
      </c>
      <c r="AE913" s="12" t="str">
        <f t="shared" si="158"/>
        <v/>
      </c>
      <c r="AF913" s="12" t="str">
        <f t="shared" si="159"/>
        <v/>
      </c>
      <c r="AG913" s="12" t="str">
        <f t="shared" si="160"/>
        <v>2/3/</v>
      </c>
      <c r="AH913" s="12" t="str">
        <f t="shared" si="161"/>
        <v>20/24/</v>
      </c>
      <c r="AI913" s="12" t="str">
        <f t="shared" si="162"/>
        <v>10/5</v>
      </c>
    </row>
    <row r="914" spans="1:35" s="8" customFormat="1" ht="21.95" customHeight="1">
      <c r="A914" s="9">
        <v>912</v>
      </c>
      <c r="B914" s="17">
        <v>912</v>
      </c>
      <c r="C914" s="6">
        <v>30</v>
      </c>
      <c r="D914" s="6">
        <v>0</v>
      </c>
      <c r="E914" s="5">
        <v>100</v>
      </c>
      <c r="F914" s="5">
        <v>100</v>
      </c>
      <c r="G914" s="5">
        <v>0</v>
      </c>
      <c r="H914" s="5">
        <v>100</v>
      </c>
      <c r="I914" s="5">
        <v>100</v>
      </c>
      <c r="J914" s="5">
        <v>100</v>
      </c>
      <c r="K914" s="15" t="s">
        <v>53</v>
      </c>
      <c r="L914" s="6">
        <v>3</v>
      </c>
      <c r="M914" s="6">
        <v>0</v>
      </c>
      <c r="N914" s="6">
        <v>0</v>
      </c>
      <c r="O914" s="5">
        <v>0</v>
      </c>
      <c r="P914" s="5">
        <v>0</v>
      </c>
      <c r="Q914" s="5">
        <v>0</v>
      </c>
      <c r="R914" s="5">
        <v>18</v>
      </c>
      <c r="S914" s="5">
        <v>32</v>
      </c>
      <c r="T914" s="5">
        <v>0</v>
      </c>
      <c r="U914" s="6">
        <v>0</v>
      </c>
      <c r="V914" s="5">
        <v>10</v>
      </c>
      <c r="W914" s="5">
        <v>5</v>
      </c>
      <c r="X914" s="16">
        <v>2000</v>
      </c>
      <c r="Y914" s="16">
        <v>7000</v>
      </c>
      <c r="Z914" s="16">
        <v>14000</v>
      </c>
      <c r="AA914" s="12" t="str">
        <f t="shared" si="154"/>
        <v>0/30</v>
      </c>
      <c r="AB914" s="12" t="str">
        <f t="shared" si="155"/>
        <v>100,100,0,100,100,100</v>
      </c>
      <c r="AC914" s="12">
        <f t="shared" si="156"/>
        <v>2</v>
      </c>
      <c r="AD914" s="12" t="str">
        <f t="shared" si="157"/>
        <v>2000/7000/14000</v>
      </c>
      <c r="AE914" s="12" t="str">
        <f t="shared" si="158"/>
        <v/>
      </c>
      <c r="AF914" s="12" t="str">
        <f t="shared" si="159"/>
        <v/>
      </c>
      <c r="AG914" s="12" t="str">
        <f t="shared" si="160"/>
        <v>3/4/</v>
      </c>
      <c r="AH914" s="12" t="str">
        <f t="shared" si="161"/>
        <v>18/32/</v>
      </c>
      <c r="AI914" s="12" t="str">
        <f t="shared" si="162"/>
        <v>10/5</v>
      </c>
    </row>
    <row r="915" spans="1:35" s="8" customFormat="1" ht="21.95" customHeight="1">
      <c r="A915" s="9">
        <v>913</v>
      </c>
      <c r="B915" s="17">
        <v>913</v>
      </c>
      <c r="C915" s="6">
        <v>30</v>
      </c>
      <c r="D915" s="6">
        <v>0</v>
      </c>
      <c r="E915" s="5">
        <v>100</v>
      </c>
      <c r="F915" s="5">
        <v>100</v>
      </c>
      <c r="G915" s="5">
        <v>100</v>
      </c>
      <c r="H915" s="5">
        <v>0</v>
      </c>
      <c r="I915" s="5">
        <v>100</v>
      </c>
      <c r="J915" s="5">
        <v>100</v>
      </c>
      <c r="K915" s="15" t="s">
        <v>52</v>
      </c>
      <c r="L915" s="6">
        <v>3</v>
      </c>
      <c r="M915" s="6">
        <v>6</v>
      </c>
      <c r="N915" s="6">
        <v>0</v>
      </c>
      <c r="O915" s="5">
        <v>0</v>
      </c>
      <c r="P915" s="5">
        <v>0</v>
      </c>
      <c r="Q915" s="5">
        <v>0</v>
      </c>
      <c r="R915" s="5">
        <v>0</v>
      </c>
      <c r="S915" s="5">
        <v>0</v>
      </c>
      <c r="T915" s="5">
        <v>0</v>
      </c>
      <c r="U915" s="6">
        <v>0</v>
      </c>
      <c r="V915" s="5">
        <v>10</v>
      </c>
      <c r="W915" s="5">
        <v>5</v>
      </c>
      <c r="X915" s="16">
        <v>2000</v>
      </c>
      <c r="Y915" s="16">
        <v>7000</v>
      </c>
      <c r="Z915" s="16">
        <v>14000</v>
      </c>
      <c r="AA915" s="12" t="str">
        <f t="shared" si="154"/>
        <v>0/30</v>
      </c>
      <c r="AB915" s="12" t="str">
        <f t="shared" si="155"/>
        <v>100,100,100,0,100,100</v>
      </c>
      <c r="AC915" s="12">
        <f t="shared" si="156"/>
        <v>1</v>
      </c>
      <c r="AD915" s="12" t="str">
        <f t="shared" si="157"/>
        <v>2000/7000/14000</v>
      </c>
      <c r="AE915" s="12" t="str">
        <f t="shared" si="158"/>
        <v>0/</v>
      </c>
      <c r="AF915" s="12" t="str">
        <f t="shared" si="159"/>
        <v>6/</v>
      </c>
      <c r="AG915" s="12" t="str">
        <f t="shared" si="160"/>
        <v/>
      </c>
      <c r="AH915" s="12" t="str">
        <f t="shared" si="161"/>
        <v/>
      </c>
      <c r="AI915" s="12" t="str">
        <f t="shared" si="162"/>
        <v>10/5</v>
      </c>
    </row>
    <row r="916" spans="1:35" s="8" customFormat="1" ht="21.95" customHeight="1">
      <c r="A916" s="9">
        <v>914</v>
      </c>
      <c r="B916" s="17">
        <v>914</v>
      </c>
      <c r="C916" s="6">
        <v>30</v>
      </c>
      <c r="D916" s="6">
        <v>0</v>
      </c>
      <c r="E916" s="5">
        <v>100</v>
      </c>
      <c r="F916" s="5">
        <v>100</v>
      </c>
      <c r="G916" s="5">
        <v>100</v>
      </c>
      <c r="H916" s="5">
        <v>100</v>
      </c>
      <c r="I916" s="5">
        <v>0</v>
      </c>
      <c r="J916" s="5">
        <v>100</v>
      </c>
      <c r="K916" s="15" t="s">
        <v>52</v>
      </c>
      <c r="L916" s="6">
        <v>3</v>
      </c>
      <c r="M916" s="6">
        <v>2</v>
      </c>
      <c r="N916" s="6">
        <v>4</v>
      </c>
      <c r="O916" s="5">
        <v>0</v>
      </c>
      <c r="P916" s="5">
        <v>0</v>
      </c>
      <c r="Q916" s="5">
        <v>0</v>
      </c>
      <c r="R916" s="5">
        <v>0</v>
      </c>
      <c r="S916" s="5">
        <v>0</v>
      </c>
      <c r="T916" s="5">
        <v>0</v>
      </c>
      <c r="U916" s="6">
        <v>0</v>
      </c>
      <c r="V916" s="5">
        <v>10</v>
      </c>
      <c r="W916" s="5">
        <v>5</v>
      </c>
      <c r="X916" s="16">
        <v>2000</v>
      </c>
      <c r="Y916" s="16">
        <v>7000</v>
      </c>
      <c r="Z916" s="16">
        <v>14000</v>
      </c>
      <c r="AA916" s="12" t="str">
        <f t="shared" si="154"/>
        <v>0/30</v>
      </c>
      <c r="AB916" s="12" t="str">
        <f t="shared" si="155"/>
        <v>100,100,100,100,0,100</v>
      </c>
      <c r="AC916" s="12">
        <f t="shared" si="156"/>
        <v>1</v>
      </c>
      <c r="AD916" s="12" t="str">
        <f t="shared" si="157"/>
        <v>2000/7000/14000</v>
      </c>
      <c r="AE916" s="12" t="str">
        <f t="shared" si="158"/>
        <v>0/1/</v>
      </c>
      <c r="AF916" s="12" t="str">
        <f t="shared" si="159"/>
        <v>2/4/</v>
      </c>
      <c r="AG916" s="12" t="str">
        <f t="shared" si="160"/>
        <v/>
      </c>
      <c r="AH916" s="12" t="str">
        <f t="shared" si="161"/>
        <v/>
      </c>
      <c r="AI916" s="12" t="str">
        <f t="shared" si="162"/>
        <v>10/5</v>
      </c>
    </row>
    <row r="917" spans="1:35" s="8" customFormat="1" ht="21.95" customHeight="1">
      <c r="A917" s="9">
        <v>915</v>
      </c>
      <c r="B917" s="17">
        <v>915</v>
      </c>
      <c r="C917" s="6">
        <v>0</v>
      </c>
      <c r="D917" s="6">
        <v>60</v>
      </c>
      <c r="E917" s="5">
        <v>100</v>
      </c>
      <c r="F917" s="5">
        <v>100</v>
      </c>
      <c r="G917" s="5">
        <v>100</v>
      </c>
      <c r="H917" s="5">
        <v>100</v>
      </c>
      <c r="I917" s="5">
        <v>100</v>
      </c>
      <c r="J917" s="5">
        <v>0</v>
      </c>
      <c r="K917" s="15" t="s">
        <v>54</v>
      </c>
      <c r="L917" s="6">
        <v>3</v>
      </c>
      <c r="M917" s="6">
        <v>0</v>
      </c>
      <c r="N917" s="6">
        <v>0</v>
      </c>
      <c r="O917" s="5">
        <v>0</v>
      </c>
      <c r="P917" s="5">
        <v>0</v>
      </c>
      <c r="Q917" s="5">
        <v>0</v>
      </c>
      <c r="R917" s="5">
        <v>0</v>
      </c>
      <c r="S917" s="5">
        <v>0</v>
      </c>
      <c r="T917" s="5">
        <v>0</v>
      </c>
      <c r="U917" s="6">
        <v>0</v>
      </c>
      <c r="V917" s="5">
        <v>10</v>
      </c>
      <c r="W917" s="5">
        <v>5</v>
      </c>
      <c r="X917" s="16">
        <v>2000</v>
      </c>
      <c r="Y917" s="16">
        <v>7000</v>
      </c>
      <c r="Z917" s="16">
        <v>14000</v>
      </c>
      <c r="AA917" s="12" t="str">
        <f t="shared" si="154"/>
        <v>1/60</v>
      </c>
      <c r="AB917" s="12" t="str">
        <f t="shared" si="155"/>
        <v>100,100,100,100,100,0</v>
      </c>
      <c r="AC917" s="12">
        <f t="shared" si="156"/>
        <v>3</v>
      </c>
      <c r="AD917" s="12" t="str">
        <f t="shared" si="157"/>
        <v>2000/7000/14000</v>
      </c>
      <c r="AE917" s="12" t="str">
        <f t="shared" si="158"/>
        <v/>
      </c>
      <c r="AF917" s="12" t="str">
        <f t="shared" si="159"/>
        <v/>
      </c>
      <c r="AG917" s="12" t="str">
        <f t="shared" si="160"/>
        <v/>
      </c>
      <c r="AH917" s="12" t="str">
        <f t="shared" si="161"/>
        <v/>
      </c>
      <c r="AI917" s="12" t="str">
        <f t="shared" si="162"/>
        <v>10/5</v>
      </c>
    </row>
    <row r="918" spans="1:35" s="8" customFormat="1" ht="21.95" customHeight="1">
      <c r="A918" s="9">
        <v>916</v>
      </c>
      <c r="B918" s="17">
        <v>916</v>
      </c>
      <c r="C918" s="6">
        <v>0</v>
      </c>
      <c r="D918" s="6">
        <v>60</v>
      </c>
      <c r="E918" s="5">
        <v>0</v>
      </c>
      <c r="F918" s="5">
        <v>100</v>
      </c>
      <c r="G918" s="5">
        <v>100</v>
      </c>
      <c r="H918" s="5">
        <v>100</v>
      </c>
      <c r="I918" s="5">
        <v>100</v>
      </c>
      <c r="J918" s="5">
        <v>100</v>
      </c>
      <c r="K918" s="15" t="s">
        <v>54</v>
      </c>
      <c r="L918" s="6">
        <v>3</v>
      </c>
      <c r="M918" s="6">
        <v>0</v>
      </c>
      <c r="N918" s="6">
        <v>0</v>
      </c>
      <c r="O918" s="5">
        <v>0</v>
      </c>
      <c r="P918" s="5">
        <v>0</v>
      </c>
      <c r="Q918" s="5">
        <v>0</v>
      </c>
      <c r="R918" s="5">
        <v>0</v>
      </c>
      <c r="S918" s="5">
        <v>0</v>
      </c>
      <c r="T918" s="5">
        <v>0</v>
      </c>
      <c r="U918" s="6">
        <v>0</v>
      </c>
      <c r="V918" s="5">
        <v>10</v>
      </c>
      <c r="W918" s="5">
        <v>5</v>
      </c>
      <c r="X918" s="16">
        <v>2000</v>
      </c>
      <c r="Y918" s="16">
        <v>7000</v>
      </c>
      <c r="Z918" s="16">
        <v>14000</v>
      </c>
      <c r="AA918" s="12" t="str">
        <f t="shared" si="154"/>
        <v>1/60</v>
      </c>
      <c r="AB918" s="12" t="str">
        <f t="shared" si="155"/>
        <v>0,100,100,100,100,100</v>
      </c>
      <c r="AC918" s="12">
        <f t="shared" si="156"/>
        <v>3</v>
      </c>
      <c r="AD918" s="12" t="str">
        <f t="shared" si="157"/>
        <v>2000/7000/14000</v>
      </c>
      <c r="AE918" s="12" t="str">
        <f t="shared" si="158"/>
        <v/>
      </c>
      <c r="AF918" s="12" t="str">
        <f t="shared" si="159"/>
        <v/>
      </c>
      <c r="AG918" s="12" t="str">
        <f t="shared" si="160"/>
        <v/>
      </c>
      <c r="AH918" s="12" t="str">
        <f t="shared" si="161"/>
        <v/>
      </c>
      <c r="AI918" s="12" t="str">
        <f t="shared" si="162"/>
        <v>10/5</v>
      </c>
    </row>
    <row r="919" spans="1:35" s="8" customFormat="1" ht="21.95" customHeight="1">
      <c r="A919" s="9">
        <v>917</v>
      </c>
      <c r="B919" s="17">
        <v>917</v>
      </c>
      <c r="C919" s="6">
        <v>30</v>
      </c>
      <c r="D919" s="6">
        <v>0</v>
      </c>
      <c r="E919" s="5">
        <v>100</v>
      </c>
      <c r="F919" s="5">
        <v>0</v>
      </c>
      <c r="G919" s="5">
        <v>100</v>
      </c>
      <c r="H919" s="5">
        <v>100</v>
      </c>
      <c r="I919" s="5">
        <v>100</v>
      </c>
      <c r="J919" s="5">
        <v>100</v>
      </c>
      <c r="K919" s="15" t="s">
        <v>55</v>
      </c>
      <c r="L919" s="6">
        <v>3</v>
      </c>
      <c r="M919" s="6">
        <v>0</v>
      </c>
      <c r="N919" s="6">
        <v>0</v>
      </c>
      <c r="O919" s="5">
        <v>0</v>
      </c>
      <c r="P919" s="5">
        <v>0</v>
      </c>
      <c r="Q919" s="5">
        <v>0</v>
      </c>
      <c r="R919" s="5">
        <v>0</v>
      </c>
      <c r="S919" s="5">
        <v>0</v>
      </c>
      <c r="T919" s="5">
        <v>0</v>
      </c>
      <c r="U919" s="6">
        <v>5</v>
      </c>
      <c r="V919" s="5">
        <v>10</v>
      </c>
      <c r="W919" s="5">
        <v>5</v>
      </c>
      <c r="X919" s="16">
        <v>2000</v>
      </c>
      <c r="Y919" s="16">
        <v>7000</v>
      </c>
      <c r="Z919" s="16">
        <v>14000</v>
      </c>
      <c r="AA919" s="12" t="str">
        <f t="shared" si="154"/>
        <v>0/30</v>
      </c>
      <c r="AB919" s="12" t="str">
        <f t="shared" si="155"/>
        <v>100,0,100,100,100,100</v>
      </c>
      <c r="AC919" s="12">
        <f t="shared" si="156"/>
        <v>4</v>
      </c>
      <c r="AD919" s="12" t="str">
        <f t="shared" si="157"/>
        <v>2000/7000/14000</v>
      </c>
      <c r="AE919" s="12" t="str">
        <f t="shared" si="158"/>
        <v/>
      </c>
      <c r="AF919" s="12" t="str">
        <f t="shared" si="159"/>
        <v/>
      </c>
      <c r="AG919" s="12" t="str">
        <f t="shared" si="160"/>
        <v/>
      </c>
      <c r="AH919" s="12" t="str">
        <f t="shared" si="161"/>
        <v/>
      </c>
      <c r="AI919" s="12" t="str">
        <f t="shared" si="162"/>
        <v>10/5</v>
      </c>
    </row>
    <row r="920" spans="1:35" s="8" customFormat="1" ht="21.95" customHeight="1">
      <c r="A920" s="9">
        <v>918</v>
      </c>
      <c r="B920" s="17">
        <v>918</v>
      </c>
      <c r="C920" s="6">
        <v>30</v>
      </c>
      <c r="D920" s="6">
        <v>0</v>
      </c>
      <c r="E920" s="5">
        <v>100</v>
      </c>
      <c r="F920" s="5">
        <v>100</v>
      </c>
      <c r="G920" s="5">
        <v>0</v>
      </c>
      <c r="H920" s="5">
        <v>100</v>
      </c>
      <c r="I920" s="5">
        <v>100</v>
      </c>
      <c r="J920" s="5">
        <v>100</v>
      </c>
      <c r="K920" s="15" t="s">
        <v>55</v>
      </c>
      <c r="L920" s="6">
        <v>3</v>
      </c>
      <c r="M920" s="6">
        <v>0</v>
      </c>
      <c r="N920" s="6">
        <v>0</v>
      </c>
      <c r="O920" s="5">
        <v>0</v>
      </c>
      <c r="P920" s="5">
        <v>0</v>
      </c>
      <c r="Q920" s="5">
        <v>0</v>
      </c>
      <c r="R920" s="5">
        <v>0</v>
      </c>
      <c r="S920" s="5">
        <v>0</v>
      </c>
      <c r="T920" s="5">
        <v>0</v>
      </c>
      <c r="U920" s="6">
        <v>5</v>
      </c>
      <c r="V920" s="5">
        <v>10</v>
      </c>
      <c r="W920" s="5">
        <v>5</v>
      </c>
      <c r="X920" s="16">
        <v>2000</v>
      </c>
      <c r="Y920" s="16">
        <v>7000</v>
      </c>
      <c r="Z920" s="16">
        <v>14000</v>
      </c>
      <c r="AA920" s="12" t="str">
        <f t="shared" si="154"/>
        <v>0/30</v>
      </c>
      <c r="AB920" s="12" t="str">
        <f t="shared" si="155"/>
        <v>100,100,0,100,100,100</v>
      </c>
      <c r="AC920" s="12">
        <f t="shared" si="156"/>
        <v>4</v>
      </c>
      <c r="AD920" s="12" t="str">
        <f t="shared" si="157"/>
        <v>2000/7000/14000</v>
      </c>
      <c r="AE920" s="12" t="str">
        <f t="shared" si="158"/>
        <v/>
      </c>
      <c r="AF920" s="12" t="str">
        <f t="shared" si="159"/>
        <v/>
      </c>
      <c r="AG920" s="12" t="str">
        <f t="shared" si="160"/>
        <v/>
      </c>
      <c r="AH920" s="12" t="str">
        <f t="shared" si="161"/>
        <v/>
      </c>
      <c r="AI920" s="12" t="str">
        <f t="shared" si="162"/>
        <v>10/5</v>
      </c>
    </row>
    <row r="921" spans="1:35" s="8" customFormat="1" ht="21.95" customHeight="1">
      <c r="A921" s="9">
        <v>919</v>
      </c>
      <c r="B921" s="17">
        <v>919</v>
      </c>
      <c r="C921" s="6">
        <v>32</v>
      </c>
      <c r="D921" s="6">
        <v>0</v>
      </c>
      <c r="E921" s="5">
        <v>100</v>
      </c>
      <c r="F921" s="5">
        <v>100</v>
      </c>
      <c r="G921" s="5">
        <v>100</v>
      </c>
      <c r="H921" s="5">
        <v>0</v>
      </c>
      <c r="I921" s="5">
        <v>100</v>
      </c>
      <c r="J921" s="5">
        <v>100</v>
      </c>
      <c r="K921" s="15" t="s">
        <v>51</v>
      </c>
      <c r="L921" s="6">
        <v>3</v>
      </c>
      <c r="M921" s="6">
        <v>0</v>
      </c>
      <c r="N921" s="6">
        <v>0</v>
      </c>
      <c r="O921" s="5">
        <v>0</v>
      </c>
      <c r="P921" s="5">
        <v>0</v>
      </c>
      <c r="Q921" s="5">
        <v>0</v>
      </c>
      <c r="R921" s="5">
        <v>0</v>
      </c>
      <c r="S921" s="5">
        <v>0</v>
      </c>
      <c r="T921" s="5">
        <v>0</v>
      </c>
      <c r="U921" s="6">
        <v>0</v>
      </c>
      <c r="V921" s="5">
        <v>10</v>
      </c>
      <c r="W921" s="5">
        <v>5</v>
      </c>
      <c r="X921" s="16">
        <v>2000</v>
      </c>
      <c r="Y921" s="16">
        <v>7000</v>
      </c>
      <c r="Z921" s="16">
        <v>14000</v>
      </c>
      <c r="AA921" s="12" t="str">
        <f t="shared" si="154"/>
        <v>0/32</v>
      </c>
      <c r="AB921" s="12" t="str">
        <f t="shared" si="155"/>
        <v>100,100,100,0,100,100</v>
      </c>
      <c r="AC921" s="12">
        <f t="shared" si="156"/>
        <v>0</v>
      </c>
      <c r="AD921" s="12" t="str">
        <f t="shared" si="157"/>
        <v>2000/7000/14000</v>
      </c>
      <c r="AE921" s="12" t="str">
        <f t="shared" si="158"/>
        <v/>
      </c>
      <c r="AF921" s="12" t="str">
        <f t="shared" si="159"/>
        <v/>
      </c>
      <c r="AG921" s="12" t="str">
        <f t="shared" si="160"/>
        <v/>
      </c>
      <c r="AH921" s="12" t="str">
        <f t="shared" si="161"/>
        <v/>
      </c>
      <c r="AI921" s="12" t="str">
        <f t="shared" si="162"/>
        <v>10/5</v>
      </c>
    </row>
    <row r="922" spans="1:35" s="8" customFormat="1" ht="21.95" customHeight="1">
      <c r="A922" s="9">
        <v>920</v>
      </c>
      <c r="B922" s="17">
        <v>920</v>
      </c>
      <c r="C922" s="6">
        <v>30</v>
      </c>
      <c r="D922" s="6">
        <v>0</v>
      </c>
      <c r="E922" s="5">
        <v>100</v>
      </c>
      <c r="F922" s="5">
        <v>100</v>
      </c>
      <c r="G922" s="5">
        <v>100</v>
      </c>
      <c r="H922" s="5">
        <v>100</v>
      </c>
      <c r="I922" s="5">
        <v>0</v>
      </c>
      <c r="J922" s="5">
        <v>100</v>
      </c>
      <c r="K922" s="15" t="s">
        <v>53</v>
      </c>
      <c r="L922" s="6">
        <v>3</v>
      </c>
      <c r="M922" s="6">
        <v>0</v>
      </c>
      <c r="N922" s="6">
        <v>0</v>
      </c>
      <c r="O922" s="5">
        <v>16</v>
      </c>
      <c r="P922" s="5">
        <v>0</v>
      </c>
      <c r="Q922" s="5">
        <v>0</v>
      </c>
      <c r="R922" s="5">
        <v>0</v>
      </c>
      <c r="S922" s="5">
        <v>0</v>
      </c>
      <c r="T922" s="5">
        <v>18</v>
      </c>
      <c r="U922" s="6">
        <v>0</v>
      </c>
      <c r="V922" s="5">
        <v>10</v>
      </c>
      <c r="W922" s="5">
        <v>5</v>
      </c>
      <c r="X922" s="16">
        <v>2000</v>
      </c>
      <c r="Y922" s="16">
        <v>7000</v>
      </c>
      <c r="Z922" s="16">
        <v>14000</v>
      </c>
      <c r="AA922" s="12" t="str">
        <f t="shared" si="154"/>
        <v>0/30</v>
      </c>
      <c r="AB922" s="12" t="str">
        <f t="shared" si="155"/>
        <v>100,100,100,100,0,100</v>
      </c>
      <c r="AC922" s="12">
        <f t="shared" si="156"/>
        <v>2</v>
      </c>
      <c r="AD922" s="12" t="str">
        <f t="shared" si="157"/>
        <v>2000/7000/14000</v>
      </c>
      <c r="AE922" s="12" t="str">
        <f t="shared" si="158"/>
        <v/>
      </c>
      <c r="AF922" s="12" t="str">
        <f t="shared" si="159"/>
        <v/>
      </c>
      <c r="AG922" s="12" t="str">
        <f t="shared" si="160"/>
        <v>0/5/</v>
      </c>
      <c r="AH922" s="12" t="str">
        <f t="shared" si="161"/>
        <v>16/18/</v>
      </c>
      <c r="AI922" s="12" t="str">
        <f t="shared" si="162"/>
        <v>10/5</v>
      </c>
    </row>
    <row r="923" spans="1:35" s="8" customFormat="1" ht="21.95" customHeight="1">
      <c r="A923" s="9">
        <v>921</v>
      </c>
      <c r="B923" s="17">
        <v>921</v>
      </c>
      <c r="C923" s="6">
        <v>30</v>
      </c>
      <c r="D923" s="6">
        <v>0</v>
      </c>
      <c r="E923" s="5">
        <v>100</v>
      </c>
      <c r="F923" s="5">
        <v>100</v>
      </c>
      <c r="G923" s="5">
        <v>100</v>
      </c>
      <c r="H923" s="5">
        <v>100</v>
      </c>
      <c r="I923" s="5">
        <v>100</v>
      </c>
      <c r="J923" s="5">
        <v>0</v>
      </c>
      <c r="K923" s="15" t="s">
        <v>52</v>
      </c>
      <c r="L923" s="6">
        <v>3</v>
      </c>
      <c r="M923" s="6">
        <v>6</v>
      </c>
      <c r="N923" s="6">
        <v>0</v>
      </c>
      <c r="O923" s="5">
        <v>0</v>
      </c>
      <c r="P923" s="5">
        <v>0</v>
      </c>
      <c r="Q923" s="5">
        <v>0</v>
      </c>
      <c r="R923" s="5">
        <v>0</v>
      </c>
      <c r="S923" s="5">
        <v>0</v>
      </c>
      <c r="T923" s="5">
        <v>0</v>
      </c>
      <c r="U923" s="6">
        <v>0</v>
      </c>
      <c r="V923" s="5">
        <v>10</v>
      </c>
      <c r="W923" s="5">
        <v>5</v>
      </c>
      <c r="X923" s="16">
        <v>2000</v>
      </c>
      <c r="Y923" s="16">
        <v>7000</v>
      </c>
      <c r="Z923" s="16">
        <v>14000</v>
      </c>
      <c r="AA923" s="12" t="str">
        <f t="shared" si="154"/>
        <v>0/30</v>
      </c>
      <c r="AB923" s="12" t="str">
        <f t="shared" si="155"/>
        <v>100,100,100,100,100,0</v>
      </c>
      <c r="AC923" s="12">
        <f t="shared" si="156"/>
        <v>1</v>
      </c>
      <c r="AD923" s="12" t="str">
        <f t="shared" si="157"/>
        <v>2000/7000/14000</v>
      </c>
      <c r="AE923" s="12" t="str">
        <f t="shared" si="158"/>
        <v>0/</v>
      </c>
      <c r="AF923" s="12" t="str">
        <f t="shared" si="159"/>
        <v>6/</v>
      </c>
      <c r="AG923" s="12" t="str">
        <f t="shared" si="160"/>
        <v/>
      </c>
      <c r="AH923" s="12" t="str">
        <f t="shared" si="161"/>
        <v/>
      </c>
      <c r="AI923" s="12" t="str">
        <f t="shared" si="162"/>
        <v>10/5</v>
      </c>
    </row>
    <row r="924" spans="1:35" s="8" customFormat="1" ht="21.95" customHeight="1">
      <c r="A924" s="9">
        <v>922</v>
      </c>
      <c r="B924" s="17">
        <v>922</v>
      </c>
      <c r="C924" s="6">
        <v>30</v>
      </c>
      <c r="D924" s="6">
        <v>0</v>
      </c>
      <c r="E924" s="5">
        <v>0</v>
      </c>
      <c r="F924" s="5">
        <v>100</v>
      </c>
      <c r="G924" s="5">
        <v>100</v>
      </c>
      <c r="H924" s="5">
        <v>100</v>
      </c>
      <c r="I924" s="5">
        <v>100</v>
      </c>
      <c r="J924" s="5">
        <v>100</v>
      </c>
      <c r="K924" s="15" t="s">
        <v>52</v>
      </c>
      <c r="L924" s="6">
        <v>3</v>
      </c>
      <c r="M924" s="6">
        <v>0</v>
      </c>
      <c r="N924" s="6">
        <v>6</v>
      </c>
      <c r="O924" s="5">
        <v>0</v>
      </c>
      <c r="P924" s="5">
        <v>0</v>
      </c>
      <c r="Q924" s="5">
        <v>0</v>
      </c>
      <c r="R924" s="5">
        <v>0</v>
      </c>
      <c r="S924" s="5">
        <v>0</v>
      </c>
      <c r="T924" s="5">
        <v>0</v>
      </c>
      <c r="U924" s="6">
        <v>0</v>
      </c>
      <c r="V924" s="5">
        <v>10</v>
      </c>
      <c r="W924" s="5">
        <v>5</v>
      </c>
      <c r="X924" s="16">
        <v>2000</v>
      </c>
      <c r="Y924" s="16">
        <v>7000</v>
      </c>
      <c r="Z924" s="16">
        <v>14000</v>
      </c>
      <c r="AA924" s="12" t="str">
        <f t="shared" si="154"/>
        <v>0/30</v>
      </c>
      <c r="AB924" s="12" t="str">
        <f t="shared" si="155"/>
        <v>0,100,100,100,100,100</v>
      </c>
      <c r="AC924" s="12">
        <f t="shared" si="156"/>
        <v>1</v>
      </c>
      <c r="AD924" s="12" t="str">
        <f t="shared" si="157"/>
        <v>2000/7000/14000</v>
      </c>
      <c r="AE924" s="12" t="str">
        <f t="shared" si="158"/>
        <v>1/</v>
      </c>
      <c r="AF924" s="12" t="str">
        <f t="shared" si="159"/>
        <v>6/</v>
      </c>
      <c r="AG924" s="12" t="str">
        <f t="shared" si="160"/>
        <v/>
      </c>
      <c r="AH924" s="12" t="str">
        <f t="shared" si="161"/>
        <v/>
      </c>
      <c r="AI924" s="12" t="str">
        <f t="shared" si="162"/>
        <v>10/5</v>
      </c>
    </row>
    <row r="925" spans="1:35" s="8" customFormat="1" ht="21.95" customHeight="1">
      <c r="A925" s="9">
        <v>923</v>
      </c>
      <c r="B925" s="17">
        <v>923</v>
      </c>
      <c r="C925" s="6">
        <v>0</v>
      </c>
      <c r="D925" s="6">
        <v>60</v>
      </c>
      <c r="E925" s="5">
        <v>100</v>
      </c>
      <c r="F925" s="5">
        <v>0</v>
      </c>
      <c r="G925" s="5">
        <v>100</v>
      </c>
      <c r="H925" s="5">
        <v>100</v>
      </c>
      <c r="I925" s="5">
        <v>100</v>
      </c>
      <c r="J925" s="5">
        <v>100</v>
      </c>
      <c r="K925" s="15" t="s">
        <v>54</v>
      </c>
      <c r="L925" s="6">
        <v>3</v>
      </c>
      <c r="M925" s="6">
        <v>0</v>
      </c>
      <c r="N925" s="6">
        <v>0</v>
      </c>
      <c r="O925" s="5">
        <v>0</v>
      </c>
      <c r="P925" s="5">
        <v>0</v>
      </c>
      <c r="Q925" s="5">
        <v>0</v>
      </c>
      <c r="R925" s="5">
        <v>0</v>
      </c>
      <c r="S925" s="5">
        <v>0</v>
      </c>
      <c r="T925" s="5">
        <v>0</v>
      </c>
      <c r="U925" s="6">
        <v>0</v>
      </c>
      <c r="V925" s="5">
        <v>10</v>
      </c>
      <c r="W925" s="5">
        <v>5</v>
      </c>
      <c r="X925" s="16">
        <v>2000</v>
      </c>
      <c r="Y925" s="16">
        <v>7000</v>
      </c>
      <c r="Z925" s="16">
        <v>14000</v>
      </c>
      <c r="AA925" s="12" t="str">
        <f t="shared" si="154"/>
        <v>1/60</v>
      </c>
      <c r="AB925" s="12" t="str">
        <f t="shared" si="155"/>
        <v>100,0,100,100,100,100</v>
      </c>
      <c r="AC925" s="12">
        <f t="shared" si="156"/>
        <v>3</v>
      </c>
      <c r="AD925" s="12" t="str">
        <f t="shared" si="157"/>
        <v>2000/7000/14000</v>
      </c>
      <c r="AE925" s="12" t="str">
        <f t="shared" si="158"/>
        <v/>
      </c>
      <c r="AF925" s="12" t="str">
        <f t="shared" si="159"/>
        <v/>
      </c>
      <c r="AG925" s="12" t="str">
        <f t="shared" si="160"/>
        <v/>
      </c>
      <c r="AH925" s="12" t="str">
        <f t="shared" si="161"/>
        <v/>
      </c>
      <c r="AI925" s="12" t="str">
        <f t="shared" si="162"/>
        <v>10/5</v>
      </c>
    </row>
    <row r="926" spans="1:35" s="8" customFormat="1" ht="21.95" customHeight="1">
      <c r="A926" s="9">
        <v>924</v>
      </c>
      <c r="B926" s="17">
        <v>924</v>
      </c>
      <c r="C926" s="6">
        <v>0</v>
      </c>
      <c r="D926" s="6">
        <v>60</v>
      </c>
      <c r="E926" s="5">
        <v>100</v>
      </c>
      <c r="F926" s="5">
        <v>100</v>
      </c>
      <c r="G926" s="5">
        <v>0</v>
      </c>
      <c r="H926" s="5">
        <v>100</v>
      </c>
      <c r="I926" s="5">
        <v>100</v>
      </c>
      <c r="J926" s="5">
        <v>100</v>
      </c>
      <c r="K926" s="15" t="s">
        <v>54</v>
      </c>
      <c r="L926" s="6">
        <v>3</v>
      </c>
      <c r="M926" s="6">
        <v>0</v>
      </c>
      <c r="N926" s="6">
        <v>0</v>
      </c>
      <c r="O926" s="5">
        <v>0</v>
      </c>
      <c r="P926" s="5">
        <v>0</v>
      </c>
      <c r="Q926" s="5">
        <v>0</v>
      </c>
      <c r="R926" s="5">
        <v>0</v>
      </c>
      <c r="S926" s="5">
        <v>0</v>
      </c>
      <c r="T926" s="5">
        <v>0</v>
      </c>
      <c r="U926" s="6">
        <v>0</v>
      </c>
      <c r="V926" s="5">
        <v>10</v>
      </c>
      <c r="W926" s="5">
        <v>5</v>
      </c>
      <c r="X926" s="16">
        <v>2000</v>
      </c>
      <c r="Y926" s="16">
        <v>7000</v>
      </c>
      <c r="Z926" s="16">
        <v>14000</v>
      </c>
      <c r="AA926" s="12" t="str">
        <f t="shared" si="154"/>
        <v>1/60</v>
      </c>
      <c r="AB926" s="12" t="str">
        <f t="shared" si="155"/>
        <v>100,100,0,100,100,100</v>
      </c>
      <c r="AC926" s="12">
        <f t="shared" si="156"/>
        <v>3</v>
      </c>
      <c r="AD926" s="12" t="str">
        <f t="shared" si="157"/>
        <v>2000/7000/14000</v>
      </c>
      <c r="AE926" s="12" t="str">
        <f t="shared" si="158"/>
        <v/>
      </c>
      <c r="AF926" s="12" t="str">
        <f t="shared" si="159"/>
        <v/>
      </c>
      <c r="AG926" s="12" t="str">
        <f t="shared" si="160"/>
        <v/>
      </c>
      <c r="AH926" s="12" t="str">
        <f t="shared" si="161"/>
        <v/>
      </c>
      <c r="AI926" s="12" t="str">
        <f t="shared" si="162"/>
        <v>10/5</v>
      </c>
    </row>
    <row r="927" spans="1:35" s="8" customFormat="1" ht="21.95" customHeight="1">
      <c r="A927" s="9">
        <v>925</v>
      </c>
      <c r="B927" s="17">
        <v>925</v>
      </c>
      <c r="C927" s="6">
        <v>30</v>
      </c>
      <c r="D927" s="6">
        <v>0</v>
      </c>
      <c r="E927" s="5">
        <v>100</v>
      </c>
      <c r="F927" s="5">
        <v>100</v>
      </c>
      <c r="G927" s="5">
        <v>100</v>
      </c>
      <c r="H927" s="5">
        <v>0</v>
      </c>
      <c r="I927" s="5">
        <v>100</v>
      </c>
      <c r="J927" s="5">
        <v>100</v>
      </c>
      <c r="K927" s="15" t="s">
        <v>55</v>
      </c>
      <c r="L927" s="6">
        <v>3</v>
      </c>
      <c r="M927" s="6">
        <v>0</v>
      </c>
      <c r="N927" s="6">
        <v>0</v>
      </c>
      <c r="O927" s="5">
        <v>0</v>
      </c>
      <c r="P927" s="5">
        <v>0</v>
      </c>
      <c r="Q927" s="5">
        <v>0</v>
      </c>
      <c r="R927" s="5">
        <v>0</v>
      </c>
      <c r="S927" s="5">
        <v>0</v>
      </c>
      <c r="T927" s="5">
        <v>0</v>
      </c>
      <c r="U927" s="6">
        <v>5</v>
      </c>
      <c r="V927" s="5">
        <v>10</v>
      </c>
      <c r="W927" s="5">
        <v>5</v>
      </c>
      <c r="X927" s="16">
        <v>2000</v>
      </c>
      <c r="Y927" s="16">
        <v>7000</v>
      </c>
      <c r="Z927" s="16">
        <v>14000</v>
      </c>
      <c r="AA927" s="12" t="str">
        <f t="shared" si="154"/>
        <v>0/30</v>
      </c>
      <c r="AB927" s="12" t="str">
        <f t="shared" si="155"/>
        <v>100,100,100,0,100,100</v>
      </c>
      <c r="AC927" s="12">
        <f t="shared" si="156"/>
        <v>4</v>
      </c>
      <c r="AD927" s="12" t="str">
        <f t="shared" si="157"/>
        <v>2000/7000/14000</v>
      </c>
      <c r="AE927" s="12" t="str">
        <f t="shared" si="158"/>
        <v/>
      </c>
      <c r="AF927" s="12" t="str">
        <f t="shared" si="159"/>
        <v/>
      </c>
      <c r="AG927" s="12" t="str">
        <f t="shared" si="160"/>
        <v/>
      </c>
      <c r="AH927" s="12" t="str">
        <f t="shared" si="161"/>
        <v/>
      </c>
      <c r="AI927" s="12" t="str">
        <f t="shared" si="162"/>
        <v>10/5</v>
      </c>
    </row>
    <row r="928" spans="1:35" s="8" customFormat="1" ht="21.95" customHeight="1">
      <c r="A928" s="9">
        <v>926</v>
      </c>
      <c r="B928" s="17">
        <v>926</v>
      </c>
      <c r="C928" s="6">
        <v>30</v>
      </c>
      <c r="D928" s="6">
        <v>0</v>
      </c>
      <c r="E928" s="5">
        <v>100</v>
      </c>
      <c r="F928" s="5">
        <v>100</v>
      </c>
      <c r="G928" s="5">
        <v>100</v>
      </c>
      <c r="H928" s="5">
        <v>100</v>
      </c>
      <c r="I928" s="5">
        <v>0</v>
      </c>
      <c r="J928" s="5">
        <v>100</v>
      </c>
      <c r="K928" s="15" t="s">
        <v>55</v>
      </c>
      <c r="L928" s="6">
        <v>3</v>
      </c>
      <c r="M928" s="6">
        <v>0</v>
      </c>
      <c r="N928" s="6">
        <v>0</v>
      </c>
      <c r="O928" s="5">
        <v>0</v>
      </c>
      <c r="P928" s="5">
        <v>0</v>
      </c>
      <c r="Q928" s="5">
        <v>0</v>
      </c>
      <c r="R928" s="5">
        <v>0</v>
      </c>
      <c r="S928" s="5">
        <v>0</v>
      </c>
      <c r="T928" s="5">
        <v>0</v>
      </c>
      <c r="U928" s="6">
        <v>5</v>
      </c>
      <c r="V928" s="5">
        <v>10</v>
      </c>
      <c r="W928" s="5">
        <v>5</v>
      </c>
      <c r="X928" s="16">
        <v>2000</v>
      </c>
      <c r="Y928" s="16">
        <v>7000</v>
      </c>
      <c r="Z928" s="16">
        <v>14000</v>
      </c>
      <c r="AA928" s="12" t="str">
        <f t="shared" si="154"/>
        <v>0/30</v>
      </c>
      <c r="AB928" s="12" t="str">
        <f t="shared" si="155"/>
        <v>100,100,100,100,0,100</v>
      </c>
      <c r="AC928" s="12">
        <f t="shared" si="156"/>
        <v>4</v>
      </c>
      <c r="AD928" s="12" t="str">
        <f t="shared" si="157"/>
        <v>2000/7000/14000</v>
      </c>
      <c r="AE928" s="12" t="str">
        <f t="shared" si="158"/>
        <v/>
      </c>
      <c r="AF928" s="12" t="str">
        <f t="shared" si="159"/>
        <v/>
      </c>
      <c r="AG928" s="12" t="str">
        <f t="shared" si="160"/>
        <v/>
      </c>
      <c r="AH928" s="12" t="str">
        <f t="shared" si="161"/>
        <v/>
      </c>
      <c r="AI928" s="12" t="str">
        <f t="shared" si="162"/>
        <v>10/5</v>
      </c>
    </row>
    <row r="929" spans="1:35" s="8" customFormat="1" ht="21.95" customHeight="1">
      <c r="A929" s="9">
        <v>927</v>
      </c>
      <c r="B929" s="17">
        <v>927</v>
      </c>
      <c r="C929" s="6">
        <v>30</v>
      </c>
      <c r="D929" s="6">
        <v>0</v>
      </c>
      <c r="E929" s="5">
        <v>100</v>
      </c>
      <c r="F929" s="5">
        <v>100</v>
      </c>
      <c r="G929" s="5">
        <v>100</v>
      </c>
      <c r="H929" s="5">
        <v>100</v>
      </c>
      <c r="I929" s="5">
        <v>100</v>
      </c>
      <c r="J929" s="5">
        <v>0</v>
      </c>
      <c r="K929" s="15" t="s">
        <v>56</v>
      </c>
      <c r="L929" s="6">
        <v>3</v>
      </c>
      <c r="M929" s="6">
        <v>0</v>
      </c>
      <c r="N929" s="6">
        <v>0</v>
      </c>
      <c r="O929" s="5">
        <v>0</v>
      </c>
      <c r="P929" s="5">
        <v>0</v>
      </c>
      <c r="Q929" s="5">
        <v>0</v>
      </c>
      <c r="R929" s="5">
        <v>0</v>
      </c>
      <c r="S929" s="5">
        <v>0</v>
      </c>
      <c r="T929" s="5">
        <v>0</v>
      </c>
      <c r="U929" s="6">
        <v>0</v>
      </c>
      <c r="V929" s="5">
        <v>10</v>
      </c>
      <c r="W929" s="5">
        <v>5</v>
      </c>
      <c r="X929" s="16">
        <v>2000</v>
      </c>
      <c r="Y929" s="16">
        <v>7000</v>
      </c>
      <c r="Z929" s="16">
        <v>14000</v>
      </c>
      <c r="AA929" s="12" t="str">
        <f t="shared" si="154"/>
        <v>0/30</v>
      </c>
      <c r="AB929" s="12" t="str">
        <f t="shared" si="155"/>
        <v>100,100,100,100,100,0</v>
      </c>
      <c r="AC929" s="12">
        <f t="shared" si="156"/>
        <v>5</v>
      </c>
      <c r="AD929" s="12" t="str">
        <f t="shared" si="157"/>
        <v>2000/7000/14000</v>
      </c>
      <c r="AE929" s="12" t="str">
        <f t="shared" si="158"/>
        <v/>
      </c>
      <c r="AF929" s="12" t="str">
        <f t="shared" si="159"/>
        <v/>
      </c>
      <c r="AG929" s="12" t="str">
        <f t="shared" si="160"/>
        <v/>
      </c>
      <c r="AH929" s="12" t="str">
        <f t="shared" si="161"/>
        <v/>
      </c>
      <c r="AI929" s="12" t="str">
        <f t="shared" si="162"/>
        <v>10/5</v>
      </c>
    </row>
    <row r="930" spans="1:35" s="8" customFormat="1" ht="21.95" customHeight="1">
      <c r="A930" s="9">
        <v>928</v>
      </c>
      <c r="B930" s="17">
        <v>928</v>
      </c>
      <c r="C930" s="6">
        <v>0</v>
      </c>
      <c r="D930" s="6">
        <v>60</v>
      </c>
      <c r="E930" s="5">
        <v>0</v>
      </c>
      <c r="F930" s="5">
        <v>100</v>
      </c>
      <c r="G930" s="5">
        <v>100</v>
      </c>
      <c r="H930" s="5">
        <v>100</v>
      </c>
      <c r="I930" s="5">
        <v>100</v>
      </c>
      <c r="J930" s="5">
        <v>100</v>
      </c>
      <c r="K930" s="15" t="s">
        <v>56</v>
      </c>
      <c r="L930" s="6">
        <v>3</v>
      </c>
      <c r="M930" s="6">
        <v>0</v>
      </c>
      <c r="N930" s="6">
        <v>0</v>
      </c>
      <c r="O930" s="5">
        <v>0</v>
      </c>
      <c r="P930" s="5">
        <v>0</v>
      </c>
      <c r="Q930" s="5">
        <v>0</v>
      </c>
      <c r="R930" s="5">
        <v>0</v>
      </c>
      <c r="S930" s="5">
        <v>0</v>
      </c>
      <c r="T930" s="5">
        <v>0</v>
      </c>
      <c r="U930" s="6">
        <v>0</v>
      </c>
      <c r="V930" s="5">
        <v>10</v>
      </c>
      <c r="W930" s="5">
        <v>5</v>
      </c>
      <c r="X930" s="16">
        <v>2000</v>
      </c>
      <c r="Y930" s="16">
        <v>7000</v>
      </c>
      <c r="Z930" s="16">
        <v>14000</v>
      </c>
      <c r="AA930" s="12" t="str">
        <f t="shared" ref="AA930:AA993" si="163">IF(C930=0,CONCATENATE("1/",D930),CONCATENATE("0/",C930))</f>
        <v>1/60</v>
      </c>
      <c r="AB930" s="12" t="str">
        <f t="shared" ref="AB930:AB993" si="164">CONCATENATE(E930,",",F930,",",G930,",",H930,",",I930,",",J930)</f>
        <v>0,100,100,100,100,100</v>
      </c>
      <c r="AC930" s="12">
        <f t="shared" ref="AC930:AC993" si="165">VLOOKUP(K930,$I$1005:$J$1012,2,FALSE)</f>
        <v>5</v>
      </c>
      <c r="AD930" s="12" t="str">
        <f t="shared" ref="AD930:AD993" si="166">CONCATENATE(X930,"/",Y930,"/",Z930)</f>
        <v>2000/7000/14000</v>
      </c>
      <c r="AE930" s="12" t="str">
        <f t="shared" ref="AE930:AE993" si="167">CONCATENATE(IF(M930=0,"","0/"),IF(N930=0,"","1/"))</f>
        <v/>
      </c>
      <c r="AF930" s="12" t="str">
        <f t="shared" ref="AF930:AF993" si="168">CONCATENATE(IF(M930=0,"",CONCATENATE(M930,"/")),IF(N930=0,"",CONCATENATE(N930,"/")))</f>
        <v/>
      </c>
      <c r="AG930" s="12" t="str">
        <f t="shared" ref="AG930:AG993" si="169">CONCATENATE(IF(O930=0,"","0/"),IF(P930=0,"","1/"),IF(Q930=0,"","2/"),IF(R930=0,"","3/"),IF(S930=0,"","4/"),IF(T930=0,"","5/"))</f>
        <v/>
      </c>
      <c r="AH930" s="12" t="str">
        <f t="shared" ref="AH930:AH993" si="170">CONCATENATE(IF(O930=0,"",CONCATENATE(O930,"/")),IF(P930=0,"",CONCATENATE(P930,"/")),IF(Q930=0,"",CONCATENATE(Q930,"/")),IF(R930=0,"",CONCATENATE(R930,"/")),IF(S930=0,"",CONCATENATE(S930,"/")),IF(T930=0,"",CONCATENATE(T930,"/")))</f>
        <v/>
      </c>
      <c r="AI930" s="12" t="str">
        <f t="shared" ref="AI930:AI993" si="171">CONCATENATE(V930,"/",W930)</f>
        <v>10/5</v>
      </c>
    </row>
    <row r="931" spans="1:35" s="8" customFormat="1" ht="21.95" customHeight="1">
      <c r="A931" s="9">
        <v>929</v>
      </c>
      <c r="B931" s="17">
        <v>929</v>
      </c>
      <c r="C931" s="6">
        <v>0</v>
      </c>
      <c r="D931" s="6">
        <v>60</v>
      </c>
      <c r="E931" s="5">
        <v>0</v>
      </c>
      <c r="F931" s="5">
        <v>100</v>
      </c>
      <c r="G931" s="5">
        <v>100</v>
      </c>
      <c r="H931" s="5">
        <v>100</v>
      </c>
      <c r="I931" s="5">
        <v>100</v>
      </c>
      <c r="J931" s="5">
        <v>100</v>
      </c>
      <c r="K931" s="15" t="s">
        <v>56</v>
      </c>
      <c r="L931" s="6">
        <v>3</v>
      </c>
      <c r="M931" s="6">
        <v>0</v>
      </c>
      <c r="N931" s="6">
        <v>0</v>
      </c>
      <c r="O931" s="5">
        <v>0</v>
      </c>
      <c r="P931" s="5">
        <v>0</v>
      </c>
      <c r="Q931" s="5">
        <v>0</v>
      </c>
      <c r="R931" s="5">
        <v>0</v>
      </c>
      <c r="S931" s="5">
        <v>0</v>
      </c>
      <c r="T931" s="5">
        <v>0</v>
      </c>
      <c r="U931" s="6">
        <v>0</v>
      </c>
      <c r="V931" s="5">
        <v>10</v>
      </c>
      <c r="W931" s="5">
        <v>5</v>
      </c>
      <c r="X931" s="16">
        <v>2000</v>
      </c>
      <c r="Y931" s="16">
        <v>7000</v>
      </c>
      <c r="Z931" s="16">
        <v>14000</v>
      </c>
      <c r="AA931" s="12" t="str">
        <f t="shared" si="163"/>
        <v>1/60</v>
      </c>
      <c r="AB931" s="12" t="str">
        <f t="shared" si="164"/>
        <v>0,100,100,100,100,100</v>
      </c>
      <c r="AC931" s="12">
        <f t="shared" si="165"/>
        <v>5</v>
      </c>
      <c r="AD931" s="12" t="str">
        <f t="shared" si="166"/>
        <v>2000/7000/14000</v>
      </c>
      <c r="AE931" s="12" t="str">
        <f t="shared" si="167"/>
        <v/>
      </c>
      <c r="AF931" s="12" t="str">
        <f t="shared" si="168"/>
        <v/>
      </c>
      <c r="AG931" s="12" t="str">
        <f t="shared" si="169"/>
        <v/>
      </c>
      <c r="AH931" s="12" t="str">
        <f t="shared" si="170"/>
        <v/>
      </c>
      <c r="AI931" s="12" t="str">
        <f t="shared" si="171"/>
        <v>10/5</v>
      </c>
    </row>
    <row r="932" spans="1:35" s="8" customFormat="1" ht="21.95" customHeight="1">
      <c r="A932" s="9">
        <v>930</v>
      </c>
      <c r="B932" s="17">
        <v>930</v>
      </c>
      <c r="C932" s="6">
        <v>30</v>
      </c>
      <c r="D932" s="6">
        <v>0</v>
      </c>
      <c r="E932" s="5">
        <v>100</v>
      </c>
      <c r="F932" s="5">
        <v>0</v>
      </c>
      <c r="G932" s="5">
        <v>100</v>
      </c>
      <c r="H932" s="5">
        <v>100</v>
      </c>
      <c r="I932" s="5">
        <v>100</v>
      </c>
      <c r="J932" s="5">
        <v>100</v>
      </c>
      <c r="K932" s="15" t="s">
        <v>53</v>
      </c>
      <c r="L932" s="6">
        <v>3</v>
      </c>
      <c r="M932" s="6">
        <v>0</v>
      </c>
      <c r="N932" s="6">
        <v>0</v>
      </c>
      <c r="O932" s="5">
        <v>0</v>
      </c>
      <c r="P932" s="5">
        <v>0</v>
      </c>
      <c r="Q932" s="5">
        <v>20</v>
      </c>
      <c r="R932" s="5">
        <v>24</v>
      </c>
      <c r="S932" s="5">
        <v>0</v>
      </c>
      <c r="T932" s="5">
        <v>0</v>
      </c>
      <c r="U932" s="6">
        <v>0</v>
      </c>
      <c r="V932" s="5">
        <v>10</v>
      </c>
      <c r="W932" s="5">
        <v>5</v>
      </c>
      <c r="X932" s="16">
        <v>2000</v>
      </c>
      <c r="Y932" s="16">
        <v>7000</v>
      </c>
      <c r="Z932" s="16">
        <v>14000</v>
      </c>
      <c r="AA932" s="12" t="str">
        <f t="shared" si="163"/>
        <v>0/30</v>
      </c>
      <c r="AB932" s="12" t="str">
        <f t="shared" si="164"/>
        <v>100,0,100,100,100,100</v>
      </c>
      <c r="AC932" s="12">
        <f t="shared" si="165"/>
        <v>2</v>
      </c>
      <c r="AD932" s="12" t="str">
        <f t="shared" si="166"/>
        <v>2000/7000/14000</v>
      </c>
      <c r="AE932" s="12" t="str">
        <f t="shared" si="167"/>
        <v/>
      </c>
      <c r="AF932" s="12" t="str">
        <f t="shared" si="168"/>
        <v/>
      </c>
      <c r="AG932" s="12" t="str">
        <f t="shared" si="169"/>
        <v>2/3/</v>
      </c>
      <c r="AH932" s="12" t="str">
        <f t="shared" si="170"/>
        <v>20/24/</v>
      </c>
      <c r="AI932" s="12" t="str">
        <f t="shared" si="171"/>
        <v>10/5</v>
      </c>
    </row>
    <row r="933" spans="1:35" s="8" customFormat="1" ht="21.95" customHeight="1">
      <c r="A933" s="9">
        <v>931</v>
      </c>
      <c r="B933" s="17">
        <v>931</v>
      </c>
      <c r="C933" s="6">
        <v>30</v>
      </c>
      <c r="D933" s="6">
        <v>0</v>
      </c>
      <c r="E933" s="5">
        <v>100</v>
      </c>
      <c r="F933" s="5">
        <v>100</v>
      </c>
      <c r="G933" s="5">
        <v>0</v>
      </c>
      <c r="H933" s="5">
        <v>100</v>
      </c>
      <c r="I933" s="5">
        <v>100</v>
      </c>
      <c r="J933" s="5">
        <v>100</v>
      </c>
      <c r="K933" s="15" t="s">
        <v>53</v>
      </c>
      <c r="L933" s="6">
        <v>3</v>
      </c>
      <c r="M933" s="6">
        <v>0</v>
      </c>
      <c r="N933" s="6">
        <v>0</v>
      </c>
      <c r="O933" s="5">
        <v>0</v>
      </c>
      <c r="P933" s="5">
        <v>0</v>
      </c>
      <c r="Q933" s="5">
        <v>0</v>
      </c>
      <c r="R933" s="5">
        <v>18</v>
      </c>
      <c r="S933" s="5">
        <v>32</v>
      </c>
      <c r="T933" s="5">
        <v>0</v>
      </c>
      <c r="U933" s="6">
        <v>0</v>
      </c>
      <c r="V933" s="5">
        <v>10</v>
      </c>
      <c r="W933" s="5">
        <v>5</v>
      </c>
      <c r="X933" s="16">
        <v>2000</v>
      </c>
      <c r="Y933" s="16">
        <v>7000</v>
      </c>
      <c r="Z933" s="16">
        <v>14000</v>
      </c>
      <c r="AA933" s="12" t="str">
        <f t="shared" si="163"/>
        <v>0/30</v>
      </c>
      <c r="AB933" s="12" t="str">
        <f t="shared" si="164"/>
        <v>100,100,0,100,100,100</v>
      </c>
      <c r="AC933" s="12">
        <f t="shared" si="165"/>
        <v>2</v>
      </c>
      <c r="AD933" s="12" t="str">
        <f t="shared" si="166"/>
        <v>2000/7000/14000</v>
      </c>
      <c r="AE933" s="12" t="str">
        <f t="shared" si="167"/>
        <v/>
      </c>
      <c r="AF933" s="12" t="str">
        <f t="shared" si="168"/>
        <v/>
      </c>
      <c r="AG933" s="12" t="str">
        <f t="shared" si="169"/>
        <v>3/4/</v>
      </c>
      <c r="AH933" s="12" t="str">
        <f t="shared" si="170"/>
        <v>18/32/</v>
      </c>
      <c r="AI933" s="12" t="str">
        <f t="shared" si="171"/>
        <v>10/5</v>
      </c>
    </row>
    <row r="934" spans="1:35" s="8" customFormat="1" ht="21.95" customHeight="1">
      <c r="A934" s="9">
        <v>932</v>
      </c>
      <c r="B934" s="17">
        <v>932</v>
      </c>
      <c r="C934" s="6">
        <v>30</v>
      </c>
      <c r="D934" s="6">
        <v>0</v>
      </c>
      <c r="E934" s="5">
        <v>100</v>
      </c>
      <c r="F934" s="5">
        <v>100</v>
      </c>
      <c r="G934" s="5">
        <v>100</v>
      </c>
      <c r="H934" s="5">
        <v>0</v>
      </c>
      <c r="I934" s="5">
        <v>100</v>
      </c>
      <c r="J934" s="5">
        <v>100</v>
      </c>
      <c r="K934" s="15" t="s">
        <v>52</v>
      </c>
      <c r="L934" s="6">
        <v>3</v>
      </c>
      <c r="M934" s="6">
        <v>6</v>
      </c>
      <c r="N934" s="6">
        <v>0</v>
      </c>
      <c r="O934" s="5">
        <v>0</v>
      </c>
      <c r="P934" s="5">
        <v>0</v>
      </c>
      <c r="Q934" s="5">
        <v>0</v>
      </c>
      <c r="R934" s="5">
        <v>0</v>
      </c>
      <c r="S934" s="5">
        <v>0</v>
      </c>
      <c r="T934" s="5">
        <v>0</v>
      </c>
      <c r="U934" s="6">
        <v>0</v>
      </c>
      <c r="V934" s="5">
        <v>10</v>
      </c>
      <c r="W934" s="5">
        <v>5</v>
      </c>
      <c r="X934" s="16">
        <v>2000</v>
      </c>
      <c r="Y934" s="16">
        <v>7000</v>
      </c>
      <c r="Z934" s="16">
        <v>14000</v>
      </c>
      <c r="AA934" s="12" t="str">
        <f t="shared" si="163"/>
        <v>0/30</v>
      </c>
      <c r="AB934" s="12" t="str">
        <f t="shared" si="164"/>
        <v>100,100,100,0,100,100</v>
      </c>
      <c r="AC934" s="12">
        <f t="shared" si="165"/>
        <v>1</v>
      </c>
      <c r="AD934" s="12" t="str">
        <f t="shared" si="166"/>
        <v>2000/7000/14000</v>
      </c>
      <c r="AE934" s="12" t="str">
        <f t="shared" si="167"/>
        <v>0/</v>
      </c>
      <c r="AF934" s="12" t="str">
        <f t="shared" si="168"/>
        <v>6/</v>
      </c>
      <c r="AG934" s="12" t="str">
        <f t="shared" si="169"/>
        <v/>
      </c>
      <c r="AH934" s="12" t="str">
        <f t="shared" si="170"/>
        <v/>
      </c>
      <c r="AI934" s="12" t="str">
        <f t="shared" si="171"/>
        <v>10/5</v>
      </c>
    </row>
    <row r="935" spans="1:35" s="8" customFormat="1" ht="21.95" customHeight="1">
      <c r="A935" s="9">
        <v>933</v>
      </c>
      <c r="B935" s="17">
        <v>933</v>
      </c>
      <c r="C935" s="6">
        <v>30</v>
      </c>
      <c r="D935" s="6">
        <v>0</v>
      </c>
      <c r="E935" s="5">
        <v>100</v>
      </c>
      <c r="F935" s="5">
        <v>100</v>
      </c>
      <c r="G935" s="5">
        <v>100</v>
      </c>
      <c r="H935" s="5">
        <v>100</v>
      </c>
      <c r="I935" s="5">
        <v>0</v>
      </c>
      <c r="J935" s="5">
        <v>100</v>
      </c>
      <c r="K935" s="15" t="s">
        <v>52</v>
      </c>
      <c r="L935" s="6">
        <v>3</v>
      </c>
      <c r="M935" s="6">
        <v>2</v>
      </c>
      <c r="N935" s="6">
        <v>4</v>
      </c>
      <c r="O935" s="5">
        <v>0</v>
      </c>
      <c r="P935" s="5">
        <v>0</v>
      </c>
      <c r="Q935" s="5">
        <v>0</v>
      </c>
      <c r="R935" s="5">
        <v>0</v>
      </c>
      <c r="S935" s="5">
        <v>0</v>
      </c>
      <c r="T935" s="5">
        <v>0</v>
      </c>
      <c r="U935" s="6">
        <v>0</v>
      </c>
      <c r="V935" s="5">
        <v>10</v>
      </c>
      <c r="W935" s="5">
        <v>5</v>
      </c>
      <c r="X935" s="16">
        <v>2000</v>
      </c>
      <c r="Y935" s="16">
        <v>7000</v>
      </c>
      <c r="Z935" s="16">
        <v>14000</v>
      </c>
      <c r="AA935" s="12" t="str">
        <f t="shared" si="163"/>
        <v>0/30</v>
      </c>
      <c r="AB935" s="12" t="str">
        <f t="shared" si="164"/>
        <v>100,100,100,100,0,100</v>
      </c>
      <c r="AC935" s="12">
        <f t="shared" si="165"/>
        <v>1</v>
      </c>
      <c r="AD935" s="12" t="str">
        <f t="shared" si="166"/>
        <v>2000/7000/14000</v>
      </c>
      <c r="AE935" s="12" t="str">
        <f t="shared" si="167"/>
        <v>0/1/</v>
      </c>
      <c r="AF935" s="12" t="str">
        <f t="shared" si="168"/>
        <v>2/4/</v>
      </c>
      <c r="AG935" s="12" t="str">
        <f t="shared" si="169"/>
        <v/>
      </c>
      <c r="AH935" s="12" t="str">
        <f t="shared" si="170"/>
        <v/>
      </c>
      <c r="AI935" s="12" t="str">
        <f t="shared" si="171"/>
        <v>10/5</v>
      </c>
    </row>
    <row r="936" spans="1:35" s="8" customFormat="1" ht="21.95" customHeight="1">
      <c r="A936" s="9">
        <v>934</v>
      </c>
      <c r="B936" s="17">
        <v>934</v>
      </c>
      <c r="C936" s="6">
        <v>0</v>
      </c>
      <c r="D936" s="6">
        <v>60</v>
      </c>
      <c r="E936" s="5">
        <v>100</v>
      </c>
      <c r="F936" s="5">
        <v>100</v>
      </c>
      <c r="G936" s="5">
        <v>100</v>
      </c>
      <c r="H936" s="5">
        <v>100</v>
      </c>
      <c r="I936" s="5">
        <v>100</v>
      </c>
      <c r="J936" s="5">
        <v>0</v>
      </c>
      <c r="K936" s="15" t="s">
        <v>54</v>
      </c>
      <c r="L936" s="6">
        <v>3</v>
      </c>
      <c r="M936" s="6">
        <v>0</v>
      </c>
      <c r="N936" s="6">
        <v>0</v>
      </c>
      <c r="O936" s="5">
        <v>0</v>
      </c>
      <c r="P936" s="5">
        <v>0</v>
      </c>
      <c r="Q936" s="5">
        <v>0</v>
      </c>
      <c r="R936" s="5">
        <v>0</v>
      </c>
      <c r="S936" s="5">
        <v>0</v>
      </c>
      <c r="T936" s="5">
        <v>0</v>
      </c>
      <c r="U936" s="6">
        <v>0</v>
      </c>
      <c r="V936" s="5">
        <v>10</v>
      </c>
      <c r="W936" s="5">
        <v>5</v>
      </c>
      <c r="X936" s="16">
        <v>2000</v>
      </c>
      <c r="Y936" s="16">
        <v>7000</v>
      </c>
      <c r="Z936" s="16">
        <v>14000</v>
      </c>
      <c r="AA936" s="12" t="str">
        <f t="shared" si="163"/>
        <v>1/60</v>
      </c>
      <c r="AB936" s="12" t="str">
        <f t="shared" si="164"/>
        <v>100,100,100,100,100,0</v>
      </c>
      <c r="AC936" s="12">
        <f t="shared" si="165"/>
        <v>3</v>
      </c>
      <c r="AD936" s="12" t="str">
        <f t="shared" si="166"/>
        <v>2000/7000/14000</v>
      </c>
      <c r="AE936" s="12" t="str">
        <f t="shared" si="167"/>
        <v/>
      </c>
      <c r="AF936" s="12" t="str">
        <f t="shared" si="168"/>
        <v/>
      </c>
      <c r="AG936" s="12" t="str">
        <f t="shared" si="169"/>
        <v/>
      </c>
      <c r="AH936" s="12" t="str">
        <f t="shared" si="170"/>
        <v/>
      </c>
      <c r="AI936" s="12" t="str">
        <f t="shared" si="171"/>
        <v>10/5</v>
      </c>
    </row>
    <row r="937" spans="1:35" s="8" customFormat="1" ht="21.95" customHeight="1">
      <c r="A937" s="9">
        <v>935</v>
      </c>
      <c r="B937" s="17">
        <v>935</v>
      </c>
      <c r="C937" s="6">
        <v>0</v>
      </c>
      <c r="D937" s="6">
        <v>60</v>
      </c>
      <c r="E937" s="5">
        <v>0</v>
      </c>
      <c r="F937" s="5">
        <v>100</v>
      </c>
      <c r="G937" s="5">
        <v>100</v>
      </c>
      <c r="H937" s="5">
        <v>100</v>
      </c>
      <c r="I937" s="5">
        <v>100</v>
      </c>
      <c r="J937" s="5">
        <v>100</v>
      </c>
      <c r="K937" s="15" t="s">
        <v>54</v>
      </c>
      <c r="L937" s="6">
        <v>3</v>
      </c>
      <c r="M937" s="6">
        <v>0</v>
      </c>
      <c r="N937" s="6">
        <v>0</v>
      </c>
      <c r="O937" s="5">
        <v>0</v>
      </c>
      <c r="P937" s="5">
        <v>0</v>
      </c>
      <c r="Q937" s="5">
        <v>0</v>
      </c>
      <c r="R937" s="5">
        <v>0</v>
      </c>
      <c r="S937" s="5">
        <v>0</v>
      </c>
      <c r="T937" s="5">
        <v>0</v>
      </c>
      <c r="U937" s="6">
        <v>0</v>
      </c>
      <c r="V937" s="5">
        <v>10</v>
      </c>
      <c r="W937" s="5">
        <v>5</v>
      </c>
      <c r="X937" s="16">
        <v>2000</v>
      </c>
      <c r="Y937" s="16">
        <v>7000</v>
      </c>
      <c r="Z937" s="16">
        <v>14000</v>
      </c>
      <c r="AA937" s="12" t="str">
        <f t="shared" si="163"/>
        <v>1/60</v>
      </c>
      <c r="AB937" s="12" t="str">
        <f t="shared" si="164"/>
        <v>0,100,100,100,100,100</v>
      </c>
      <c r="AC937" s="12">
        <f t="shared" si="165"/>
        <v>3</v>
      </c>
      <c r="AD937" s="12" t="str">
        <f t="shared" si="166"/>
        <v>2000/7000/14000</v>
      </c>
      <c r="AE937" s="12" t="str">
        <f t="shared" si="167"/>
        <v/>
      </c>
      <c r="AF937" s="12" t="str">
        <f t="shared" si="168"/>
        <v/>
      </c>
      <c r="AG937" s="12" t="str">
        <f t="shared" si="169"/>
        <v/>
      </c>
      <c r="AH937" s="12" t="str">
        <f t="shared" si="170"/>
        <v/>
      </c>
      <c r="AI937" s="12" t="str">
        <f t="shared" si="171"/>
        <v>10/5</v>
      </c>
    </row>
    <row r="938" spans="1:35" s="8" customFormat="1" ht="21.95" customHeight="1">
      <c r="A938" s="9">
        <v>936</v>
      </c>
      <c r="B938" s="17">
        <v>936</v>
      </c>
      <c r="C938" s="6">
        <v>30</v>
      </c>
      <c r="D938" s="6">
        <v>0</v>
      </c>
      <c r="E938" s="5">
        <v>100</v>
      </c>
      <c r="F938" s="5">
        <v>0</v>
      </c>
      <c r="G938" s="5">
        <v>100</v>
      </c>
      <c r="H938" s="5">
        <v>100</v>
      </c>
      <c r="I938" s="5">
        <v>100</v>
      </c>
      <c r="J938" s="5">
        <v>100</v>
      </c>
      <c r="K938" s="15" t="s">
        <v>55</v>
      </c>
      <c r="L938" s="6">
        <v>3</v>
      </c>
      <c r="M938" s="6">
        <v>0</v>
      </c>
      <c r="N938" s="6">
        <v>0</v>
      </c>
      <c r="O938" s="5">
        <v>0</v>
      </c>
      <c r="P938" s="5">
        <v>0</v>
      </c>
      <c r="Q938" s="5">
        <v>0</v>
      </c>
      <c r="R938" s="5">
        <v>0</v>
      </c>
      <c r="S938" s="5">
        <v>0</v>
      </c>
      <c r="T938" s="5">
        <v>0</v>
      </c>
      <c r="U938" s="6">
        <v>5</v>
      </c>
      <c r="V938" s="5">
        <v>10</v>
      </c>
      <c r="W938" s="5">
        <v>5</v>
      </c>
      <c r="X938" s="16">
        <v>2000</v>
      </c>
      <c r="Y938" s="16">
        <v>7000</v>
      </c>
      <c r="Z938" s="16">
        <v>14000</v>
      </c>
      <c r="AA938" s="12" t="str">
        <f t="shared" si="163"/>
        <v>0/30</v>
      </c>
      <c r="AB938" s="12" t="str">
        <f t="shared" si="164"/>
        <v>100,0,100,100,100,100</v>
      </c>
      <c r="AC938" s="12">
        <f t="shared" si="165"/>
        <v>4</v>
      </c>
      <c r="AD938" s="12" t="str">
        <f t="shared" si="166"/>
        <v>2000/7000/14000</v>
      </c>
      <c r="AE938" s="12" t="str">
        <f t="shared" si="167"/>
        <v/>
      </c>
      <c r="AF938" s="12" t="str">
        <f t="shared" si="168"/>
        <v/>
      </c>
      <c r="AG938" s="12" t="str">
        <f t="shared" si="169"/>
        <v/>
      </c>
      <c r="AH938" s="12" t="str">
        <f t="shared" si="170"/>
        <v/>
      </c>
      <c r="AI938" s="12" t="str">
        <f t="shared" si="171"/>
        <v>10/5</v>
      </c>
    </row>
    <row r="939" spans="1:35" s="8" customFormat="1" ht="21.95" customHeight="1">
      <c r="A939" s="9">
        <v>937</v>
      </c>
      <c r="B939" s="17">
        <v>937</v>
      </c>
      <c r="C939" s="6">
        <v>30</v>
      </c>
      <c r="D939" s="6">
        <v>0</v>
      </c>
      <c r="E939" s="5">
        <v>100</v>
      </c>
      <c r="F939" s="5">
        <v>100</v>
      </c>
      <c r="G939" s="5">
        <v>0</v>
      </c>
      <c r="H939" s="5">
        <v>100</v>
      </c>
      <c r="I939" s="5">
        <v>100</v>
      </c>
      <c r="J939" s="5">
        <v>100</v>
      </c>
      <c r="K939" s="15" t="s">
        <v>55</v>
      </c>
      <c r="L939" s="6">
        <v>3</v>
      </c>
      <c r="M939" s="6">
        <v>0</v>
      </c>
      <c r="N939" s="6">
        <v>0</v>
      </c>
      <c r="O939" s="5">
        <v>0</v>
      </c>
      <c r="P939" s="5">
        <v>0</v>
      </c>
      <c r="Q939" s="5">
        <v>0</v>
      </c>
      <c r="R939" s="5">
        <v>0</v>
      </c>
      <c r="S939" s="5">
        <v>0</v>
      </c>
      <c r="T939" s="5">
        <v>0</v>
      </c>
      <c r="U939" s="6">
        <v>5</v>
      </c>
      <c r="V939" s="5">
        <v>10</v>
      </c>
      <c r="W939" s="5">
        <v>5</v>
      </c>
      <c r="X939" s="16">
        <v>2000</v>
      </c>
      <c r="Y939" s="16">
        <v>7000</v>
      </c>
      <c r="Z939" s="16">
        <v>14000</v>
      </c>
      <c r="AA939" s="12" t="str">
        <f t="shared" si="163"/>
        <v>0/30</v>
      </c>
      <c r="AB939" s="12" t="str">
        <f t="shared" si="164"/>
        <v>100,100,0,100,100,100</v>
      </c>
      <c r="AC939" s="12">
        <f t="shared" si="165"/>
        <v>4</v>
      </c>
      <c r="AD939" s="12" t="str">
        <f t="shared" si="166"/>
        <v>2000/7000/14000</v>
      </c>
      <c r="AE939" s="12" t="str">
        <f t="shared" si="167"/>
        <v/>
      </c>
      <c r="AF939" s="12" t="str">
        <f t="shared" si="168"/>
        <v/>
      </c>
      <c r="AG939" s="12" t="str">
        <f t="shared" si="169"/>
        <v/>
      </c>
      <c r="AH939" s="12" t="str">
        <f t="shared" si="170"/>
        <v/>
      </c>
      <c r="AI939" s="12" t="str">
        <f t="shared" si="171"/>
        <v>10/5</v>
      </c>
    </row>
    <row r="940" spans="1:35" s="8" customFormat="1" ht="21.95" customHeight="1">
      <c r="A940" s="9">
        <v>938</v>
      </c>
      <c r="B940" s="17">
        <v>938</v>
      </c>
      <c r="C940" s="6">
        <v>32</v>
      </c>
      <c r="D940" s="6">
        <v>0</v>
      </c>
      <c r="E940" s="5">
        <v>100</v>
      </c>
      <c r="F940" s="5">
        <v>100</v>
      </c>
      <c r="G940" s="5">
        <v>100</v>
      </c>
      <c r="H940" s="5">
        <v>0</v>
      </c>
      <c r="I940" s="5">
        <v>100</v>
      </c>
      <c r="J940" s="5">
        <v>100</v>
      </c>
      <c r="K940" s="15" t="s">
        <v>51</v>
      </c>
      <c r="L940" s="6">
        <v>3</v>
      </c>
      <c r="M940" s="6">
        <v>0</v>
      </c>
      <c r="N940" s="6">
        <v>0</v>
      </c>
      <c r="O940" s="5">
        <v>0</v>
      </c>
      <c r="P940" s="5">
        <v>0</v>
      </c>
      <c r="Q940" s="5">
        <v>0</v>
      </c>
      <c r="R940" s="5">
        <v>0</v>
      </c>
      <c r="S940" s="5">
        <v>0</v>
      </c>
      <c r="T940" s="5">
        <v>0</v>
      </c>
      <c r="U940" s="6">
        <v>0</v>
      </c>
      <c r="V940" s="5">
        <v>10</v>
      </c>
      <c r="W940" s="5">
        <v>5</v>
      </c>
      <c r="X940" s="16">
        <v>2000</v>
      </c>
      <c r="Y940" s="16">
        <v>7000</v>
      </c>
      <c r="Z940" s="16">
        <v>14000</v>
      </c>
      <c r="AA940" s="12" t="str">
        <f t="shared" si="163"/>
        <v>0/32</v>
      </c>
      <c r="AB940" s="12" t="str">
        <f t="shared" si="164"/>
        <v>100,100,100,0,100,100</v>
      </c>
      <c r="AC940" s="12">
        <f t="shared" si="165"/>
        <v>0</v>
      </c>
      <c r="AD940" s="12" t="str">
        <f t="shared" si="166"/>
        <v>2000/7000/14000</v>
      </c>
      <c r="AE940" s="12" t="str">
        <f t="shared" si="167"/>
        <v/>
      </c>
      <c r="AF940" s="12" t="str">
        <f t="shared" si="168"/>
        <v/>
      </c>
      <c r="AG940" s="12" t="str">
        <f t="shared" si="169"/>
        <v/>
      </c>
      <c r="AH940" s="12" t="str">
        <f t="shared" si="170"/>
        <v/>
      </c>
      <c r="AI940" s="12" t="str">
        <f t="shared" si="171"/>
        <v>10/5</v>
      </c>
    </row>
    <row r="941" spans="1:35" s="8" customFormat="1" ht="21.95" customHeight="1">
      <c r="A941" s="9">
        <v>939</v>
      </c>
      <c r="B941" s="17">
        <v>939</v>
      </c>
      <c r="C941" s="6">
        <v>30</v>
      </c>
      <c r="D941" s="6">
        <v>0</v>
      </c>
      <c r="E941" s="5">
        <v>100</v>
      </c>
      <c r="F941" s="5">
        <v>100</v>
      </c>
      <c r="G941" s="5">
        <v>100</v>
      </c>
      <c r="H941" s="5">
        <v>100</v>
      </c>
      <c r="I941" s="5">
        <v>0</v>
      </c>
      <c r="J941" s="5">
        <v>100</v>
      </c>
      <c r="K941" s="15" t="s">
        <v>53</v>
      </c>
      <c r="L941" s="6">
        <v>3</v>
      </c>
      <c r="M941" s="6">
        <v>0</v>
      </c>
      <c r="N941" s="6">
        <v>0</v>
      </c>
      <c r="O941" s="5">
        <v>16</v>
      </c>
      <c r="P941" s="5">
        <v>0</v>
      </c>
      <c r="Q941" s="5">
        <v>0</v>
      </c>
      <c r="R941" s="5">
        <v>0</v>
      </c>
      <c r="S941" s="5">
        <v>0</v>
      </c>
      <c r="T941" s="5">
        <v>18</v>
      </c>
      <c r="U941" s="6">
        <v>0</v>
      </c>
      <c r="V941" s="5">
        <v>10</v>
      </c>
      <c r="W941" s="5">
        <v>5</v>
      </c>
      <c r="X941" s="16">
        <v>2000</v>
      </c>
      <c r="Y941" s="16">
        <v>7000</v>
      </c>
      <c r="Z941" s="16">
        <v>14000</v>
      </c>
      <c r="AA941" s="12" t="str">
        <f t="shared" si="163"/>
        <v>0/30</v>
      </c>
      <c r="AB941" s="12" t="str">
        <f t="shared" si="164"/>
        <v>100,100,100,100,0,100</v>
      </c>
      <c r="AC941" s="12">
        <f t="shared" si="165"/>
        <v>2</v>
      </c>
      <c r="AD941" s="12" t="str">
        <f t="shared" si="166"/>
        <v>2000/7000/14000</v>
      </c>
      <c r="AE941" s="12" t="str">
        <f t="shared" si="167"/>
        <v/>
      </c>
      <c r="AF941" s="12" t="str">
        <f t="shared" si="168"/>
        <v/>
      </c>
      <c r="AG941" s="12" t="str">
        <f t="shared" si="169"/>
        <v>0/5/</v>
      </c>
      <c r="AH941" s="12" t="str">
        <f t="shared" si="170"/>
        <v>16/18/</v>
      </c>
      <c r="AI941" s="12" t="str">
        <f t="shared" si="171"/>
        <v>10/5</v>
      </c>
    </row>
    <row r="942" spans="1:35" s="8" customFormat="1" ht="21.95" customHeight="1">
      <c r="A942" s="9">
        <v>940</v>
      </c>
      <c r="B942" s="17">
        <v>940</v>
      </c>
      <c r="C942" s="6">
        <v>30</v>
      </c>
      <c r="D942" s="6">
        <v>0</v>
      </c>
      <c r="E942" s="5">
        <v>100</v>
      </c>
      <c r="F942" s="5">
        <v>100</v>
      </c>
      <c r="G942" s="5">
        <v>100</v>
      </c>
      <c r="H942" s="5">
        <v>100</v>
      </c>
      <c r="I942" s="5">
        <v>100</v>
      </c>
      <c r="J942" s="5">
        <v>0</v>
      </c>
      <c r="K942" s="15" t="s">
        <v>52</v>
      </c>
      <c r="L942" s="6">
        <v>3</v>
      </c>
      <c r="M942" s="6">
        <v>6</v>
      </c>
      <c r="N942" s="6">
        <v>0</v>
      </c>
      <c r="O942" s="5">
        <v>0</v>
      </c>
      <c r="P942" s="5">
        <v>0</v>
      </c>
      <c r="Q942" s="5">
        <v>0</v>
      </c>
      <c r="R942" s="5">
        <v>0</v>
      </c>
      <c r="S942" s="5">
        <v>0</v>
      </c>
      <c r="T942" s="5">
        <v>0</v>
      </c>
      <c r="U942" s="6">
        <v>0</v>
      </c>
      <c r="V942" s="5">
        <v>10</v>
      </c>
      <c r="W942" s="5">
        <v>5</v>
      </c>
      <c r="X942" s="16">
        <v>2000</v>
      </c>
      <c r="Y942" s="16">
        <v>7000</v>
      </c>
      <c r="Z942" s="16">
        <v>14000</v>
      </c>
      <c r="AA942" s="12" t="str">
        <f t="shared" si="163"/>
        <v>0/30</v>
      </c>
      <c r="AB942" s="12" t="str">
        <f t="shared" si="164"/>
        <v>100,100,100,100,100,0</v>
      </c>
      <c r="AC942" s="12">
        <f t="shared" si="165"/>
        <v>1</v>
      </c>
      <c r="AD942" s="12" t="str">
        <f t="shared" si="166"/>
        <v>2000/7000/14000</v>
      </c>
      <c r="AE942" s="12" t="str">
        <f t="shared" si="167"/>
        <v>0/</v>
      </c>
      <c r="AF942" s="12" t="str">
        <f t="shared" si="168"/>
        <v>6/</v>
      </c>
      <c r="AG942" s="12" t="str">
        <f t="shared" si="169"/>
        <v/>
      </c>
      <c r="AH942" s="12" t="str">
        <f t="shared" si="170"/>
        <v/>
      </c>
      <c r="AI942" s="12" t="str">
        <f t="shared" si="171"/>
        <v>10/5</v>
      </c>
    </row>
    <row r="943" spans="1:35" s="8" customFormat="1" ht="21.95" customHeight="1">
      <c r="A943" s="9">
        <v>941</v>
      </c>
      <c r="B943" s="17">
        <v>941</v>
      </c>
      <c r="C943" s="6">
        <v>30</v>
      </c>
      <c r="D943" s="6">
        <v>0</v>
      </c>
      <c r="E943" s="5">
        <v>0</v>
      </c>
      <c r="F943" s="5">
        <v>100</v>
      </c>
      <c r="G943" s="5">
        <v>100</v>
      </c>
      <c r="H943" s="5">
        <v>100</v>
      </c>
      <c r="I943" s="5">
        <v>100</v>
      </c>
      <c r="J943" s="5">
        <v>100</v>
      </c>
      <c r="K943" s="15" t="s">
        <v>52</v>
      </c>
      <c r="L943" s="6">
        <v>3</v>
      </c>
      <c r="M943" s="6">
        <v>0</v>
      </c>
      <c r="N943" s="6">
        <v>6</v>
      </c>
      <c r="O943" s="5">
        <v>0</v>
      </c>
      <c r="P943" s="5">
        <v>0</v>
      </c>
      <c r="Q943" s="5">
        <v>0</v>
      </c>
      <c r="R943" s="5">
        <v>0</v>
      </c>
      <c r="S943" s="5">
        <v>0</v>
      </c>
      <c r="T943" s="5">
        <v>0</v>
      </c>
      <c r="U943" s="6">
        <v>0</v>
      </c>
      <c r="V943" s="5">
        <v>10</v>
      </c>
      <c r="W943" s="5">
        <v>5</v>
      </c>
      <c r="X943" s="16">
        <v>2000</v>
      </c>
      <c r="Y943" s="16">
        <v>7000</v>
      </c>
      <c r="Z943" s="16">
        <v>14000</v>
      </c>
      <c r="AA943" s="12" t="str">
        <f t="shared" si="163"/>
        <v>0/30</v>
      </c>
      <c r="AB943" s="12" t="str">
        <f t="shared" si="164"/>
        <v>0,100,100,100,100,100</v>
      </c>
      <c r="AC943" s="12">
        <f t="shared" si="165"/>
        <v>1</v>
      </c>
      <c r="AD943" s="12" t="str">
        <f t="shared" si="166"/>
        <v>2000/7000/14000</v>
      </c>
      <c r="AE943" s="12" t="str">
        <f t="shared" si="167"/>
        <v>1/</v>
      </c>
      <c r="AF943" s="12" t="str">
        <f t="shared" si="168"/>
        <v>6/</v>
      </c>
      <c r="AG943" s="12" t="str">
        <f t="shared" si="169"/>
        <v/>
      </c>
      <c r="AH943" s="12" t="str">
        <f t="shared" si="170"/>
        <v/>
      </c>
      <c r="AI943" s="12" t="str">
        <f t="shared" si="171"/>
        <v>10/5</v>
      </c>
    </row>
    <row r="944" spans="1:35" s="8" customFormat="1" ht="21.95" customHeight="1">
      <c r="A944" s="9">
        <v>942</v>
      </c>
      <c r="B944" s="17">
        <v>942</v>
      </c>
      <c r="C944" s="6">
        <v>0</v>
      </c>
      <c r="D944" s="6">
        <v>60</v>
      </c>
      <c r="E944" s="5">
        <v>100</v>
      </c>
      <c r="F944" s="5">
        <v>0</v>
      </c>
      <c r="G944" s="5">
        <v>100</v>
      </c>
      <c r="H944" s="5">
        <v>100</v>
      </c>
      <c r="I944" s="5">
        <v>100</v>
      </c>
      <c r="J944" s="5">
        <v>100</v>
      </c>
      <c r="K944" s="15" t="s">
        <v>54</v>
      </c>
      <c r="L944" s="6">
        <v>3</v>
      </c>
      <c r="M944" s="6">
        <v>0</v>
      </c>
      <c r="N944" s="6">
        <v>0</v>
      </c>
      <c r="O944" s="5">
        <v>0</v>
      </c>
      <c r="P944" s="5">
        <v>0</v>
      </c>
      <c r="Q944" s="5">
        <v>0</v>
      </c>
      <c r="R944" s="5">
        <v>0</v>
      </c>
      <c r="S944" s="5">
        <v>0</v>
      </c>
      <c r="T944" s="5">
        <v>0</v>
      </c>
      <c r="U944" s="6">
        <v>0</v>
      </c>
      <c r="V944" s="5">
        <v>10</v>
      </c>
      <c r="W944" s="5">
        <v>5</v>
      </c>
      <c r="X944" s="16">
        <v>2000</v>
      </c>
      <c r="Y944" s="16">
        <v>7000</v>
      </c>
      <c r="Z944" s="16">
        <v>14000</v>
      </c>
      <c r="AA944" s="12" t="str">
        <f t="shared" si="163"/>
        <v>1/60</v>
      </c>
      <c r="AB944" s="12" t="str">
        <f t="shared" si="164"/>
        <v>100,0,100,100,100,100</v>
      </c>
      <c r="AC944" s="12">
        <f t="shared" si="165"/>
        <v>3</v>
      </c>
      <c r="AD944" s="12" t="str">
        <f t="shared" si="166"/>
        <v>2000/7000/14000</v>
      </c>
      <c r="AE944" s="12" t="str">
        <f t="shared" si="167"/>
        <v/>
      </c>
      <c r="AF944" s="12" t="str">
        <f t="shared" si="168"/>
        <v/>
      </c>
      <c r="AG944" s="12" t="str">
        <f t="shared" si="169"/>
        <v/>
      </c>
      <c r="AH944" s="12" t="str">
        <f t="shared" si="170"/>
        <v/>
      </c>
      <c r="AI944" s="12" t="str">
        <f t="shared" si="171"/>
        <v>10/5</v>
      </c>
    </row>
    <row r="945" spans="1:35" s="8" customFormat="1" ht="21.95" customHeight="1">
      <c r="A945" s="9">
        <v>943</v>
      </c>
      <c r="B945" s="17">
        <v>943</v>
      </c>
      <c r="C945" s="6">
        <v>0</v>
      </c>
      <c r="D945" s="6">
        <v>60</v>
      </c>
      <c r="E945" s="5">
        <v>100</v>
      </c>
      <c r="F945" s="5">
        <v>100</v>
      </c>
      <c r="G945" s="5">
        <v>0</v>
      </c>
      <c r="H945" s="5">
        <v>100</v>
      </c>
      <c r="I945" s="5">
        <v>100</v>
      </c>
      <c r="J945" s="5">
        <v>100</v>
      </c>
      <c r="K945" s="15" t="s">
        <v>54</v>
      </c>
      <c r="L945" s="6">
        <v>3</v>
      </c>
      <c r="M945" s="6">
        <v>0</v>
      </c>
      <c r="N945" s="6">
        <v>0</v>
      </c>
      <c r="O945" s="5">
        <v>0</v>
      </c>
      <c r="P945" s="5">
        <v>0</v>
      </c>
      <c r="Q945" s="5">
        <v>0</v>
      </c>
      <c r="R945" s="5">
        <v>0</v>
      </c>
      <c r="S945" s="5">
        <v>0</v>
      </c>
      <c r="T945" s="5">
        <v>0</v>
      </c>
      <c r="U945" s="6">
        <v>0</v>
      </c>
      <c r="V945" s="5">
        <v>10</v>
      </c>
      <c r="W945" s="5">
        <v>5</v>
      </c>
      <c r="X945" s="16">
        <v>2000</v>
      </c>
      <c r="Y945" s="16">
        <v>7000</v>
      </c>
      <c r="Z945" s="16">
        <v>14000</v>
      </c>
      <c r="AA945" s="12" t="str">
        <f t="shared" si="163"/>
        <v>1/60</v>
      </c>
      <c r="AB945" s="12" t="str">
        <f t="shared" si="164"/>
        <v>100,100,0,100,100,100</v>
      </c>
      <c r="AC945" s="12">
        <f t="shared" si="165"/>
        <v>3</v>
      </c>
      <c r="AD945" s="12" t="str">
        <f t="shared" si="166"/>
        <v>2000/7000/14000</v>
      </c>
      <c r="AE945" s="12" t="str">
        <f t="shared" si="167"/>
        <v/>
      </c>
      <c r="AF945" s="12" t="str">
        <f t="shared" si="168"/>
        <v/>
      </c>
      <c r="AG945" s="12" t="str">
        <f t="shared" si="169"/>
        <v/>
      </c>
      <c r="AH945" s="12" t="str">
        <f t="shared" si="170"/>
        <v/>
      </c>
      <c r="AI945" s="12" t="str">
        <f t="shared" si="171"/>
        <v>10/5</v>
      </c>
    </row>
    <row r="946" spans="1:35" s="8" customFormat="1" ht="21.95" customHeight="1">
      <c r="A946" s="9">
        <v>944</v>
      </c>
      <c r="B946" s="17">
        <v>944</v>
      </c>
      <c r="C946" s="6">
        <v>0</v>
      </c>
      <c r="D946" s="6">
        <v>60</v>
      </c>
      <c r="E946" s="5">
        <v>100</v>
      </c>
      <c r="F946" s="5">
        <v>100</v>
      </c>
      <c r="G946" s="5">
        <v>100</v>
      </c>
      <c r="H946" s="5">
        <v>100</v>
      </c>
      <c r="I946" s="5">
        <v>0</v>
      </c>
      <c r="J946" s="5">
        <v>100</v>
      </c>
      <c r="K946" s="15" t="s">
        <v>52</v>
      </c>
      <c r="L946" s="6">
        <v>3</v>
      </c>
      <c r="M946" s="6">
        <v>2</v>
      </c>
      <c r="N946" s="6">
        <v>4</v>
      </c>
      <c r="O946" s="5">
        <v>0</v>
      </c>
      <c r="P946" s="5">
        <v>0</v>
      </c>
      <c r="Q946" s="5">
        <v>0</v>
      </c>
      <c r="R946" s="5">
        <v>0</v>
      </c>
      <c r="S946" s="5">
        <v>0</v>
      </c>
      <c r="T946" s="5">
        <v>0</v>
      </c>
      <c r="U946" s="6">
        <v>0</v>
      </c>
      <c r="V946" s="5">
        <v>10</v>
      </c>
      <c r="W946" s="5">
        <v>5</v>
      </c>
      <c r="X946" s="16">
        <v>2000</v>
      </c>
      <c r="Y946" s="16">
        <v>7000</v>
      </c>
      <c r="Z946" s="16">
        <v>14000</v>
      </c>
      <c r="AA946" s="12" t="str">
        <f t="shared" si="163"/>
        <v>1/60</v>
      </c>
      <c r="AB946" s="12" t="str">
        <f t="shared" si="164"/>
        <v>100,100,100,100,0,100</v>
      </c>
      <c r="AC946" s="12">
        <f t="shared" si="165"/>
        <v>1</v>
      </c>
      <c r="AD946" s="12" t="str">
        <f t="shared" si="166"/>
        <v>2000/7000/14000</v>
      </c>
      <c r="AE946" s="12" t="str">
        <f t="shared" si="167"/>
        <v>0/1/</v>
      </c>
      <c r="AF946" s="12" t="str">
        <f t="shared" si="168"/>
        <v>2/4/</v>
      </c>
      <c r="AG946" s="12" t="str">
        <f t="shared" si="169"/>
        <v/>
      </c>
      <c r="AH946" s="12" t="str">
        <f t="shared" si="170"/>
        <v/>
      </c>
      <c r="AI946" s="12" t="str">
        <f t="shared" si="171"/>
        <v>10/5</v>
      </c>
    </row>
    <row r="947" spans="1:35" s="8" customFormat="1" ht="21.95" customHeight="1">
      <c r="A947" s="9">
        <v>945</v>
      </c>
      <c r="B947" s="17">
        <v>945</v>
      </c>
      <c r="C947" s="6">
        <v>30</v>
      </c>
      <c r="D947" s="6">
        <v>0</v>
      </c>
      <c r="E947" s="5">
        <v>100</v>
      </c>
      <c r="F947" s="5">
        <v>100</v>
      </c>
      <c r="G947" s="5">
        <v>100</v>
      </c>
      <c r="H947" s="5">
        <v>100</v>
      </c>
      <c r="I947" s="5">
        <v>100</v>
      </c>
      <c r="J947" s="5">
        <v>0</v>
      </c>
      <c r="K947" s="15" t="s">
        <v>54</v>
      </c>
      <c r="L947" s="6">
        <v>3</v>
      </c>
      <c r="M947" s="6">
        <v>0</v>
      </c>
      <c r="N947" s="6">
        <v>0</v>
      </c>
      <c r="O947" s="5">
        <v>0</v>
      </c>
      <c r="P947" s="5">
        <v>0</v>
      </c>
      <c r="Q947" s="5">
        <v>0</v>
      </c>
      <c r="R947" s="5">
        <v>0</v>
      </c>
      <c r="S947" s="5">
        <v>0</v>
      </c>
      <c r="T947" s="5">
        <v>0</v>
      </c>
      <c r="U947" s="6">
        <v>0</v>
      </c>
      <c r="V947" s="5">
        <v>10</v>
      </c>
      <c r="W947" s="5">
        <v>5</v>
      </c>
      <c r="X947" s="16">
        <v>2000</v>
      </c>
      <c r="Y947" s="16">
        <v>7000</v>
      </c>
      <c r="Z947" s="16">
        <v>14000</v>
      </c>
      <c r="AA947" s="12" t="str">
        <f t="shared" si="163"/>
        <v>0/30</v>
      </c>
      <c r="AB947" s="12" t="str">
        <f t="shared" si="164"/>
        <v>100,100,100,100,100,0</v>
      </c>
      <c r="AC947" s="12">
        <f t="shared" si="165"/>
        <v>3</v>
      </c>
      <c r="AD947" s="12" t="str">
        <f t="shared" si="166"/>
        <v>2000/7000/14000</v>
      </c>
      <c r="AE947" s="12" t="str">
        <f t="shared" si="167"/>
        <v/>
      </c>
      <c r="AF947" s="12" t="str">
        <f t="shared" si="168"/>
        <v/>
      </c>
      <c r="AG947" s="12" t="str">
        <f t="shared" si="169"/>
        <v/>
      </c>
      <c r="AH947" s="12" t="str">
        <f t="shared" si="170"/>
        <v/>
      </c>
      <c r="AI947" s="12" t="str">
        <f t="shared" si="171"/>
        <v>10/5</v>
      </c>
    </row>
    <row r="948" spans="1:35" s="8" customFormat="1" ht="21.95" customHeight="1">
      <c r="A948" s="9">
        <v>946</v>
      </c>
      <c r="B948" s="17">
        <v>946</v>
      </c>
      <c r="C948" s="6">
        <v>30</v>
      </c>
      <c r="D948" s="6">
        <v>0</v>
      </c>
      <c r="E948" s="5">
        <v>0</v>
      </c>
      <c r="F948" s="5">
        <v>100</v>
      </c>
      <c r="G948" s="5">
        <v>100</v>
      </c>
      <c r="H948" s="5">
        <v>100</v>
      </c>
      <c r="I948" s="5">
        <v>100</v>
      </c>
      <c r="J948" s="5">
        <v>100</v>
      </c>
      <c r="K948" s="15" t="s">
        <v>54</v>
      </c>
      <c r="L948" s="6">
        <v>3</v>
      </c>
      <c r="M948" s="6">
        <v>0</v>
      </c>
      <c r="N948" s="6">
        <v>0</v>
      </c>
      <c r="O948" s="5">
        <v>0</v>
      </c>
      <c r="P948" s="5">
        <v>0</v>
      </c>
      <c r="Q948" s="5">
        <v>0</v>
      </c>
      <c r="R948" s="5">
        <v>0</v>
      </c>
      <c r="S948" s="5">
        <v>0</v>
      </c>
      <c r="T948" s="5">
        <v>0</v>
      </c>
      <c r="U948" s="6">
        <v>0</v>
      </c>
      <c r="V948" s="5">
        <v>10</v>
      </c>
      <c r="W948" s="5">
        <v>5</v>
      </c>
      <c r="X948" s="16">
        <v>2000</v>
      </c>
      <c r="Y948" s="16">
        <v>7000</v>
      </c>
      <c r="Z948" s="16">
        <v>14000</v>
      </c>
      <c r="AA948" s="12" t="str">
        <f t="shared" si="163"/>
        <v>0/30</v>
      </c>
      <c r="AB948" s="12" t="str">
        <f t="shared" si="164"/>
        <v>0,100,100,100,100,100</v>
      </c>
      <c r="AC948" s="12">
        <f t="shared" si="165"/>
        <v>3</v>
      </c>
      <c r="AD948" s="12" t="str">
        <f t="shared" si="166"/>
        <v>2000/7000/14000</v>
      </c>
      <c r="AE948" s="12" t="str">
        <f t="shared" si="167"/>
        <v/>
      </c>
      <c r="AF948" s="12" t="str">
        <f t="shared" si="168"/>
        <v/>
      </c>
      <c r="AG948" s="12" t="str">
        <f t="shared" si="169"/>
        <v/>
      </c>
      <c r="AH948" s="12" t="str">
        <f t="shared" si="170"/>
        <v/>
      </c>
      <c r="AI948" s="12" t="str">
        <f t="shared" si="171"/>
        <v>10/5</v>
      </c>
    </row>
    <row r="949" spans="1:35" s="8" customFormat="1" ht="21.95" customHeight="1">
      <c r="A949" s="9">
        <v>947</v>
      </c>
      <c r="B949" s="17">
        <v>947</v>
      </c>
      <c r="C949" s="6">
        <v>30</v>
      </c>
      <c r="D949" s="6">
        <v>0</v>
      </c>
      <c r="E949" s="5">
        <v>100</v>
      </c>
      <c r="F949" s="5">
        <v>0</v>
      </c>
      <c r="G949" s="5">
        <v>100</v>
      </c>
      <c r="H949" s="5">
        <v>100</v>
      </c>
      <c r="I949" s="5">
        <v>100</v>
      </c>
      <c r="J949" s="5">
        <v>100</v>
      </c>
      <c r="K949" s="15" t="s">
        <v>55</v>
      </c>
      <c r="L949" s="6">
        <v>3</v>
      </c>
      <c r="M949" s="6">
        <v>0</v>
      </c>
      <c r="N949" s="6">
        <v>0</v>
      </c>
      <c r="O949" s="5">
        <v>0</v>
      </c>
      <c r="P949" s="5">
        <v>0</v>
      </c>
      <c r="Q949" s="5">
        <v>0</v>
      </c>
      <c r="R949" s="5">
        <v>0</v>
      </c>
      <c r="S949" s="5">
        <v>0</v>
      </c>
      <c r="T949" s="5">
        <v>0</v>
      </c>
      <c r="U949" s="6">
        <v>5</v>
      </c>
      <c r="V949" s="5">
        <v>10</v>
      </c>
      <c r="W949" s="5">
        <v>5</v>
      </c>
      <c r="X949" s="16">
        <v>2000</v>
      </c>
      <c r="Y949" s="16">
        <v>7000</v>
      </c>
      <c r="Z949" s="16">
        <v>14000</v>
      </c>
      <c r="AA949" s="12" t="str">
        <f t="shared" si="163"/>
        <v>0/30</v>
      </c>
      <c r="AB949" s="12" t="str">
        <f t="shared" si="164"/>
        <v>100,0,100,100,100,100</v>
      </c>
      <c r="AC949" s="12">
        <f t="shared" si="165"/>
        <v>4</v>
      </c>
      <c r="AD949" s="12" t="str">
        <f t="shared" si="166"/>
        <v>2000/7000/14000</v>
      </c>
      <c r="AE949" s="12" t="str">
        <f t="shared" si="167"/>
        <v/>
      </c>
      <c r="AF949" s="12" t="str">
        <f t="shared" si="168"/>
        <v/>
      </c>
      <c r="AG949" s="12" t="str">
        <f t="shared" si="169"/>
        <v/>
      </c>
      <c r="AH949" s="12" t="str">
        <f t="shared" si="170"/>
        <v/>
      </c>
      <c r="AI949" s="12" t="str">
        <f t="shared" si="171"/>
        <v>10/5</v>
      </c>
    </row>
    <row r="950" spans="1:35" s="8" customFormat="1" ht="21.95" customHeight="1">
      <c r="A950" s="9">
        <v>948</v>
      </c>
      <c r="B950" s="17">
        <v>948</v>
      </c>
      <c r="C950" s="6">
        <v>30</v>
      </c>
      <c r="D950" s="6">
        <v>0</v>
      </c>
      <c r="E950" s="5">
        <v>100</v>
      </c>
      <c r="F950" s="5">
        <v>100</v>
      </c>
      <c r="G950" s="5">
        <v>0</v>
      </c>
      <c r="H950" s="5">
        <v>100</v>
      </c>
      <c r="I950" s="5">
        <v>100</v>
      </c>
      <c r="J950" s="5">
        <v>100</v>
      </c>
      <c r="K950" s="15" t="s">
        <v>55</v>
      </c>
      <c r="L950" s="6">
        <v>3</v>
      </c>
      <c r="M950" s="6">
        <v>0</v>
      </c>
      <c r="N950" s="6">
        <v>0</v>
      </c>
      <c r="O950" s="5">
        <v>0</v>
      </c>
      <c r="P950" s="5">
        <v>0</v>
      </c>
      <c r="Q950" s="5">
        <v>0</v>
      </c>
      <c r="R950" s="5">
        <v>0</v>
      </c>
      <c r="S950" s="5">
        <v>0</v>
      </c>
      <c r="T950" s="5">
        <v>0</v>
      </c>
      <c r="U950" s="6">
        <v>5</v>
      </c>
      <c r="V950" s="5">
        <v>10</v>
      </c>
      <c r="W950" s="5">
        <v>5</v>
      </c>
      <c r="X950" s="16">
        <v>2000</v>
      </c>
      <c r="Y950" s="16">
        <v>7000</v>
      </c>
      <c r="Z950" s="16">
        <v>14000</v>
      </c>
      <c r="AA950" s="12" t="str">
        <f t="shared" si="163"/>
        <v>0/30</v>
      </c>
      <c r="AB950" s="12" t="str">
        <f t="shared" si="164"/>
        <v>100,100,0,100,100,100</v>
      </c>
      <c r="AC950" s="12">
        <f t="shared" si="165"/>
        <v>4</v>
      </c>
      <c r="AD950" s="12" t="str">
        <f t="shared" si="166"/>
        <v>2000/7000/14000</v>
      </c>
      <c r="AE950" s="12" t="str">
        <f t="shared" si="167"/>
        <v/>
      </c>
      <c r="AF950" s="12" t="str">
        <f t="shared" si="168"/>
        <v/>
      </c>
      <c r="AG950" s="12" t="str">
        <f t="shared" si="169"/>
        <v/>
      </c>
      <c r="AH950" s="12" t="str">
        <f t="shared" si="170"/>
        <v/>
      </c>
      <c r="AI950" s="12" t="str">
        <f t="shared" si="171"/>
        <v>10/5</v>
      </c>
    </row>
    <row r="951" spans="1:35" s="8" customFormat="1" ht="21.95" customHeight="1">
      <c r="A951" s="9">
        <v>949</v>
      </c>
      <c r="B951" s="17">
        <v>949</v>
      </c>
      <c r="C951" s="6">
        <v>32</v>
      </c>
      <c r="D951" s="6">
        <v>0</v>
      </c>
      <c r="E951" s="5">
        <v>100</v>
      </c>
      <c r="F951" s="5">
        <v>100</v>
      </c>
      <c r="G951" s="5">
        <v>100</v>
      </c>
      <c r="H951" s="5">
        <v>0</v>
      </c>
      <c r="I951" s="5">
        <v>100</v>
      </c>
      <c r="J951" s="5">
        <v>100</v>
      </c>
      <c r="K951" s="15" t="s">
        <v>51</v>
      </c>
      <c r="L951" s="6">
        <v>3</v>
      </c>
      <c r="M951" s="6">
        <v>0</v>
      </c>
      <c r="N951" s="6">
        <v>0</v>
      </c>
      <c r="O951" s="5">
        <v>0</v>
      </c>
      <c r="P951" s="5">
        <v>0</v>
      </c>
      <c r="Q951" s="5">
        <v>0</v>
      </c>
      <c r="R951" s="5">
        <v>0</v>
      </c>
      <c r="S951" s="5">
        <v>0</v>
      </c>
      <c r="T951" s="5">
        <v>0</v>
      </c>
      <c r="U951" s="6">
        <v>0</v>
      </c>
      <c r="V951" s="5">
        <v>10</v>
      </c>
      <c r="W951" s="5">
        <v>5</v>
      </c>
      <c r="X951" s="16">
        <v>2000</v>
      </c>
      <c r="Y951" s="16">
        <v>7000</v>
      </c>
      <c r="Z951" s="16">
        <v>14000</v>
      </c>
      <c r="AA951" s="12" t="str">
        <f t="shared" si="163"/>
        <v>0/32</v>
      </c>
      <c r="AB951" s="12" t="str">
        <f t="shared" si="164"/>
        <v>100,100,100,0,100,100</v>
      </c>
      <c r="AC951" s="12">
        <f t="shared" si="165"/>
        <v>0</v>
      </c>
      <c r="AD951" s="12" t="str">
        <f t="shared" si="166"/>
        <v>2000/7000/14000</v>
      </c>
      <c r="AE951" s="12" t="str">
        <f t="shared" si="167"/>
        <v/>
      </c>
      <c r="AF951" s="12" t="str">
        <f t="shared" si="168"/>
        <v/>
      </c>
      <c r="AG951" s="12" t="str">
        <f t="shared" si="169"/>
        <v/>
      </c>
      <c r="AH951" s="12" t="str">
        <f t="shared" si="170"/>
        <v/>
      </c>
      <c r="AI951" s="12" t="str">
        <f t="shared" si="171"/>
        <v>10/5</v>
      </c>
    </row>
    <row r="952" spans="1:35" s="8" customFormat="1" ht="21.95" customHeight="1">
      <c r="A952" s="9">
        <v>950</v>
      </c>
      <c r="B952" s="17">
        <v>950</v>
      </c>
      <c r="C952" s="6">
        <v>30</v>
      </c>
      <c r="D952" s="6">
        <v>0</v>
      </c>
      <c r="E952" s="5">
        <v>100</v>
      </c>
      <c r="F952" s="5">
        <v>100</v>
      </c>
      <c r="G952" s="5">
        <v>0</v>
      </c>
      <c r="H952" s="5">
        <v>100</v>
      </c>
      <c r="I952" s="5">
        <v>100</v>
      </c>
      <c r="J952" s="5">
        <v>100</v>
      </c>
      <c r="K952" s="15" t="s">
        <v>56</v>
      </c>
      <c r="L952" s="6">
        <v>3</v>
      </c>
      <c r="M952" s="6">
        <v>0</v>
      </c>
      <c r="N952" s="6">
        <v>0</v>
      </c>
      <c r="O952" s="5">
        <v>0</v>
      </c>
      <c r="P952" s="5">
        <v>0</v>
      </c>
      <c r="Q952" s="5">
        <v>0</v>
      </c>
      <c r="R952" s="5">
        <v>0</v>
      </c>
      <c r="S952" s="5">
        <v>0</v>
      </c>
      <c r="T952" s="5">
        <v>0</v>
      </c>
      <c r="U952" s="6">
        <v>0</v>
      </c>
      <c r="V952" s="5">
        <v>10</v>
      </c>
      <c r="W952" s="5">
        <v>5</v>
      </c>
      <c r="X952" s="16">
        <v>2000</v>
      </c>
      <c r="Y952" s="16">
        <v>7000</v>
      </c>
      <c r="Z952" s="16">
        <v>14000</v>
      </c>
      <c r="AA952" s="12" t="str">
        <f t="shared" si="163"/>
        <v>0/30</v>
      </c>
      <c r="AB952" s="12" t="str">
        <f t="shared" si="164"/>
        <v>100,100,0,100,100,100</v>
      </c>
      <c r="AC952" s="12">
        <f t="shared" si="165"/>
        <v>5</v>
      </c>
      <c r="AD952" s="12" t="str">
        <f t="shared" si="166"/>
        <v>2000/7000/14000</v>
      </c>
      <c r="AE952" s="12" t="str">
        <f t="shared" si="167"/>
        <v/>
      </c>
      <c r="AF952" s="12" t="str">
        <f t="shared" si="168"/>
        <v/>
      </c>
      <c r="AG952" s="12" t="str">
        <f t="shared" si="169"/>
        <v/>
      </c>
      <c r="AH952" s="12" t="str">
        <f t="shared" si="170"/>
        <v/>
      </c>
      <c r="AI952" s="12" t="str">
        <f t="shared" si="171"/>
        <v>10/5</v>
      </c>
    </row>
    <row r="953" spans="1:35" s="8" customFormat="1" ht="21.95" customHeight="1">
      <c r="A953" s="9">
        <v>951</v>
      </c>
      <c r="B953" s="17">
        <v>951</v>
      </c>
      <c r="C953" s="6">
        <v>30</v>
      </c>
      <c r="D953" s="6">
        <v>0</v>
      </c>
      <c r="E953" s="5">
        <v>100</v>
      </c>
      <c r="F953" s="5">
        <v>100</v>
      </c>
      <c r="G953" s="5">
        <v>100</v>
      </c>
      <c r="H953" s="5">
        <v>0</v>
      </c>
      <c r="I953" s="5">
        <v>100</v>
      </c>
      <c r="J953" s="5">
        <v>100</v>
      </c>
      <c r="K953" s="15" t="s">
        <v>53</v>
      </c>
      <c r="L953" s="6">
        <v>3</v>
      </c>
      <c r="M953" s="6">
        <v>0</v>
      </c>
      <c r="N953" s="6">
        <v>0</v>
      </c>
      <c r="O953" s="5">
        <v>0</v>
      </c>
      <c r="P953" s="5">
        <v>0</v>
      </c>
      <c r="Q953" s="5">
        <v>0</v>
      </c>
      <c r="R953" s="5">
        <v>0</v>
      </c>
      <c r="S953" s="5">
        <v>18</v>
      </c>
      <c r="T953" s="5">
        <v>16</v>
      </c>
      <c r="U953" s="6">
        <v>0</v>
      </c>
      <c r="V953" s="5">
        <v>10</v>
      </c>
      <c r="W953" s="5">
        <v>5</v>
      </c>
      <c r="X953" s="16">
        <v>2000</v>
      </c>
      <c r="Y953" s="16">
        <v>7000</v>
      </c>
      <c r="Z953" s="16">
        <v>14000</v>
      </c>
      <c r="AA953" s="12" t="str">
        <f t="shared" si="163"/>
        <v>0/30</v>
      </c>
      <c r="AB953" s="12" t="str">
        <f t="shared" si="164"/>
        <v>100,100,100,0,100,100</v>
      </c>
      <c r="AC953" s="12">
        <f t="shared" si="165"/>
        <v>2</v>
      </c>
      <c r="AD953" s="12" t="str">
        <f t="shared" si="166"/>
        <v>2000/7000/14000</v>
      </c>
      <c r="AE953" s="12" t="str">
        <f t="shared" si="167"/>
        <v/>
      </c>
      <c r="AF953" s="12" t="str">
        <f t="shared" si="168"/>
        <v/>
      </c>
      <c r="AG953" s="12" t="str">
        <f t="shared" si="169"/>
        <v>4/5/</v>
      </c>
      <c r="AH953" s="12" t="str">
        <f t="shared" si="170"/>
        <v>18/16/</v>
      </c>
      <c r="AI953" s="12" t="str">
        <f t="shared" si="171"/>
        <v>10/5</v>
      </c>
    </row>
    <row r="954" spans="1:35" s="8" customFormat="1" ht="21.95" customHeight="1">
      <c r="A954" s="9">
        <v>952</v>
      </c>
      <c r="B954" s="17">
        <v>952</v>
      </c>
      <c r="C954" s="6">
        <v>30</v>
      </c>
      <c r="D954" s="6">
        <v>0</v>
      </c>
      <c r="E954" s="5">
        <v>100</v>
      </c>
      <c r="F954" s="5">
        <v>100</v>
      </c>
      <c r="G954" s="5">
        <v>100</v>
      </c>
      <c r="H954" s="5">
        <v>100</v>
      </c>
      <c r="I954" s="5">
        <v>0</v>
      </c>
      <c r="J954" s="5">
        <v>100</v>
      </c>
      <c r="K954" s="15" t="s">
        <v>53</v>
      </c>
      <c r="L954" s="6">
        <v>3</v>
      </c>
      <c r="M954" s="6">
        <v>0</v>
      </c>
      <c r="N954" s="6">
        <v>0</v>
      </c>
      <c r="O954" s="5">
        <v>16</v>
      </c>
      <c r="P954" s="5">
        <v>0</v>
      </c>
      <c r="Q954" s="5">
        <v>0</v>
      </c>
      <c r="R954" s="5">
        <v>0</v>
      </c>
      <c r="S954" s="5">
        <v>0</v>
      </c>
      <c r="T954" s="5">
        <v>18</v>
      </c>
      <c r="U954" s="6">
        <v>0</v>
      </c>
      <c r="V954" s="5">
        <v>10</v>
      </c>
      <c r="W954" s="5">
        <v>5</v>
      </c>
      <c r="X954" s="16">
        <v>2000</v>
      </c>
      <c r="Y954" s="16">
        <v>7000</v>
      </c>
      <c r="Z954" s="16">
        <v>14000</v>
      </c>
      <c r="AA954" s="12" t="str">
        <f t="shared" si="163"/>
        <v>0/30</v>
      </c>
      <c r="AB954" s="12" t="str">
        <f t="shared" si="164"/>
        <v>100,100,100,100,0,100</v>
      </c>
      <c r="AC954" s="12">
        <f t="shared" si="165"/>
        <v>2</v>
      </c>
      <c r="AD954" s="12" t="str">
        <f t="shared" si="166"/>
        <v>2000/7000/14000</v>
      </c>
      <c r="AE954" s="12" t="str">
        <f t="shared" si="167"/>
        <v/>
      </c>
      <c r="AF954" s="12" t="str">
        <f t="shared" si="168"/>
        <v/>
      </c>
      <c r="AG954" s="12" t="str">
        <f t="shared" si="169"/>
        <v>0/5/</v>
      </c>
      <c r="AH954" s="12" t="str">
        <f t="shared" si="170"/>
        <v>16/18/</v>
      </c>
      <c r="AI954" s="12" t="str">
        <f t="shared" si="171"/>
        <v>10/5</v>
      </c>
    </row>
    <row r="955" spans="1:35" s="8" customFormat="1" ht="21.95" customHeight="1">
      <c r="A955" s="9">
        <v>953</v>
      </c>
      <c r="B955" s="17">
        <v>953</v>
      </c>
      <c r="C955" s="6">
        <v>30</v>
      </c>
      <c r="D955" s="6">
        <v>0</v>
      </c>
      <c r="E955" s="5">
        <v>100</v>
      </c>
      <c r="F955" s="5">
        <v>100</v>
      </c>
      <c r="G955" s="5">
        <v>100</v>
      </c>
      <c r="H955" s="5">
        <v>100</v>
      </c>
      <c r="I955" s="5">
        <v>100</v>
      </c>
      <c r="J955" s="5">
        <v>0</v>
      </c>
      <c r="K955" s="15" t="s">
        <v>52</v>
      </c>
      <c r="L955" s="6">
        <v>3</v>
      </c>
      <c r="M955" s="6">
        <v>6</v>
      </c>
      <c r="N955" s="6">
        <v>0</v>
      </c>
      <c r="O955" s="5">
        <v>0</v>
      </c>
      <c r="P955" s="5">
        <v>0</v>
      </c>
      <c r="Q955" s="5">
        <v>0</v>
      </c>
      <c r="R955" s="5">
        <v>0</v>
      </c>
      <c r="S955" s="5">
        <v>0</v>
      </c>
      <c r="T955" s="5">
        <v>0</v>
      </c>
      <c r="U955" s="6">
        <v>0</v>
      </c>
      <c r="V955" s="5">
        <v>10</v>
      </c>
      <c r="W955" s="5">
        <v>5</v>
      </c>
      <c r="X955" s="16">
        <v>2000</v>
      </c>
      <c r="Y955" s="16">
        <v>7000</v>
      </c>
      <c r="Z955" s="16">
        <v>14000</v>
      </c>
      <c r="AA955" s="12" t="str">
        <f t="shared" si="163"/>
        <v>0/30</v>
      </c>
      <c r="AB955" s="12" t="str">
        <f t="shared" si="164"/>
        <v>100,100,100,100,100,0</v>
      </c>
      <c r="AC955" s="12">
        <f t="shared" si="165"/>
        <v>1</v>
      </c>
      <c r="AD955" s="12" t="str">
        <f t="shared" si="166"/>
        <v>2000/7000/14000</v>
      </c>
      <c r="AE955" s="12" t="str">
        <f t="shared" si="167"/>
        <v>0/</v>
      </c>
      <c r="AF955" s="12" t="str">
        <f t="shared" si="168"/>
        <v>6/</v>
      </c>
      <c r="AG955" s="12" t="str">
        <f t="shared" si="169"/>
        <v/>
      </c>
      <c r="AH955" s="12" t="str">
        <f t="shared" si="170"/>
        <v/>
      </c>
      <c r="AI955" s="12" t="str">
        <f t="shared" si="171"/>
        <v>10/5</v>
      </c>
    </row>
    <row r="956" spans="1:35" s="8" customFormat="1" ht="21.95" customHeight="1">
      <c r="A956" s="9">
        <v>954</v>
      </c>
      <c r="B956" s="17">
        <v>954</v>
      </c>
      <c r="C956" s="6">
        <v>30</v>
      </c>
      <c r="D956" s="6">
        <v>0</v>
      </c>
      <c r="E956" s="5">
        <v>0</v>
      </c>
      <c r="F956" s="5">
        <v>100</v>
      </c>
      <c r="G956" s="5">
        <v>100</v>
      </c>
      <c r="H956" s="5">
        <v>100</v>
      </c>
      <c r="I956" s="5">
        <v>100</v>
      </c>
      <c r="J956" s="5">
        <v>100</v>
      </c>
      <c r="K956" s="15" t="s">
        <v>52</v>
      </c>
      <c r="L956" s="6">
        <v>3</v>
      </c>
      <c r="M956" s="6">
        <v>0</v>
      </c>
      <c r="N956" s="6">
        <v>6</v>
      </c>
      <c r="O956" s="5">
        <v>0</v>
      </c>
      <c r="P956" s="5">
        <v>0</v>
      </c>
      <c r="Q956" s="5">
        <v>0</v>
      </c>
      <c r="R956" s="5">
        <v>0</v>
      </c>
      <c r="S956" s="5">
        <v>0</v>
      </c>
      <c r="T956" s="5">
        <v>0</v>
      </c>
      <c r="U956" s="6">
        <v>0</v>
      </c>
      <c r="V956" s="5">
        <v>10</v>
      </c>
      <c r="W956" s="5">
        <v>5</v>
      </c>
      <c r="X956" s="16">
        <v>2000</v>
      </c>
      <c r="Y956" s="16">
        <v>7000</v>
      </c>
      <c r="Z956" s="16">
        <v>14000</v>
      </c>
      <c r="AA956" s="12" t="str">
        <f t="shared" si="163"/>
        <v>0/30</v>
      </c>
      <c r="AB956" s="12" t="str">
        <f t="shared" si="164"/>
        <v>0,100,100,100,100,100</v>
      </c>
      <c r="AC956" s="12">
        <f t="shared" si="165"/>
        <v>1</v>
      </c>
      <c r="AD956" s="12" t="str">
        <f t="shared" si="166"/>
        <v>2000/7000/14000</v>
      </c>
      <c r="AE956" s="12" t="str">
        <f t="shared" si="167"/>
        <v>1/</v>
      </c>
      <c r="AF956" s="12" t="str">
        <f t="shared" si="168"/>
        <v>6/</v>
      </c>
      <c r="AG956" s="12" t="str">
        <f t="shared" si="169"/>
        <v/>
      </c>
      <c r="AH956" s="12" t="str">
        <f t="shared" si="170"/>
        <v/>
      </c>
      <c r="AI956" s="12" t="str">
        <f t="shared" si="171"/>
        <v>10/5</v>
      </c>
    </row>
    <row r="957" spans="1:35" s="8" customFormat="1" ht="21.95" customHeight="1">
      <c r="A957" s="9">
        <v>955</v>
      </c>
      <c r="B957" s="17">
        <v>955</v>
      </c>
      <c r="C957" s="6">
        <v>0</v>
      </c>
      <c r="D957" s="6">
        <v>60</v>
      </c>
      <c r="E957" s="5">
        <v>100</v>
      </c>
      <c r="F957" s="5">
        <v>0</v>
      </c>
      <c r="G957" s="5">
        <v>100</v>
      </c>
      <c r="H957" s="5">
        <v>100</v>
      </c>
      <c r="I957" s="5">
        <v>100</v>
      </c>
      <c r="J957" s="5">
        <v>100</v>
      </c>
      <c r="K957" s="15" t="s">
        <v>54</v>
      </c>
      <c r="L957" s="6">
        <v>3</v>
      </c>
      <c r="M957" s="6">
        <v>0</v>
      </c>
      <c r="N957" s="6">
        <v>0</v>
      </c>
      <c r="O957" s="5">
        <v>0</v>
      </c>
      <c r="P957" s="5">
        <v>0</v>
      </c>
      <c r="Q957" s="5">
        <v>0</v>
      </c>
      <c r="R957" s="5">
        <v>0</v>
      </c>
      <c r="S957" s="5">
        <v>0</v>
      </c>
      <c r="T957" s="5">
        <v>0</v>
      </c>
      <c r="U957" s="6">
        <v>0</v>
      </c>
      <c r="V957" s="5">
        <v>10</v>
      </c>
      <c r="W957" s="5">
        <v>5</v>
      </c>
      <c r="X957" s="16">
        <v>2000</v>
      </c>
      <c r="Y957" s="16">
        <v>7000</v>
      </c>
      <c r="Z957" s="16">
        <v>14000</v>
      </c>
      <c r="AA957" s="12" t="str">
        <f t="shared" si="163"/>
        <v>1/60</v>
      </c>
      <c r="AB957" s="12" t="str">
        <f t="shared" si="164"/>
        <v>100,0,100,100,100,100</v>
      </c>
      <c r="AC957" s="12">
        <f t="shared" si="165"/>
        <v>3</v>
      </c>
      <c r="AD957" s="12" t="str">
        <f t="shared" si="166"/>
        <v>2000/7000/14000</v>
      </c>
      <c r="AE957" s="12" t="str">
        <f t="shared" si="167"/>
        <v/>
      </c>
      <c r="AF957" s="12" t="str">
        <f t="shared" si="168"/>
        <v/>
      </c>
      <c r="AG957" s="12" t="str">
        <f t="shared" si="169"/>
        <v/>
      </c>
      <c r="AH957" s="12" t="str">
        <f t="shared" si="170"/>
        <v/>
      </c>
      <c r="AI957" s="12" t="str">
        <f t="shared" si="171"/>
        <v>10/5</v>
      </c>
    </row>
    <row r="958" spans="1:35" s="8" customFormat="1" ht="21.95" customHeight="1">
      <c r="A958" s="9">
        <v>956</v>
      </c>
      <c r="B958" s="17">
        <v>956</v>
      </c>
      <c r="C958" s="6">
        <v>0</v>
      </c>
      <c r="D958" s="6">
        <v>60</v>
      </c>
      <c r="E958" s="5">
        <v>100</v>
      </c>
      <c r="F958" s="5">
        <v>100</v>
      </c>
      <c r="G958" s="5">
        <v>0</v>
      </c>
      <c r="H958" s="5">
        <v>100</v>
      </c>
      <c r="I958" s="5">
        <v>100</v>
      </c>
      <c r="J958" s="5">
        <v>100</v>
      </c>
      <c r="K958" s="15" t="s">
        <v>56</v>
      </c>
      <c r="L958" s="6">
        <v>3</v>
      </c>
      <c r="M958" s="6">
        <v>0</v>
      </c>
      <c r="N958" s="6">
        <v>0</v>
      </c>
      <c r="O958" s="5">
        <v>0</v>
      </c>
      <c r="P958" s="5">
        <v>0</v>
      </c>
      <c r="Q958" s="5">
        <v>0</v>
      </c>
      <c r="R958" s="5">
        <v>0</v>
      </c>
      <c r="S958" s="5">
        <v>0</v>
      </c>
      <c r="T958" s="5">
        <v>0</v>
      </c>
      <c r="U958" s="6">
        <v>0</v>
      </c>
      <c r="V958" s="5">
        <v>10</v>
      </c>
      <c r="W958" s="5">
        <v>5</v>
      </c>
      <c r="X958" s="16">
        <v>2000</v>
      </c>
      <c r="Y958" s="16">
        <v>7000</v>
      </c>
      <c r="Z958" s="16">
        <v>14000</v>
      </c>
      <c r="AA958" s="12" t="str">
        <f t="shared" si="163"/>
        <v>1/60</v>
      </c>
      <c r="AB958" s="12" t="str">
        <f t="shared" si="164"/>
        <v>100,100,0,100,100,100</v>
      </c>
      <c r="AC958" s="12">
        <f t="shared" si="165"/>
        <v>5</v>
      </c>
      <c r="AD958" s="12" t="str">
        <f t="shared" si="166"/>
        <v>2000/7000/14000</v>
      </c>
      <c r="AE958" s="12" t="str">
        <f t="shared" si="167"/>
        <v/>
      </c>
      <c r="AF958" s="12" t="str">
        <f t="shared" si="168"/>
        <v/>
      </c>
      <c r="AG958" s="12" t="str">
        <f t="shared" si="169"/>
        <v/>
      </c>
      <c r="AH958" s="12" t="str">
        <f t="shared" si="170"/>
        <v/>
      </c>
      <c r="AI958" s="12" t="str">
        <f t="shared" si="171"/>
        <v>10/5</v>
      </c>
    </row>
    <row r="959" spans="1:35" s="8" customFormat="1" ht="21.95" customHeight="1">
      <c r="A959" s="9">
        <v>957</v>
      </c>
      <c r="B959" s="17">
        <v>957</v>
      </c>
      <c r="C959" s="6">
        <v>0</v>
      </c>
      <c r="D959" s="6">
        <v>60</v>
      </c>
      <c r="E959" s="5">
        <v>100</v>
      </c>
      <c r="F959" s="5">
        <v>100</v>
      </c>
      <c r="G959" s="5">
        <v>100</v>
      </c>
      <c r="H959" s="5">
        <v>0</v>
      </c>
      <c r="I959" s="5">
        <v>100</v>
      </c>
      <c r="J959" s="5">
        <v>100</v>
      </c>
      <c r="K959" s="15" t="s">
        <v>53</v>
      </c>
      <c r="L959" s="6">
        <v>3</v>
      </c>
      <c r="M959" s="6">
        <v>0</v>
      </c>
      <c r="N959" s="6">
        <v>0</v>
      </c>
      <c r="O959" s="5">
        <v>0</v>
      </c>
      <c r="P959" s="5">
        <v>0</v>
      </c>
      <c r="Q959" s="5">
        <v>0</v>
      </c>
      <c r="R959" s="5">
        <v>0</v>
      </c>
      <c r="S959" s="5">
        <v>18</v>
      </c>
      <c r="T959" s="5">
        <v>16</v>
      </c>
      <c r="U959" s="6">
        <v>0</v>
      </c>
      <c r="V959" s="5">
        <v>10</v>
      </c>
      <c r="W959" s="5">
        <v>5</v>
      </c>
      <c r="X959" s="16">
        <v>2000</v>
      </c>
      <c r="Y959" s="16">
        <v>7000</v>
      </c>
      <c r="Z959" s="16">
        <v>14000</v>
      </c>
      <c r="AA959" s="12" t="str">
        <f t="shared" si="163"/>
        <v>1/60</v>
      </c>
      <c r="AB959" s="12" t="str">
        <f t="shared" si="164"/>
        <v>100,100,100,0,100,100</v>
      </c>
      <c r="AC959" s="12">
        <f t="shared" si="165"/>
        <v>2</v>
      </c>
      <c r="AD959" s="12" t="str">
        <f t="shared" si="166"/>
        <v>2000/7000/14000</v>
      </c>
      <c r="AE959" s="12" t="str">
        <f t="shared" si="167"/>
        <v/>
      </c>
      <c r="AF959" s="12" t="str">
        <f t="shared" si="168"/>
        <v/>
      </c>
      <c r="AG959" s="12" t="str">
        <f t="shared" si="169"/>
        <v>4/5/</v>
      </c>
      <c r="AH959" s="12" t="str">
        <f t="shared" si="170"/>
        <v>18/16/</v>
      </c>
      <c r="AI959" s="12" t="str">
        <f t="shared" si="171"/>
        <v>10/5</v>
      </c>
    </row>
    <row r="960" spans="1:35" s="8" customFormat="1" ht="21.95" customHeight="1">
      <c r="A960" s="9">
        <v>958</v>
      </c>
      <c r="B960" s="17">
        <v>958</v>
      </c>
      <c r="C960" s="6">
        <v>30</v>
      </c>
      <c r="D960" s="6">
        <v>0</v>
      </c>
      <c r="E960" s="5">
        <v>100</v>
      </c>
      <c r="F960" s="5">
        <v>100</v>
      </c>
      <c r="G960" s="5">
        <v>100</v>
      </c>
      <c r="H960" s="5">
        <v>100</v>
      </c>
      <c r="I960" s="5">
        <v>0</v>
      </c>
      <c r="J960" s="5">
        <v>100</v>
      </c>
      <c r="K960" s="15" t="s">
        <v>53</v>
      </c>
      <c r="L960" s="6">
        <v>3</v>
      </c>
      <c r="M960" s="6">
        <v>0</v>
      </c>
      <c r="N960" s="6">
        <v>0</v>
      </c>
      <c r="O960" s="5">
        <v>16</v>
      </c>
      <c r="P960" s="5">
        <v>0</v>
      </c>
      <c r="Q960" s="5">
        <v>0</v>
      </c>
      <c r="R960" s="5">
        <v>0</v>
      </c>
      <c r="S960" s="5">
        <v>0</v>
      </c>
      <c r="T960" s="5">
        <v>18</v>
      </c>
      <c r="U960" s="6">
        <v>0</v>
      </c>
      <c r="V960" s="5">
        <v>10</v>
      </c>
      <c r="W960" s="5">
        <v>5</v>
      </c>
      <c r="X960" s="16">
        <v>2000</v>
      </c>
      <c r="Y960" s="16">
        <v>7000</v>
      </c>
      <c r="Z960" s="16">
        <v>14000</v>
      </c>
      <c r="AA960" s="12" t="str">
        <f t="shared" si="163"/>
        <v>0/30</v>
      </c>
      <c r="AB960" s="12" t="str">
        <f t="shared" si="164"/>
        <v>100,100,100,100,0,100</v>
      </c>
      <c r="AC960" s="12">
        <f t="shared" si="165"/>
        <v>2</v>
      </c>
      <c r="AD960" s="12" t="str">
        <f t="shared" si="166"/>
        <v>2000/7000/14000</v>
      </c>
      <c r="AE960" s="12" t="str">
        <f t="shared" si="167"/>
        <v/>
      </c>
      <c r="AF960" s="12" t="str">
        <f t="shared" si="168"/>
        <v/>
      </c>
      <c r="AG960" s="12" t="str">
        <f t="shared" si="169"/>
        <v>0/5/</v>
      </c>
      <c r="AH960" s="12" t="str">
        <f t="shared" si="170"/>
        <v>16/18/</v>
      </c>
      <c r="AI960" s="12" t="str">
        <f t="shared" si="171"/>
        <v>10/5</v>
      </c>
    </row>
    <row r="961" spans="1:35" s="8" customFormat="1" ht="21.95" customHeight="1">
      <c r="A961" s="9">
        <v>959</v>
      </c>
      <c r="B961" s="17">
        <v>959</v>
      </c>
      <c r="C961" s="6">
        <v>30</v>
      </c>
      <c r="D961" s="6">
        <v>0</v>
      </c>
      <c r="E961" s="5">
        <v>100</v>
      </c>
      <c r="F961" s="5">
        <v>100</v>
      </c>
      <c r="G961" s="5">
        <v>100</v>
      </c>
      <c r="H961" s="5">
        <v>100</v>
      </c>
      <c r="I961" s="5">
        <v>100</v>
      </c>
      <c r="J961" s="5">
        <v>0</v>
      </c>
      <c r="K961" s="15" t="s">
        <v>52</v>
      </c>
      <c r="L961" s="6">
        <v>3</v>
      </c>
      <c r="M961" s="6">
        <v>6</v>
      </c>
      <c r="N961" s="6">
        <v>0</v>
      </c>
      <c r="O961" s="5">
        <v>0</v>
      </c>
      <c r="P961" s="5">
        <v>0</v>
      </c>
      <c r="Q961" s="5">
        <v>0</v>
      </c>
      <c r="R961" s="5">
        <v>0</v>
      </c>
      <c r="S961" s="5">
        <v>0</v>
      </c>
      <c r="T961" s="5">
        <v>0</v>
      </c>
      <c r="U961" s="6">
        <v>0</v>
      </c>
      <c r="V961" s="5">
        <v>10</v>
      </c>
      <c r="W961" s="5">
        <v>5</v>
      </c>
      <c r="X961" s="16">
        <v>2000</v>
      </c>
      <c r="Y961" s="16">
        <v>7000</v>
      </c>
      <c r="Z961" s="16">
        <v>14000</v>
      </c>
      <c r="AA961" s="12" t="str">
        <f t="shared" si="163"/>
        <v>0/30</v>
      </c>
      <c r="AB961" s="12" t="str">
        <f t="shared" si="164"/>
        <v>100,100,100,100,100,0</v>
      </c>
      <c r="AC961" s="12">
        <f t="shared" si="165"/>
        <v>1</v>
      </c>
      <c r="AD961" s="12" t="str">
        <f t="shared" si="166"/>
        <v>2000/7000/14000</v>
      </c>
      <c r="AE961" s="12" t="str">
        <f t="shared" si="167"/>
        <v>0/</v>
      </c>
      <c r="AF961" s="12" t="str">
        <f t="shared" si="168"/>
        <v>6/</v>
      </c>
      <c r="AG961" s="12" t="str">
        <f t="shared" si="169"/>
        <v/>
      </c>
      <c r="AH961" s="12" t="str">
        <f t="shared" si="170"/>
        <v/>
      </c>
      <c r="AI961" s="12" t="str">
        <f t="shared" si="171"/>
        <v>10/5</v>
      </c>
    </row>
    <row r="962" spans="1:35" s="8" customFormat="1" ht="21.95" customHeight="1">
      <c r="A962" s="9">
        <v>960</v>
      </c>
      <c r="B962" s="17">
        <v>960</v>
      </c>
      <c r="C962" s="6">
        <v>30</v>
      </c>
      <c r="D962" s="6">
        <v>0</v>
      </c>
      <c r="E962" s="5">
        <v>0</v>
      </c>
      <c r="F962" s="5">
        <v>100</v>
      </c>
      <c r="G962" s="5">
        <v>100</v>
      </c>
      <c r="H962" s="5">
        <v>100</v>
      </c>
      <c r="I962" s="5">
        <v>100</v>
      </c>
      <c r="J962" s="5">
        <v>100</v>
      </c>
      <c r="K962" s="15" t="s">
        <v>52</v>
      </c>
      <c r="L962" s="6">
        <v>3</v>
      </c>
      <c r="M962" s="6">
        <v>0</v>
      </c>
      <c r="N962" s="6">
        <v>6</v>
      </c>
      <c r="O962" s="5">
        <v>0</v>
      </c>
      <c r="P962" s="5">
        <v>0</v>
      </c>
      <c r="Q962" s="5">
        <v>0</v>
      </c>
      <c r="R962" s="5">
        <v>0</v>
      </c>
      <c r="S962" s="5">
        <v>0</v>
      </c>
      <c r="T962" s="5">
        <v>0</v>
      </c>
      <c r="U962" s="6">
        <v>0</v>
      </c>
      <c r="V962" s="5">
        <v>10</v>
      </c>
      <c r="W962" s="5">
        <v>5</v>
      </c>
      <c r="X962" s="16">
        <v>2000</v>
      </c>
      <c r="Y962" s="16">
        <v>7000</v>
      </c>
      <c r="Z962" s="16">
        <v>14000</v>
      </c>
      <c r="AA962" s="12" t="str">
        <f t="shared" si="163"/>
        <v>0/30</v>
      </c>
      <c r="AB962" s="12" t="str">
        <f t="shared" si="164"/>
        <v>0,100,100,100,100,100</v>
      </c>
      <c r="AC962" s="12">
        <f t="shared" si="165"/>
        <v>1</v>
      </c>
      <c r="AD962" s="12" t="str">
        <f t="shared" si="166"/>
        <v>2000/7000/14000</v>
      </c>
      <c r="AE962" s="12" t="str">
        <f t="shared" si="167"/>
        <v>1/</v>
      </c>
      <c r="AF962" s="12" t="str">
        <f t="shared" si="168"/>
        <v>6/</v>
      </c>
      <c r="AG962" s="12" t="str">
        <f t="shared" si="169"/>
        <v/>
      </c>
      <c r="AH962" s="12" t="str">
        <f t="shared" si="170"/>
        <v/>
      </c>
      <c r="AI962" s="12" t="str">
        <f t="shared" si="171"/>
        <v>10/5</v>
      </c>
    </row>
    <row r="963" spans="1:35" s="8" customFormat="1" ht="21.95" customHeight="1">
      <c r="A963" s="9">
        <v>961</v>
      </c>
      <c r="B963" s="17">
        <v>961</v>
      </c>
      <c r="C963" s="6">
        <v>0</v>
      </c>
      <c r="D963" s="6">
        <v>60</v>
      </c>
      <c r="E963" s="5">
        <v>100</v>
      </c>
      <c r="F963" s="5">
        <v>0</v>
      </c>
      <c r="G963" s="5">
        <v>100</v>
      </c>
      <c r="H963" s="5">
        <v>100</v>
      </c>
      <c r="I963" s="5">
        <v>100</v>
      </c>
      <c r="J963" s="5">
        <v>100</v>
      </c>
      <c r="K963" s="15" t="s">
        <v>54</v>
      </c>
      <c r="L963" s="6">
        <v>3</v>
      </c>
      <c r="M963" s="6">
        <v>0</v>
      </c>
      <c r="N963" s="6">
        <v>0</v>
      </c>
      <c r="O963" s="5">
        <v>0</v>
      </c>
      <c r="P963" s="5">
        <v>0</v>
      </c>
      <c r="Q963" s="5">
        <v>0</v>
      </c>
      <c r="R963" s="5">
        <v>0</v>
      </c>
      <c r="S963" s="5">
        <v>0</v>
      </c>
      <c r="T963" s="5">
        <v>0</v>
      </c>
      <c r="U963" s="6">
        <v>0</v>
      </c>
      <c r="V963" s="5">
        <v>10</v>
      </c>
      <c r="W963" s="5">
        <v>5</v>
      </c>
      <c r="X963" s="16">
        <v>2000</v>
      </c>
      <c r="Y963" s="16">
        <v>7000</v>
      </c>
      <c r="Z963" s="16">
        <v>14000</v>
      </c>
      <c r="AA963" s="12" t="str">
        <f t="shared" si="163"/>
        <v>1/60</v>
      </c>
      <c r="AB963" s="12" t="str">
        <f t="shared" si="164"/>
        <v>100,0,100,100,100,100</v>
      </c>
      <c r="AC963" s="12">
        <f t="shared" si="165"/>
        <v>3</v>
      </c>
      <c r="AD963" s="12" t="str">
        <f t="shared" si="166"/>
        <v>2000/7000/14000</v>
      </c>
      <c r="AE963" s="12" t="str">
        <f t="shared" si="167"/>
        <v/>
      </c>
      <c r="AF963" s="12" t="str">
        <f t="shared" si="168"/>
        <v/>
      </c>
      <c r="AG963" s="12" t="str">
        <f t="shared" si="169"/>
        <v/>
      </c>
      <c r="AH963" s="12" t="str">
        <f t="shared" si="170"/>
        <v/>
      </c>
      <c r="AI963" s="12" t="str">
        <f t="shared" si="171"/>
        <v>10/5</v>
      </c>
    </row>
    <row r="964" spans="1:35" s="8" customFormat="1" ht="21.95" customHeight="1">
      <c r="A964" s="9">
        <v>962</v>
      </c>
      <c r="B964" s="17">
        <v>962</v>
      </c>
      <c r="C964" s="6">
        <v>0</v>
      </c>
      <c r="D964" s="6">
        <v>60</v>
      </c>
      <c r="E964" s="5">
        <v>100</v>
      </c>
      <c r="F964" s="5">
        <v>100</v>
      </c>
      <c r="G964" s="5">
        <v>0</v>
      </c>
      <c r="H964" s="5">
        <v>100</v>
      </c>
      <c r="I964" s="5">
        <v>100</v>
      </c>
      <c r="J964" s="5">
        <v>100</v>
      </c>
      <c r="K964" s="15" t="s">
        <v>54</v>
      </c>
      <c r="L964" s="6">
        <v>3</v>
      </c>
      <c r="M964" s="6">
        <v>0</v>
      </c>
      <c r="N964" s="6">
        <v>0</v>
      </c>
      <c r="O964" s="5">
        <v>0</v>
      </c>
      <c r="P964" s="5">
        <v>0</v>
      </c>
      <c r="Q964" s="5">
        <v>0</v>
      </c>
      <c r="R964" s="5">
        <v>0</v>
      </c>
      <c r="S964" s="5">
        <v>0</v>
      </c>
      <c r="T964" s="5">
        <v>0</v>
      </c>
      <c r="U964" s="6">
        <v>0</v>
      </c>
      <c r="V964" s="5">
        <v>10</v>
      </c>
      <c r="W964" s="5">
        <v>5</v>
      </c>
      <c r="X964" s="16">
        <v>2000</v>
      </c>
      <c r="Y964" s="16">
        <v>7000</v>
      </c>
      <c r="Z964" s="16">
        <v>14000</v>
      </c>
      <c r="AA964" s="12" t="str">
        <f t="shared" si="163"/>
        <v>1/60</v>
      </c>
      <c r="AB964" s="12" t="str">
        <f t="shared" si="164"/>
        <v>100,100,0,100,100,100</v>
      </c>
      <c r="AC964" s="12">
        <f t="shared" si="165"/>
        <v>3</v>
      </c>
      <c r="AD964" s="12" t="str">
        <f t="shared" si="166"/>
        <v>2000/7000/14000</v>
      </c>
      <c r="AE964" s="12" t="str">
        <f t="shared" si="167"/>
        <v/>
      </c>
      <c r="AF964" s="12" t="str">
        <f t="shared" si="168"/>
        <v/>
      </c>
      <c r="AG964" s="12" t="str">
        <f t="shared" si="169"/>
        <v/>
      </c>
      <c r="AH964" s="12" t="str">
        <f t="shared" si="170"/>
        <v/>
      </c>
      <c r="AI964" s="12" t="str">
        <f t="shared" si="171"/>
        <v>10/5</v>
      </c>
    </row>
    <row r="965" spans="1:35" s="8" customFormat="1" ht="21.95" customHeight="1">
      <c r="A965" s="9">
        <v>963</v>
      </c>
      <c r="B965" s="17">
        <v>963</v>
      </c>
      <c r="C965" s="6">
        <v>30</v>
      </c>
      <c r="D965" s="6">
        <v>0</v>
      </c>
      <c r="E965" s="5">
        <v>100</v>
      </c>
      <c r="F965" s="5">
        <v>100</v>
      </c>
      <c r="G965" s="5">
        <v>100</v>
      </c>
      <c r="H965" s="5">
        <v>0</v>
      </c>
      <c r="I965" s="5">
        <v>100</v>
      </c>
      <c r="J965" s="5">
        <v>100</v>
      </c>
      <c r="K965" s="15" t="s">
        <v>55</v>
      </c>
      <c r="L965" s="6">
        <v>3</v>
      </c>
      <c r="M965" s="6">
        <v>0</v>
      </c>
      <c r="N965" s="6">
        <v>0</v>
      </c>
      <c r="O965" s="5">
        <v>0</v>
      </c>
      <c r="P965" s="5">
        <v>0</v>
      </c>
      <c r="Q965" s="5">
        <v>0</v>
      </c>
      <c r="R965" s="5">
        <v>0</v>
      </c>
      <c r="S965" s="5">
        <v>0</v>
      </c>
      <c r="T965" s="5">
        <v>0</v>
      </c>
      <c r="U965" s="6">
        <v>5</v>
      </c>
      <c r="V965" s="5">
        <v>10</v>
      </c>
      <c r="W965" s="5">
        <v>5</v>
      </c>
      <c r="X965" s="16">
        <v>2000</v>
      </c>
      <c r="Y965" s="16">
        <v>7000</v>
      </c>
      <c r="Z965" s="16">
        <v>14000</v>
      </c>
      <c r="AA965" s="12" t="str">
        <f t="shared" si="163"/>
        <v>0/30</v>
      </c>
      <c r="AB965" s="12" t="str">
        <f t="shared" si="164"/>
        <v>100,100,100,0,100,100</v>
      </c>
      <c r="AC965" s="12">
        <f t="shared" si="165"/>
        <v>4</v>
      </c>
      <c r="AD965" s="12" t="str">
        <f t="shared" si="166"/>
        <v>2000/7000/14000</v>
      </c>
      <c r="AE965" s="12" t="str">
        <f t="shared" si="167"/>
        <v/>
      </c>
      <c r="AF965" s="12" t="str">
        <f t="shared" si="168"/>
        <v/>
      </c>
      <c r="AG965" s="12" t="str">
        <f t="shared" si="169"/>
        <v/>
      </c>
      <c r="AH965" s="12" t="str">
        <f t="shared" si="170"/>
        <v/>
      </c>
      <c r="AI965" s="12" t="str">
        <f t="shared" si="171"/>
        <v>10/5</v>
      </c>
    </row>
    <row r="966" spans="1:35" s="8" customFormat="1" ht="21.95" customHeight="1">
      <c r="A966" s="9">
        <v>964</v>
      </c>
      <c r="B966" s="17">
        <v>964</v>
      </c>
      <c r="C966" s="6">
        <v>30</v>
      </c>
      <c r="D966" s="6">
        <v>0</v>
      </c>
      <c r="E966" s="5">
        <v>100</v>
      </c>
      <c r="F966" s="5">
        <v>100</v>
      </c>
      <c r="G966" s="5">
        <v>100</v>
      </c>
      <c r="H966" s="5">
        <v>100</v>
      </c>
      <c r="I966" s="5">
        <v>0</v>
      </c>
      <c r="J966" s="5">
        <v>100</v>
      </c>
      <c r="K966" s="15" t="s">
        <v>55</v>
      </c>
      <c r="L966" s="6">
        <v>3</v>
      </c>
      <c r="M966" s="6">
        <v>0</v>
      </c>
      <c r="N966" s="6">
        <v>0</v>
      </c>
      <c r="O966" s="5">
        <v>0</v>
      </c>
      <c r="P966" s="5">
        <v>0</v>
      </c>
      <c r="Q966" s="5">
        <v>0</v>
      </c>
      <c r="R966" s="5">
        <v>0</v>
      </c>
      <c r="S966" s="5">
        <v>0</v>
      </c>
      <c r="T966" s="5">
        <v>0</v>
      </c>
      <c r="U966" s="6">
        <v>5</v>
      </c>
      <c r="V966" s="5">
        <v>10</v>
      </c>
      <c r="W966" s="5">
        <v>5</v>
      </c>
      <c r="X966" s="16">
        <v>2000</v>
      </c>
      <c r="Y966" s="16">
        <v>7000</v>
      </c>
      <c r="Z966" s="16">
        <v>14000</v>
      </c>
      <c r="AA966" s="12" t="str">
        <f t="shared" si="163"/>
        <v>0/30</v>
      </c>
      <c r="AB966" s="12" t="str">
        <f t="shared" si="164"/>
        <v>100,100,100,100,0,100</v>
      </c>
      <c r="AC966" s="12">
        <f t="shared" si="165"/>
        <v>4</v>
      </c>
      <c r="AD966" s="12" t="str">
        <f t="shared" si="166"/>
        <v>2000/7000/14000</v>
      </c>
      <c r="AE966" s="12" t="str">
        <f t="shared" si="167"/>
        <v/>
      </c>
      <c r="AF966" s="12" t="str">
        <f t="shared" si="168"/>
        <v/>
      </c>
      <c r="AG966" s="12" t="str">
        <f t="shared" si="169"/>
        <v/>
      </c>
      <c r="AH966" s="12" t="str">
        <f t="shared" si="170"/>
        <v/>
      </c>
      <c r="AI966" s="12" t="str">
        <f t="shared" si="171"/>
        <v>10/5</v>
      </c>
    </row>
    <row r="967" spans="1:35" s="8" customFormat="1" ht="21.95" customHeight="1">
      <c r="A967" s="9">
        <v>965</v>
      </c>
      <c r="B967" s="17">
        <v>965</v>
      </c>
      <c r="C967" s="6">
        <v>30</v>
      </c>
      <c r="D967" s="6">
        <v>0</v>
      </c>
      <c r="E967" s="5">
        <v>100</v>
      </c>
      <c r="F967" s="5">
        <v>100</v>
      </c>
      <c r="G967" s="5">
        <v>100</v>
      </c>
      <c r="H967" s="5">
        <v>100</v>
      </c>
      <c r="I967" s="5">
        <v>100</v>
      </c>
      <c r="J967" s="5">
        <v>0</v>
      </c>
      <c r="K967" s="15" t="s">
        <v>56</v>
      </c>
      <c r="L967" s="6">
        <v>3</v>
      </c>
      <c r="M967" s="6">
        <v>0</v>
      </c>
      <c r="N967" s="6">
        <v>0</v>
      </c>
      <c r="O967" s="5">
        <v>0</v>
      </c>
      <c r="P967" s="5">
        <v>0</v>
      </c>
      <c r="Q967" s="5">
        <v>0</v>
      </c>
      <c r="R967" s="5">
        <v>0</v>
      </c>
      <c r="S967" s="5">
        <v>0</v>
      </c>
      <c r="T967" s="5">
        <v>0</v>
      </c>
      <c r="U967" s="6">
        <v>0</v>
      </c>
      <c r="V967" s="5">
        <v>10</v>
      </c>
      <c r="W967" s="5">
        <v>5</v>
      </c>
      <c r="X967" s="16">
        <v>2000</v>
      </c>
      <c r="Y967" s="16">
        <v>7000</v>
      </c>
      <c r="Z967" s="16">
        <v>14000</v>
      </c>
      <c r="AA967" s="12" t="str">
        <f t="shared" si="163"/>
        <v>0/30</v>
      </c>
      <c r="AB967" s="12" t="str">
        <f t="shared" si="164"/>
        <v>100,100,100,100,100,0</v>
      </c>
      <c r="AC967" s="12">
        <f t="shared" si="165"/>
        <v>5</v>
      </c>
      <c r="AD967" s="12" t="str">
        <f t="shared" si="166"/>
        <v>2000/7000/14000</v>
      </c>
      <c r="AE967" s="12" t="str">
        <f t="shared" si="167"/>
        <v/>
      </c>
      <c r="AF967" s="12" t="str">
        <f t="shared" si="168"/>
        <v/>
      </c>
      <c r="AG967" s="12" t="str">
        <f t="shared" si="169"/>
        <v/>
      </c>
      <c r="AH967" s="12" t="str">
        <f t="shared" si="170"/>
        <v/>
      </c>
      <c r="AI967" s="12" t="str">
        <f t="shared" si="171"/>
        <v>10/5</v>
      </c>
    </row>
    <row r="968" spans="1:35" s="8" customFormat="1" ht="21.95" customHeight="1">
      <c r="A968" s="9">
        <v>966</v>
      </c>
      <c r="B968" s="17">
        <v>966</v>
      </c>
      <c r="C968" s="6">
        <v>30</v>
      </c>
      <c r="D968" s="6">
        <v>0</v>
      </c>
      <c r="E968" s="5">
        <v>0</v>
      </c>
      <c r="F968" s="5">
        <v>100</v>
      </c>
      <c r="G968" s="5">
        <v>100</v>
      </c>
      <c r="H968" s="5">
        <v>100</v>
      </c>
      <c r="I968" s="5">
        <v>100</v>
      </c>
      <c r="J968" s="5">
        <v>100</v>
      </c>
      <c r="K968" s="15" t="s">
        <v>56</v>
      </c>
      <c r="L968" s="6">
        <v>3</v>
      </c>
      <c r="M968" s="6">
        <v>0</v>
      </c>
      <c r="N968" s="6">
        <v>0</v>
      </c>
      <c r="O968" s="5">
        <v>0</v>
      </c>
      <c r="P968" s="5">
        <v>0</v>
      </c>
      <c r="Q968" s="5">
        <v>0</v>
      </c>
      <c r="R968" s="5">
        <v>0</v>
      </c>
      <c r="S968" s="5">
        <v>0</v>
      </c>
      <c r="T968" s="5">
        <v>0</v>
      </c>
      <c r="U968" s="6">
        <v>0</v>
      </c>
      <c r="V968" s="5">
        <v>10</v>
      </c>
      <c r="W968" s="5">
        <v>5</v>
      </c>
      <c r="X968" s="16">
        <v>2000</v>
      </c>
      <c r="Y968" s="16">
        <v>7000</v>
      </c>
      <c r="Z968" s="16">
        <v>14000</v>
      </c>
      <c r="AA968" s="12" t="str">
        <f t="shared" si="163"/>
        <v>0/30</v>
      </c>
      <c r="AB968" s="12" t="str">
        <f t="shared" si="164"/>
        <v>0,100,100,100,100,100</v>
      </c>
      <c r="AC968" s="12">
        <f t="shared" si="165"/>
        <v>5</v>
      </c>
      <c r="AD968" s="12" t="str">
        <f t="shared" si="166"/>
        <v>2000/7000/14000</v>
      </c>
      <c r="AE968" s="12" t="str">
        <f t="shared" si="167"/>
        <v/>
      </c>
      <c r="AF968" s="12" t="str">
        <f t="shared" si="168"/>
        <v/>
      </c>
      <c r="AG968" s="12" t="str">
        <f t="shared" si="169"/>
        <v/>
      </c>
      <c r="AH968" s="12" t="str">
        <f t="shared" si="170"/>
        <v/>
      </c>
      <c r="AI968" s="12" t="str">
        <f t="shared" si="171"/>
        <v>10/5</v>
      </c>
    </row>
    <row r="969" spans="1:35" s="8" customFormat="1" ht="21.95" customHeight="1">
      <c r="A969" s="9">
        <v>967</v>
      </c>
      <c r="B969" s="17">
        <v>967</v>
      </c>
      <c r="C969" s="6">
        <v>30</v>
      </c>
      <c r="D969" s="6">
        <v>0</v>
      </c>
      <c r="E969" s="5">
        <v>100</v>
      </c>
      <c r="F969" s="5">
        <v>0</v>
      </c>
      <c r="G969" s="5">
        <v>100</v>
      </c>
      <c r="H969" s="5">
        <v>100</v>
      </c>
      <c r="I969" s="5">
        <v>100</v>
      </c>
      <c r="J969" s="5">
        <v>100</v>
      </c>
      <c r="K969" s="15" t="s">
        <v>53</v>
      </c>
      <c r="L969" s="6">
        <v>3</v>
      </c>
      <c r="M969" s="6">
        <v>0</v>
      </c>
      <c r="N969" s="6">
        <v>0</v>
      </c>
      <c r="O969" s="5">
        <v>0</v>
      </c>
      <c r="P969" s="5">
        <v>0</v>
      </c>
      <c r="Q969" s="5">
        <v>20</v>
      </c>
      <c r="R969" s="5">
        <v>24</v>
      </c>
      <c r="S969" s="5">
        <v>0</v>
      </c>
      <c r="T969" s="5">
        <v>0</v>
      </c>
      <c r="U969" s="6">
        <v>0</v>
      </c>
      <c r="V969" s="5">
        <v>10</v>
      </c>
      <c r="W969" s="5">
        <v>5</v>
      </c>
      <c r="X969" s="16">
        <v>2000</v>
      </c>
      <c r="Y969" s="16">
        <v>7000</v>
      </c>
      <c r="Z969" s="16">
        <v>14000</v>
      </c>
      <c r="AA969" s="12" t="str">
        <f t="shared" si="163"/>
        <v>0/30</v>
      </c>
      <c r="AB969" s="12" t="str">
        <f t="shared" si="164"/>
        <v>100,0,100,100,100,100</v>
      </c>
      <c r="AC969" s="12">
        <f t="shared" si="165"/>
        <v>2</v>
      </c>
      <c r="AD969" s="12" t="str">
        <f t="shared" si="166"/>
        <v>2000/7000/14000</v>
      </c>
      <c r="AE969" s="12" t="str">
        <f t="shared" si="167"/>
        <v/>
      </c>
      <c r="AF969" s="12" t="str">
        <f t="shared" si="168"/>
        <v/>
      </c>
      <c r="AG969" s="12" t="str">
        <f t="shared" si="169"/>
        <v>2/3/</v>
      </c>
      <c r="AH969" s="12" t="str">
        <f t="shared" si="170"/>
        <v>20/24/</v>
      </c>
      <c r="AI969" s="12" t="str">
        <f t="shared" si="171"/>
        <v>10/5</v>
      </c>
    </row>
    <row r="970" spans="1:35" s="8" customFormat="1" ht="21.95" customHeight="1">
      <c r="A970" s="9">
        <v>968</v>
      </c>
      <c r="B970" s="17">
        <v>968</v>
      </c>
      <c r="C970" s="6">
        <v>30</v>
      </c>
      <c r="D970" s="6">
        <v>0</v>
      </c>
      <c r="E970" s="5">
        <v>100</v>
      </c>
      <c r="F970" s="5">
        <v>100</v>
      </c>
      <c r="G970" s="5">
        <v>0</v>
      </c>
      <c r="H970" s="5">
        <v>100</v>
      </c>
      <c r="I970" s="5">
        <v>100</v>
      </c>
      <c r="J970" s="5">
        <v>100</v>
      </c>
      <c r="K970" s="15" t="s">
        <v>53</v>
      </c>
      <c r="L970" s="6">
        <v>3</v>
      </c>
      <c r="M970" s="6">
        <v>0</v>
      </c>
      <c r="N970" s="6">
        <v>0</v>
      </c>
      <c r="O970" s="5">
        <v>0</v>
      </c>
      <c r="P970" s="5">
        <v>0</v>
      </c>
      <c r="Q970" s="5">
        <v>0</v>
      </c>
      <c r="R970" s="5">
        <v>18</v>
      </c>
      <c r="S970" s="5">
        <v>32</v>
      </c>
      <c r="T970" s="5">
        <v>0</v>
      </c>
      <c r="U970" s="6">
        <v>0</v>
      </c>
      <c r="V970" s="5">
        <v>10</v>
      </c>
      <c r="W970" s="5">
        <v>5</v>
      </c>
      <c r="X970" s="16">
        <v>2000</v>
      </c>
      <c r="Y970" s="16">
        <v>7000</v>
      </c>
      <c r="Z970" s="16">
        <v>14000</v>
      </c>
      <c r="AA970" s="12" t="str">
        <f t="shared" si="163"/>
        <v>0/30</v>
      </c>
      <c r="AB970" s="12" t="str">
        <f t="shared" si="164"/>
        <v>100,100,0,100,100,100</v>
      </c>
      <c r="AC970" s="12">
        <f t="shared" si="165"/>
        <v>2</v>
      </c>
      <c r="AD970" s="12" t="str">
        <f t="shared" si="166"/>
        <v>2000/7000/14000</v>
      </c>
      <c r="AE970" s="12" t="str">
        <f t="shared" si="167"/>
        <v/>
      </c>
      <c r="AF970" s="12" t="str">
        <f t="shared" si="168"/>
        <v/>
      </c>
      <c r="AG970" s="12" t="str">
        <f t="shared" si="169"/>
        <v>3/4/</v>
      </c>
      <c r="AH970" s="12" t="str">
        <f t="shared" si="170"/>
        <v>18/32/</v>
      </c>
      <c r="AI970" s="12" t="str">
        <f t="shared" si="171"/>
        <v>10/5</v>
      </c>
    </row>
    <row r="971" spans="1:35" s="8" customFormat="1" ht="21.95" customHeight="1">
      <c r="A971" s="9">
        <v>969</v>
      </c>
      <c r="B971" s="17">
        <v>969</v>
      </c>
      <c r="C971" s="6">
        <v>0</v>
      </c>
      <c r="D971" s="6">
        <v>60</v>
      </c>
      <c r="E971" s="5">
        <v>100</v>
      </c>
      <c r="F971" s="5">
        <v>100</v>
      </c>
      <c r="G971" s="5">
        <v>100</v>
      </c>
      <c r="H971" s="5">
        <v>0</v>
      </c>
      <c r="I971" s="5">
        <v>100</v>
      </c>
      <c r="J971" s="5">
        <v>100</v>
      </c>
      <c r="K971" s="15" t="s">
        <v>52</v>
      </c>
      <c r="L971" s="6">
        <v>3</v>
      </c>
      <c r="M971" s="6">
        <v>6</v>
      </c>
      <c r="N971" s="6">
        <v>0</v>
      </c>
      <c r="O971" s="5">
        <v>0</v>
      </c>
      <c r="P971" s="5">
        <v>0</v>
      </c>
      <c r="Q971" s="5">
        <v>0</v>
      </c>
      <c r="R971" s="5">
        <v>0</v>
      </c>
      <c r="S971" s="5">
        <v>0</v>
      </c>
      <c r="T971" s="5">
        <v>0</v>
      </c>
      <c r="U971" s="6">
        <v>0</v>
      </c>
      <c r="V971" s="5">
        <v>10</v>
      </c>
      <c r="W971" s="5">
        <v>5</v>
      </c>
      <c r="X971" s="16">
        <v>2000</v>
      </c>
      <c r="Y971" s="16">
        <v>7000</v>
      </c>
      <c r="Z971" s="16">
        <v>14000</v>
      </c>
      <c r="AA971" s="12" t="str">
        <f t="shared" si="163"/>
        <v>1/60</v>
      </c>
      <c r="AB971" s="12" t="str">
        <f t="shared" si="164"/>
        <v>100,100,100,0,100,100</v>
      </c>
      <c r="AC971" s="12">
        <f t="shared" si="165"/>
        <v>1</v>
      </c>
      <c r="AD971" s="12" t="str">
        <f t="shared" si="166"/>
        <v>2000/7000/14000</v>
      </c>
      <c r="AE971" s="12" t="str">
        <f t="shared" si="167"/>
        <v>0/</v>
      </c>
      <c r="AF971" s="12" t="str">
        <f t="shared" si="168"/>
        <v>6/</v>
      </c>
      <c r="AG971" s="12" t="str">
        <f t="shared" si="169"/>
        <v/>
      </c>
      <c r="AH971" s="12" t="str">
        <f t="shared" si="170"/>
        <v/>
      </c>
      <c r="AI971" s="12" t="str">
        <f t="shared" si="171"/>
        <v>10/5</v>
      </c>
    </row>
    <row r="972" spans="1:35" s="8" customFormat="1" ht="21.95" customHeight="1">
      <c r="A972" s="9">
        <v>970</v>
      </c>
      <c r="B972" s="17">
        <v>970</v>
      </c>
      <c r="C972" s="6">
        <v>0</v>
      </c>
      <c r="D972" s="6">
        <v>60</v>
      </c>
      <c r="E972" s="5">
        <v>100</v>
      </c>
      <c r="F972" s="5">
        <v>100</v>
      </c>
      <c r="G972" s="5">
        <v>100</v>
      </c>
      <c r="H972" s="5">
        <v>100</v>
      </c>
      <c r="I972" s="5">
        <v>0</v>
      </c>
      <c r="J972" s="5">
        <v>100</v>
      </c>
      <c r="K972" s="15" t="s">
        <v>52</v>
      </c>
      <c r="L972" s="6">
        <v>3</v>
      </c>
      <c r="M972" s="6">
        <v>2</v>
      </c>
      <c r="N972" s="6">
        <v>4</v>
      </c>
      <c r="O972" s="5">
        <v>0</v>
      </c>
      <c r="P972" s="5">
        <v>0</v>
      </c>
      <c r="Q972" s="5">
        <v>0</v>
      </c>
      <c r="R972" s="5">
        <v>0</v>
      </c>
      <c r="S972" s="5">
        <v>0</v>
      </c>
      <c r="T972" s="5">
        <v>0</v>
      </c>
      <c r="U972" s="6">
        <v>0</v>
      </c>
      <c r="V972" s="5">
        <v>10</v>
      </c>
      <c r="W972" s="5">
        <v>5</v>
      </c>
      <c r="X972" s="16">
        <v>2000</v>
      </c>
      <c r="Y972" s="16">
        <v>7000</v>
      </c>
      <c r="Z972" s="16">
        <v>14000</v>
      </c>
      <c r="AA972" s="12" t="str">
        <f t="shared" si="163"/>
        <v>1/60</v>
      </c>
      <c r="AB972" s="12" t="str">
        <f t="shared" si="164"/>
        <v>100,100,100,100,0,100</v>
      </c>
      <c r="AC972" s="12">
        <f t="shared" si="165"/>
        <v>1</v>
      </c>
      <c r="AD972" s="12" t="str">
        <f t="shared" si="166"/>
        <v>2000/7000/14000</v>
      </c>
      <c r="AE972" s="12" t="str">
        <f t="shared" si="167"/>
        <v>0/1/</v>
      </c>
      <c r="AF972" s="12" t="str">
        <f t="shared" si="168"/>
        <v>2/4/</v>
      </c>
      <c r="AG972" s="12" t="str">
        <f t="shared" si="169"/>
        <v/>
      </c>
      <c r="AH972" s="12" t="str">
        <f t="shared" si="170"/>
        <v/>
      </c>
      <c r="AI972" s="12" t="str">
        <f t="shared" si="171"/>
        <v>10/5</v>
      </c>
    </row>
    <row r="973" spans="1:35" s="8" customFormat="1" ht="21.95" customHeight="1">
      <c r="A973" s="9">
        <v>971</v>
      </c>
      <c r="B973" s="17">
        <v>971</v>
      </c>
      <c r="C973" s="6">
        <v>30</v>
      </c>
      <c r="D973" s="6">
        <v>0</v>
      </c>
      <c r="E973" s="5">
        <v>100</v>
      </c>
      <c r="F973" s="5">
        <v>100</v>
      </c>
      <c r="G973" s="5">
        <v>100</v>
      </c>
      <c r="H973" s="5">
        <v>100</v>
      </c>
      <c r="I973" s="5">
        <v>100</v>
      </c>
      <c r="J973" s="5">
        <v>0</v>
      </c>
      <c r="K973" s="15" t="s">
        <v>54</v>
      </c>
      <c r="L973" s="6">
        <v>3</v>
      </c>
      <c r="M973" s="6">
        <v>0</v>
      </c>
      <c r="N973" s="6">
        <v>0</v>
      </c>
      <c r="O973" s="5">
        <v>0</v>
      </c>
      <c r="P973" s="5">
        <v>0</v>
      </c>
      <c r="Q973" s="5">
        <v>0</v>
      </c>
      <c r="R973" s="5">
        <v>0</v>
      </c>
      <c r="S973" s="5">
        <v>0</v>
      </c>
      <c r="T973" s="5">
        <v>0</v>
      </c>
      <c r="U973" s="6">
        <v>0</v>
      </c>
      <c r="V973" s="5">
        <v>10</v>
      </c>
      <c r="W973" s="5">
        <v>5</v>
      </c>
      <c r="X973" s="16">
        <v>2000</v>
      </c>
      <c r="Y973" s="16">
        <v>7000</v>
      </c>
      <c r="Z973" s="16">
        <v>14000</v>
      </c>
      <c r="AA973" s="12" t="str">
        <f t="shared" si="163"/>
        <v>0/30</v>
      </c>
      <c r="AB973" s="12" t="str">
        <f t="shared" si="164"/>
        <v>100,100,100,100,100,0</v>
      </c>
      <c r="AC973" s="12">
        <f t="shared" si="165"/>
        <v>3</v>
      </c>
      <c r="AD973" s="12" t="str">
        <f t="shared" si="166"/>
        <v>2000/7000/14000</v>
      </c>
      <c r="AE973" s="12" t="str">
        <f t="shared" si="167"/>
        <v/>
      </c>
      <c r="AF973" s="12" t="str">
        <f t="shared" si="168"/>
        <v/>
      </c>
      <c r="AG973" s="12" t="str">
        <f t="shared" si="169"/>
        <v/>
      </c>
      <c r="AH973" s="12" t="str">
        <f t="shared" si="170"/>
        <v/>
      </c>
      <c r="AI973" s="12" t="str">
        <f t="shared" si="171"/>
        <v>10/5</v>
      </c>
    </row>
    <row r="974" spans="1:35" s="8" customFormat="1" ht="21.95" customHeight="1">
      <c r="A974" s="9">
        <v>972</v>
      </c>
      <c r="B974" s="17">
        <v>972</v>
      </c>
      <c r="C974" s="6">
        <v>30</v>
      </c>
      <c r="D974" s="6">
        <v>0</v>
      </c>
      <c r="E974" s="5">
        <v>0</v>
      </c>
      <c r="F974" s="5">
        <v>100</v>
      </c>
      <c r="G974" s="5">
        <v>100</v>
      </c>
      <c r="H974" s="5">
        <v>100</v>
      </c>
      <c r="I974" s="5">
        <v>100</v>
      </c>
      <c r="J974" s="5">
        <v>100</v>
      </c>
      <c r="K974" s="15" t="s">
        <v>54</v>
      </c>
      <c r="L974" s="6">
        <v>3</v>
      </c>
      <c r="M974" s="6">
        <v>0</v>
      </c>
      <c r="N974" s="6">
        <v>0</v>
      </c>
      <c r="O974" s="5">
        <v>0</v>
      </c>
      <c r="P974" s="5">
        <v>0</v>
      </c>
      <c r="Q974" s="5">
        <v>0</v>
      </c>
      <c r="R974" s="5">
        <v>0</v>
      </c>
      <c r="S974" s="5">
        <v>0</v>
      </c>
      <c r="T974" s="5">
        <v>0</v>
      </c>
      <c r="U974" s="6">
        <v>0</v>
      </c>
      <c r="V974" s="5">
        <v>10</v>
      </c>
      <c r="W974" s="5">
        <v>5</v>
      </c>
      <c r="X974" s="16">
        <v>2000</v>
      </c>
      <c r="Y974" s="16">
        <v>7000</v>
      </c>
      <c r="Z974" s="16">
        <v>14000</v>
      </c>
      <c r="AA974" s="12" t="str">
        <f t="shared" si="163"/>
        <v>0/30</v>
      </c>
      <c r="AB974" s="12" t="str">
        <f t="shared" si="164"/>
        <v>0,100,100,100,100,100</v>
      </c>
      <c r="AC974" s="12">
        <f t="shared" si="165"/>
        <v>3</v>
      </c>
      <c r="AD974" s="12" t="str">
        <f t="shared" si="166"/>
        <v>2000/7000/14000</v>
      </c>
      <c r="AE974" s="12" t="str">
        <f t="shared" si="167"/>
        <v/>
      </c>
      <c r="AF974" s="12" t="str">
        <f t="shared" si="168"/>
        <v/>
      </c>
      <c r="AG974" s="12" t="str">
        <f t="shared" si="169"/>
        <v/>
      </c>
      <c r="AH974" s="12" t="str">
        <f t="shared" si="170"/>
        <v/>
      </c>
      <c r="AI974" s="12" t="str">
        <f t="shared" si="171"/>
        <v>10/5</v>
      </c>
    </row>
    <row r="975" spans="1:35" s="8" customFormat="1" ht="21.95" customHeight="1">
      <c r="A975" s="9">
        <v>973</v>
      </c>
      <c r="B975" s="17">
        <v>973</v>
      </c>
      <c r="C975" s="6">
        <v>30</v>
      </c>
      <c r="D975" s="6">
        <v>0</v>
      </c>
      <c r="E975" s="5">
        <v>100</v>
      </c>
      <c r="F975" s="5">
        <v>0</v>
      </c>
      <c r="G975" s="5">
        <v>100</v>
      </c>
      <c r="H975" s="5">
        <v>100</v>
      </c>
      <c r="I975" s="5">
        <v>100</v>
      </c>
      <c r="J975" s="5">
        <v>100</v>
      </c>
      <c r="K975" s="15" t="s">
        <v>55</v>
      </c>
      <c r="L975" s="6">
        <v>3</v>
      </c>
      <c r="M975" s="6">
        <v>0</v>
      </c>
      <c r="N975" s="6">
        <v>0</v>
      </c>
      <c r="O975" s="5">
        <v>0</v>
      </c>
      <c r="P975" s="5">
        <v>0</v>
      </c>
      <c r="Q975" s="5">
        <v>0</v>
      </c>
      <c r="R975" s="5">
        <v>0</v>
      </c>
      <c r="S975" s="5">
        <v>0</v>
      </c>
      <c r="T975" s="5">
        <v>0</v>
      </c>
      <c r="U975" s="6">
        <v>5</v>
      </c>
      <c r="V975" s="5">
        <v>10</v>
      </c>
      <c r="W975" s="5">
        <v>5</v>
      </c>
      <c r="X975" s="16">
        <v>2000</v>
      </c>
      <c r="Y975" s="16">
        <v>7000</v>
      </c>
      <c r="Z975" s="16">
        <v>14000</v>
      </c>
      <c r="AA975" s="12" t="str">
        <f t="shared" si="163"/>
        <v>0/30</v>
      </c>
      <c r="AB975" s="12" t="str">
        <f t="shared" si="164"/>
        <v>100,0,100,100,100,100</v>
      </c>
      <c r="AC975" s="12">
        <f t="shared" si="165"/>
        <v>4</v>
      </c>
      <c r="AD975" s="12" t="str">
        <f t="shared" si="166"/>
        <v>2000/7000/14000</v>
      </c>
      <c r="AE975" s="12" t="str">
        <f t="shared" si="167"/>
        <v/>
      </c>
      <c r="AF975" s="12" t="str">
        <f t="shared" si="168"/>
        <v/>
      </c>
      <c r="AG975" s="12" t="str">
        <f t="shared" si="169"/>
        <v/>
      </c>
      <c r="AH975" s="12" t="str">
        <f t="shared" si="170"/>
        <v/>
      </c>
      <c r="AI975" s="12" t="str">
        <f t="shared" si="171"/>
        <v>10/5</v>
      </c>
    </row>
    <row r="976" spans="1:35" s="8" customFormat="1" ht="21.95" customHeight="1">
      <c r="A976" s="9">
        <v>974</v>
      </c>
      <c r="B976" s="17">
        <v>974</v>
      </c>
      <c r="C976" s="6">
        <v>30</v>
      </c>
      <c r="D976" s="6">
        <v>0</v>
      </c>
      <c r="E976" s="5">
        <v>100</v>
      </c>
      <c r="F976" s="5">
        <v>100</v>
      </c>
      <c r="G976" s="5">
        <v>0</v>
      </c>
      <c r="H976" s="5">
        <v>100</v>
      </c>
      <c r="I976" s="5">
        <v>100</v>
      </c>
      <c r="J976" s="5">
        <v>100</v>
      </c>
      <c r="K976" s="15" t="s">
        <v>55</v>
      </c>
      <c r="L976" s="6">
        <v>3</v>
      </c>
      <c r="M976" s="6">
        <v>0</v>
      </c>
      <c r="N976" s="6">
        <v>0</v>
      </c>
      <c r="O976" s="5">
        <v>0</v>
      </c>
      <c r="P976" s="5">
        <v>0</v>
      </c>
      <c r="Q976" s="5">
        <v>0</v>
      </c>
      <c r="R976" s="5">
        <v>0</v>
      </c>
      <c r="S976" s="5">
        <v>0</v>
      </c>
      <c r="T976" s="5">
        <v>0</v>
      </c>
      <c r="U976" s="6">
        <v>5</v>
      </c>
      <c r="V976" s="5">
        <v>10</v>
      </c>
      <c r="W976" s="5">
        <v>5</v>
      </c>
      <c r="X976" s="16">
        <v>2000</v>
      </c>
      <c r="Y976" s="16">
        <v>7000</v>
      </c>
      <c r="Z976" s="16">
        <v>14000</v>
      </c>
      <c r="AA976" s="12" t="str">
        <f t="shared" si="163"/>
        <v>0/30</v>
      </c>
      <c r="AB976" s="12" t="str">
        <f t="shared" si="164"/>
        <v>100,100,0,100,100,100</v>
      </c>
      <c r="AC976" s="12">
        <f t="shared" si="165"/>
        <v>4</v>
      </c>
      <c r="AD976" s="12" t="str">
        <f t="shared" si="166"/>
        <v>2000/7000/14000</v>
      </c>
      <c r="AE976" s="12" t="str">
        <f t="shared" si="167"/>
        <v/>
      </c>
      <c r="AF976" s="12" t="str">
        <f t="shared" si="168"/>
        <v/>
      </c>
      <c r="AG976" s="12" t="str">
        <f t="shared" si="169"/>
        <v/>
      </c>
      <c r="AH976" s="12" t="str">
        <f t="shared" si="170"/>
        <v/>
      </c>
      <c r="AI976" s="12" t="str">
        <f t="shared" si="171"/>
        <v>10/5</v>
      </c>
    </row>
    <row r="977" spans="1:35" s="8" customFormat="1" ht="21.95" customHeight="1">
      <c r="A977" s="9">
        <v>975</v>
      </c>
      <c r="B977" s="17">
        <v>975</v>
      </c>
      <c r="C977" s="6">
        <v>32</v>
      </c>
      <c r="D977" s="6">
        <v>0</v>
      </c>
      <c r="E977" s="5">
        <v>100</v>
      </c>
      <c r="F977" s="5">
        <v>100</v>
      </c>
      <c r="G977" s="5">
        <v>100</v>
      </c>
      <c r="H977" s="5">
        <v>0</v>
      </c>
      <c r="I977" s="5">
        <v>100</v>
      </c>
      <c r="J977" s="5">
        <v>100</v>
      </c>
      <c r="K977" s="15" t="s">
        <v>51</v>
      </c>
      <c r="L977" s="6">
        <v>3</v>
      </c>
      <c r="M977" s="6">
        <v>0</v>
      </c>
      <c r="N977" s="6">
        <v>0</v>
      </c>
      <c r="O977" s="5">
        <v>0</v>
      </c>
      <c r="P977" s="5">
        <v>0</v>
      </c>
      <c r="Q977" s="5">
        <v>0</v>
      </c>
      <c r="R977" s="5">
        <v>0</v>
      </c>
      <c r="S977" s="5">
        <v>0</v>
      </c>
      <c r="T977" s="5">
        <v>0</v>
      </c>
      <c r="U977" s="6">
        <v>0</v>
      </c>
      <c r="V977" s="5">
        <v>10</v>
      </c>
      <c r="W977" s="5">
        <v>5</v>
      </c>
      <c r="X977" s="16">
        <v>2000</v>
      </c>
      <c r="Y977" s="16">
        <v>7000</v>
      </c>
      <c r="Z977" s="16">
        <v>14000</v>
      </c>
      <c r="AA977" s="12" t="str">
        <f t="shared" si="163"/>
        <v>0/32</v>
      </c>
      <c r="AB977" s="12" t="str">
        <f t="shared" si="164"/>
        <v>100,100,100,0,100,100</v>
      </c>
      <c r="AC977" s="12">
        <f t="shared" si="165"/>
        <v>0</v>
      </c>
      <c r="AD977" s="12" t="str">
        <f t="shared" si="166"/>
        <v>2000/7000/14000</v>
      </c>
      <c r="AE977" s="12" t="str">
        <f t="shared" si="167"/>
        <v/>
      </c>
      <c r="AF977" s="12" t="str">
        <f t="shared" si="168"/>
        <v/>
      </c>
      <c r="AG977" s="12" t="str">
        <f t="shared" si="169"/>
        <v/>
      </c>
      <c r="AH977" s="12" t="str">
        <f t="shared" si="170"/>
        <v/>
      </c>
      <c r="AI977" s="12" t="str">
        <f t="shared" si="171"/>
        <v>10/5</v>
      </c>
    </row>
    <row r="978" spans="1:35" s="8" customFormat="1" ht="21.95" customHeight="1">
      <c r="A978" s="9">
        <v>976</v>
      </c>
      <c r="B978" s="17">
        <v>976</v>
      </c>
      <c r="C978" s="6">
        <v>30</v>
      </c>
      <c r="D978" s="6">
        <v>0</v>
      </c>
      <c r="E978" s="5">
        <v>100</v>
      </c>
      <c r="F978" s="5">
        <v>100</v>
      </c>
      <c r="G978" s="5">
        <v>0</v>
      </c>
      <c r="H978" s="5">
        <v>100</v>
      </c>
      <c r="I978" s="5">
        <v>100</v>
      </c>
      <c r="J978" s="5">
        <v>100</v>
      </c>
      <c r="K978" s="15" t="s">
        <v>56</v>
      </c>
      <c r="L978" s="6">
        <v>3</v>
      </c>
      <c r="M978" s="6">
        <v>0</v>
      </c>
      <c r="N978" s="6">
        <v>0</v>
      </c>
      <c r="O978" s="5">
        <v>0</v>
      </c>
      <c r="P978" s="5">
        <v>0</v>
      </c>
      <c r="Q978" s="5">
        <v>0</v>
      </c>
      <c r="R978" s="5">
        <v>0</v>
      </c>
      <c r="S978" s="5">
        <v>0</v>
      </c>
      <c r="T978" s="5">
        <v>0</v>
      </c>
      <c r="U978" s="6">
        <v>0</v>
      </c>
      <c r="V978" s="5">
        <v>10</v>
      </c>
      <c r="W978" s="5">
        <v>5</v>
      </c>
      <c r="X978" s="16">
        <v>2000</v>
      </c>
      <c r="Y978" s="16">
        <v>7000</v>
      </c>
      <c r="Z978" s="16">
        <v>14000</v>
      </c>
      <c r="AA978" s="12" t="str">
        <f t="shared" si="163"/>
        <v>0/30</v>
      </c>
      <c r="AB978" s="12" t="str">
        <f t="shared" si="164"/>
        <v>100,100,0,100,100,100</v>
      </c>
      <c r="AC978" s="12">
        <f t="shared" si="165"/>
        <v>5</v>
      </c>
      <c r="AD978" s="12" t="str">
        <f t="shared" si="166"/>
        <v>2000/7000/14000</v>
      </c>
      <c r="AE978" s="12" t="str">
        <f t="shared" si="167"/>
        <v/>
      </c>
      <c r="AF978" s="12" t="str">
        <f t="shared" si="168"/>
        <v/>
      </c>
      <c r="AG978" s="12" t="str">
        <f t="shared" si="169"/>
        <v/>
      </c>
      <c r="AH978" s="12" t="str">
        <f t="shared" si="170"/>
        <v/>
      </c>
      <c r="AI978" s="12" t="str">
        <f t="shared" si="171"/>
        <v>10/5</v>
      </c>
    </row>
    <row r="979" spans="1:35" s="8" customFormat="1" ht="21.95" customHeight="1">
      <c r="A979" s="9">
        <v>977</v>
      </c>
      <c r="B979" s="17">
        <v>977</v>
      </c>
      <c r="C979" s="6">
        <v>30</v>
      </c>
      <c r="D979" s="6">
        <v>0</v>
      </c>
      <c r="E979" s="5">
        <v>100</v>
      </c>
      <c r="F979" s="5">
        <v>100</v>
      </c>
      <c r="G979" s="5">
        <v>100</v>
      </c>
      <c r="H979" s="5">
        <v>0</v>
      </c>
      <c r="I979" s="5">
        <v>100</v>
      </c>
      <c r="J979" s="5">
        <v>100</v>
      </c>
      <c r="K979" s="15" t="s">
        <v>53</v>
      </c>
      <c r="L979" s="6">
        <v>3</v>
      </c>
      <c r="M979" s="6">
        <v>0</v>
      </c>
      <c r="N979" s="6">
        <v>0</v>
      </c>
      <c r="O979" s="5">
        <v>0</v>
      </c>
      <c r="P979" s="5">
        <v>0</v>
      </c>
      <c r="Q979" s="5">
        <v>0</v>
      </c>
      <c r="R979" s="5">
        <v>0</v>
      </c>
      <c r="S979" s="5">
        <v>18</v>
      </c>
      <c r="T979" s="5">
        <v>16</v>
      </c>
      <c r="U979" s="6">
        <v>0</v>
      </c>
      <c r="V979" s="5">
        <v>10</v>
      </c>
      <c r="W979" s="5">
        <v>5</v>
      </c>
      <c r="X979" s="16">
        <v>2000</v>
      </c>
      <c r="Y979" s="16">
        <v>7000</v>
      </c>
      <c r="Z979" s="16">
        <v>14000</v>
      </c>
      <c r="AA979" s="12" t="str">
        <f t="shared" si="163"/>
        <v>0/30</v>
      </c>
      <c r="AB979" s="12" t="str">
        <f t="shared" si="164"/>
        <v>100,100,100,0,100,100</v>
      </c>
      <c r="AC979" s="12">
        <f t="shared" si="165"/>
        <v>2</v>
      </c>
      <c r="AD979" s="12" t="str">
        <f t="shared" si="166"/>
        <v>2000/7000/14000</v>
      </c>
      <c r="AE979" s="12" t="str">
        <f t="shared" si="167"/>
        <v/>
      </c>
      <c r="AF979" s="12" t="str">
        <f t="shared" si="168"/>
        <v/>
      </c>
      <c r="AG979" s="12" t="str">
        <f t="shared" si="169"/>
        <v>4/5/</v>
      </c>
      <c r="AH979" s="12" t="str">
        <f t="shared" si="170"/>
        <v>18/16/</v>
      </c>
      <c r="AI979" s="12" t="str">
        <f t="shared" si="171"/>
        <v>10/5</v>
      </c>
    </row>
    <row r="980" spans="1:35" s="8" customFormat="1" ht="21.95" customHeight="1">
      <c r="A980" s="9">
        <v>978</v>
      </c>
      <c r="B980" s="17">
        <v>978</v>
      </c>
      <c r="C980" s="6">
        <v>30</v>
      </c>
      <c r="D980" s="6">
        <v>0</v>
      </c>
      <c r="E980" s="5">
        <v>100</v>
      </c>
      <c r="F980" s="5">
        <v>100</v>
      </c>
      <c r="G980" s="5">
        <v>100</v>
      </c>
      <c r="H980" s="5">
        <v>100</v>
      </c>
      <c r="I980" s="5">
        <v>0</v>
      </c>
      <c r="J980" s="5">
        <v>100</v>
      </c>
      <c r="K980" s="15" t="s">
        <v>53</v>
      </c>
      <c r="L980" s="6">
        <v>3</v>
      </c>
      <c r="M980" s="6">
        <v>0</v>
      </c>
      <c r="N980" s="6">
        <v>0</v>
      </c>
      <c r="O980" s="5">
        <v>16</v>
      </c>
      <c r="P980" s="5">
        <v>0</v>
      </c>
      <c r="Q980" s="5">
        <v>0</v>
      </c>
      <c r="R980" s="5">
        <v>0</v>
      </c>
      <c r="S980" s="5">
        <v>0</v>
      </c>
      <c r="T980" s="5">
        <v>18</v>
      </c>
      <c r="U980" s="6">
        <v>0</v>
      </c>
      <c r="V980" s="5">
        <v>10</v>
      </c>
      <c r="W980" s="5">
        <v>5</v>
      </c>
      <c r="X980" s="16">
        <v>2000</v>
      </c>
      <c r="Y980" s="16">
        <v>7000</v>
      </c>
      <c r="Z980" s="16">
        <v>14000</v>
      </c>
      <c r="AA980" s="12" t="str">
        <f t="shared" si="163"/>
        <v>0/30</v>
      </c>
      <c r="AB980" s="12" t="str">
        <f t="shared" si="164"/>
        <v>100,100,100,100,0,100</v>
      </c>
      <c r="AC980" s="12">
        <f t="shared" si="165"/>
        <v>2</v>
      </c>
      <c r="AD980" s="12" t="str">
        <f t="shared" si="166"/>
        <v>2000/7000/14000</v>
      </c>
      <c r="AE980" s="12" t="str">
        <f t="shared" si="167"/>
        <v/>
      </c>
      <c r="AF980" s="12" t="str">
        <f t="shared" si="168"/>
        <v/>
      </c>
      <c r="AG980" s="12" t="str">
        <f t="shared" si="169"/>
        <v>0/5/</v>
      </c>
      <c r="AH980" s="12" t="str">
        <f t="shared" si="170"/>
        <v>16/18/</v>
      </c>
      <c r="AI980" s="12" t="str">
        <f t="shared" si="171"/>
        <v>10/5</v>
      </c>
    </row>
    <row r="981" spans="1:35" s="8" customFormat="1" ht="21.95" customHeight="1">
      <c r="A981" s="9">
        <v>979</v>
      </c>
      <c r="B981" s="17">
        <v>979</v>
      </c>
      <c r="C981" s="6">
        <v>30</v>
      </c>
      <c r="D981" s="6">
        <v>0</v>
      </c>
      <c r="E981" s="5">
        <v>100</v>
      </c>
      <c r="F981" s="5">
        <v>100</v>
      </c>
      <c r="G981" s="5">
        <v>100</v>
      </c>
      <c r="H981" s="5">
        <v>100</v>
      </c>
      <c r="I981" s="5">
        <v>100</v>
      </c>
      <c r="J981" s="5">
        <v>0</v>
      </c>
      <c r="K981" s="15" t="s">
        <v>52</v>
      </c>
      <c r="L981" s="6">
        <v>3</v>
      </c>
      <c r="M981" s="6">
        <v>6</v>
      </c>
      <c r="N981" s="6">
        <v>0</v>
      </c>
      <c r="O981" s="5">
        <v>0</v>
      </c>
      <c r="P981" s="5">
        <v>0</v>
      </c>
      <c r="Q981" s="5">
        <v>0</v>
      </c>
      <c r="R981" s="5">
        <v>0</v>
      </c>
      <c r="S981" s="5">
        <v>0</v>
      </c>
      <c r="T981" s="5">
        <v>0</v>
      </c>
      <c r="U981" s="6">
        <v>0</v>
      </c>
      <c r="V981" s="5">
        <v>10</v>
      </c>
      <c r="W981" s="5">
        <v>5</v>
      </c>
      <c r="X981" s="16">
        <v>2000</v>
      </c>
      <c r="Y981" s="16">
        <v>7000</v>
      </c>
      <c r="Z981" s="16">
        <v>14000</v>
      </c>
      <c r="AA981" s="12" t="str">
        <f t="shared" si="163"/>
        <v>0/30</v>
      </c>
      <c r="AB981" s="12" t="str">
        <f t="shared" si="164"/>
        <v>100,100,100,100,100,0</v>
      </c>
      <c r="AC981" s="12">
        <f t="shared" si="165"/>
        <v>1</v>
      </c>
      <c r="AD981" s="12" t="str">
        <f t="shared" si="166"/>
        <v>2000/7000/14000</v>
      </c>
      <c r="AE981" s="12" t="str">
        <f t="shared" si="167"/>
        <v>0/</v>
      </c>
      <c r="AF981" s="12" t="str">
        <f t="shared" si="168"/>
        <v>6/</v>
      </c>
      <c r="AG981" s="12" t="str">
        <f t="shared" si="169"/>
        <v/>
      </c>
      <c r="AH981" s="12" t="str">
        <f t="shared" si="170"/>
        <v/>
      </c>
      <c r="AI981" s="12" t="str">
        <f t="shared" si="171"/>
        <v>10/5</v>
      </c>
    </row>
    <row r="982" spans="1:35" s="8" customFormat="1" ht="21.95" customHeight="1">
      <c r="A982" s="9">
        <v>980</v>
      </c>
      <c r="B982" s="17">
        <v>980</v>
      </c>
      <c r="C982" s="6">
        <v>30</v>
      </c>
      <c r="D982" s="6">
        <v>0</v>
      </c>
      <c r="E982" s="5">
        <v>0</v>
      </c>
      <c r="F982" s="5">
        <v>100</v>
      </c>
      <c r="G982" s="5">
        <v>100</v>
      </c>
      <c r="H982" s="5">
        <v>100</v>
      </c>
      <c r="I982" s="5">
        <v>100</v>
      </c>
      <c r="J982" s="5">
        <v>100</v>
      </c>
      <c r="K982" s="15" t="s">
        <v>52</v>
      </c>
      <c r="L982" s="6">
        <v>3</v>
      </c>
      <c r="M982" s="6">
        <v>0</v>
      </c>
      <c r="N982" s="6">
        <v>6</v>
      </c>
      <c r="O982" s="5">
        <v>0</v>
      </c>
      <c r="P982" s="5">
        <v>0</v>
      </c>
      <c r="Q982" s="5">
        <v>0</v>
      </c>
      <c r="R982" s="5">
        <v>0</v>
      </c>
      <c r="S982" s="5">
        <v>0</v>
      </c>
      <c r="T982" s="5">
        <v>0</v>
      </c>
      <c r="U982" s="6">
        <v>0</v>
      </c>
      <c r="V982" s="5">
        <v>10</v>
      </c>
      <c r="W982" s="5">
        <v>5</v>
      </c>
      <c r="X982" s="16">
        <v>2000</v>
      </c>
      <c r="Y982" s="16">
        <v>7000</v>
      </c>
      <c r="Z982" s="16">
        <v>14000</v>
      </c>
      <c r="AA982" s="12" t="str">
        <f t="shared" si="163"/>
        <v>0/30</v>
      </c>
      <c r="AB982" s="12" t="str">
        <f t="shared" si="164"/>
        <v>0,100,100,100,100,100</v>
      </c>
      <c r="AC982" s="12">
        <f t="shared" si="165"/>
        <v>1</v>
      </c>
      <c r="AD982" s="12" t="str">
        <f t="shared" si="166"/>
        <v>2000/7000/14000</v>
      </c>
      <c r="AE982" s="12" t="str">
        <f t="shared" si="167"/>
        <v>1/</v>
      </c>
      <c r="AF982" s="12" t="str">
        <f t="shared" si="168"/>
        <v>6/</v>
      </c>
      <c r="AG982" s="12" t="str">
        <f t="shared" si="169"/>
        <v/>
      </c>
      <c r="AH982" s="12" t="str">
        <f t="shared" si="170"/>
        <v/>
      </c>
      <c r="AI982" s="12" t="str">
        <f t="shared" si="171"/>
        <v>10/5</v>
      </c>
    </row>
    <row r="983" spans="1:35" s="8" customFormat="1" ht="21.95" customHeight="1">
      <c r="A983" s="9">
        <v>981</v>
      </c>
      <c r="B983" s="17">
        <v>981</v>
      </c>
      <c r="C983" s="6">
        <v>0</v>
      </c>
      <c r="D983" s="6">
        <v>60</v>
      </c>
      <c r="E983" s="5">
        <v>100</v>
      </c>
      <c r="F983" s="5">
        <v>0</v>
      </c>
      <c r="G983" s="5">
        <v>100</v>
      </c>
      <c r="H983" s="5">
        <v>100</v>
      </c>
      <c r="I983" s="5">
        <v>100</v>
      </c>
      <c r="J983" s="5">
        <v>100</v>
      </c>
      <c r="K983" s="15" t="s">
        <v>54</v>
      </c>
      <c r="L983" s="6">
        <v>3</v>
      </c>
      <c r="M983" s="6">
        <v>0</v>
      </c>
      <c r="N983" s="6">
        <v>0</v>
      </c>
      <c r="O983" s="5">
        <v>0</v>
      </c>
      <c r="P983" s="5">
        <v>0</v>
      </c>
      <c r="Q983" s="5">
        <v>0</v>
      </c>
      <c r="R983" s="5">
        <v>0</v>
      </c>
      <c r="S983" s="5">
        <v>0</v>
      </c>
      <c r="T983" s="5">
        <v>0</v>
      </c>
      <c r="U983" s="6">
        <v>0</v>
      </c>
      <c r="V983" s="5">
        <v>10</v>
      </c>
      <c r="W983" s="5">
        <v>5</v>
      </c>
      <c r="X983" s="16">
        <v>2000</v>
      </c>
      <c r="Y983" s="16">
        <v>7000</v>
      </c>
      <c r="Z983" s="16">
        <v>14000</v>
      </c>
      <c r="AA983" s="12" t="str">
        <f t="shared" si="163"/>
        <v>1/60</v>
      </c>
      <c r="AB983" s="12" t="str">
        <f t="shared" si="164"/>
        <v>100,0,100,100,100,100</v>
      </c>
      <c r="AC983" s="12">
        <f t="shared" si="165"/>
        <v>3</v>
      </c>
      <c r="AD983" s="12" t="str">
        <f t="shared" si="166"/>
        <v>2000/7000/14000</v>
      </c>
      <c r="AE983" s="12" t="str">
        <f t="shared" si="167"/>
        <v/>
      </c>
      <c r="AF983" s="12" t="str">
        <f t="shared" si="168"/>
        <v/>
      </c>
      <c r="AG983" s="12" t="str">
        <f t="shared" si="169"/>
        <v/>
      </c>
      <c r="AH983" s="12" t="str">
        <f t="shared" si="170"/>
        <v/>
      </c>
      <c r="AI983" s="12" t="str">
        <f t="shared" si="171"/>
        <v>10/5</v>
      </c>
    </row>
    <row r="984" spans="1:35" s="8" customFormat="1" ht="21.95" customHeight="1">
      <c r="A984" s="9">
        <v>982</v>
      </c>
      <c r="B984" s="17">
        <v>982</v>
      </c>
      <c r="C984" s="6">
        <v>0</v>
      </c>
      <c r="D984" s="6">
        <v>60</v>
      </c>
      <c r="E984" s="5">
        <v>100</v>
      </c>
      <c r="F984" s="5">
        <v>100</v>
      </c>
      <c r="G984" s="5">
        <v>0</v>
      </c>
      <c r="H984" s="5">
        <v>100</v>
      </c>
      <c r="I984" s="5">
        <v>100</v>
      </c>
      <c r="J984" s="5">
        <v>100</v>
      </c>
      <c r="K984" s="15" t="s">
        <v>54</v>
      </c>
      <c r="L984" s="6">
        <v>3</v>
      </c>
      <c r="M984" s="6">
        <v>0</v>
      </c>
      <c r="N984" s="6">
        <v>0</v>
      </c>
      <c r="O984" s="5">
        <v>0</v>
      </c>
      <c r="P984" s="5">
        <v>0</v>
      </c>
      <c r="Q984" s="5">
        <v>0</v>
      </c>
      <c r="R984" s="5">
        <v>0</v>
      </c>
      <c r="S984" s="5">
        <v>0</v>
      </c>
      <c r="T984" s="5">
        <v>0</v>
      </c>
      <c r="U984" s="6">
        <v>0</v>
      </c>
      <c r="V984" s="5">
        <v>10</v>
      </c>
      <c r="W984" s="5">
        <v>5</v>
      </c>
      <c r="X984" s="16">
        <v>2000</v>
      </c>
      <c r="Y984" s="16">
        <v>7000</v>
      </c>
      <c r="Z984" s="16">
        <v>14000</v>
      </c>
      <c r="AA984" s="12" t="str">
        <f t="shared" si="163"/>
        <v>1/60</v>
      </c>
      <c r="AB984" s="12" t="str">
        <f t="shared" si="164"/>
        <v>100,100,0,100,100,100</v>
      </c>
      <c r="AC984" s="12">
        <f t="shared" si="165"/>
        <v>3</v>
      </c>
      <c r="AD984" s="12" t="str">
        <f t="shared" si="166"/>
        <v>2000/7000/14000</v>
      </c>
      <c r="AE984" s="12" t="str">
        <f t="shared" si="167"/>
        <v/>
      </c>
      <c r="AF984" s="12" t="str">
        <f t="shared" si="168"/>
        <v/>
      </c>
      <c r="AG984" s="12" t="str">
        <f t="shared" si="169"/>
        <v/>
      </c>
      <c r="AH984" s="12" t="str">
        <f t="shared" si="170"/>
        <v/>
      </c>
      <c r="AI984" s="12" t="str">
        <f t="shared" si="171"/>
        <v>10/5</v>
      </c>
    </row>
    <row r="985" spans="1:35" s="8" customFormat="1" ht="21.95" customHeight="1">
      <c r="A985" s="9">
        <v>983</v>
      </c>
      <c r="B985" s="17">
        <v>983</v>
      </c>
      <c r="C985" s="6">
        <v>30</v>
      </c>
      <c r="D985" s="6">
        <v>0</v>
      </c>
      <c r="E985" s="5">
        <v>100</v>
      </c>
      <c r="F985" s="5">
        <v>100</v>
      </c>
      <c r="G985" s="5">
        <v>100</v>
      </c>
      <c r="H985" s="5">
        <v>0</v>
      </c>
      <c r="I985" s="5">
        <v>100</v>
      </c>
      <c r="J985" s="5">
        <v>100</v>
      </c>
      <c r="K985" s="15" t="s">
        <v>55</v>
      </c>
      <c r="L985" s="6">
        <v>3</v>
      </c>
      <c r="M985" s="6">
        <v>0</v>
      </c>
      <c r="N985" s="6">
        <v>0</v>
      </c>
      <c r="O985" s="5">
        <v>0</v>
      </c>
      <c r="P985" s="5">
        <v>0</v>
      </c>
      <c r="Q985" s="5">
        <v>0</v>
      </c>
      <c r="R985" s="5">
        <v>0</v>
      </c>
      <c r="S985" s="5">
        <v>0</v>
      </c>
      <c r="T985" s="5">
        <v>0</v>
      </c>
      <c r="U985" s="6">
        <v>5</v>
      </c>
      <c r="V985" s="5">
        <v>10</v>
      </c>
      <c r="W985" s="5">
        <v>5</v>
      </c>
      <c r="X985" s="16">
        <v>2000</v>
      </c>
      <c r="Y985" s="16">
        <v>7000</v>
      </c>
      <c r="Z985" s="16">
        <v>14000</v>
      </c>
      <c r="AA985" s="12" t="str">
        <f t="shared" si="163"/>
        <v>0/30</v>
      </c>
      <c r="AB985" s="12" t="str">
        <f t="shared" si="164"/>
        <v>100,100,100,0,100,100</v>
      </c>
      <c r="AC985" s="12">
        <f t="shared" si="165"/>
        <v>4</v>
      </c>
      <c r="AD985" s="12" t="str">
        <f t="shared" si="166"/>
        <v>2000/7000/14000</v>
      </c>
      <c r="AE985" s="12" t="str">
        <f t="shared" si="167"/>
        <v/>
      </c>
      <c r="AF985" s="12" t="str">
        <f t="shared" si="168"/>
        <v/>
      </c>
      <c r="AG985" s="12" t="str">
        <f t="shared" si="169"/>
        <v/>
      </c>
      <c r="AH985" s="12" t="str">
        <f t="shared" si="170"/>
        <v/>
      </c>
      <c r="AI985" s="12" t="str">
        <f t="shared" si="171"/>
        <v>10/5</v>
      </c>
    </row>
    <row r="986" spans="1:35" s="8" customFormat="1" ht="21.95" customHeight="1">
      <c r="A986" s="9">
        <v>984</v>
      </c>
      <c r="B986" s="17">
        <v>984</v>
      </c>
      <c r="C986" s="6">
        <v>30</v>
      </c>
      <c r="D986" s="6">
        <v>0</v>
      </c>
      <c r="E986" s="5">
        <v>100</v>
      </c>
      <c r="F986" s="5">
        <v>100</v>
      </c>
      <c r="G986" s="5">
        <v>100</v>
      </c>
      <c r="H986" s="5">
        <v>100</v>
      </c>
      <c r="I986" s="5">
        <v>0</v>
      </c>
      <c r="J986" s="5">
        <v>100</v>
      </c>
      <c r="K986" s="15" t="s">
        <v>55</v>
      </c>
      <c r="L986" s="6">
        <v>3</v>
      </c>
      <c r="M986" s="6">
        <v>0</v>
      </c>
      <c r="N986" s="6">
        <v>0</v>
      </c>
      <c r="O986" s="5">
        <v>0</v>
      </c>
      <c r="P986" s="5">
        <v>0</v>
      </c>
      <c r="Q986" s="5">
        <v>0</v>
      </c>
      <c r="R986" s="5">
        <v>0</v>
      </c>
      <c r="S986" s="5">
        <v>0</v>
      </c>
      <c r="T986" s="5">
        <v>0</v>
      </c>
      <c r="U986" s="6">
        <v>5</v>
      </c>
      <c r="V986" s="5">
        <v>10</v>
      </c>
      <c r="W986" s="5">
        <v>5</v>
      </c>
      <c r="X986" s="16">
        <v>2000</v>
      </c>
      <c r="Y986" s="16">
        <v>7000</v>
      </c>
      <c r="Z986" s="16">
        <v>14000</v>
      </c>
      <c r="AA986" s="12" t="str">
        <f t="shared" si="163"/>
        <v>0/30</v>
      </c>
      <c r="AB986" s="12" t="str">
        <f t="shared" si="164"/>
        <v>100,100,100,100,0,100</v>
      </c>
      <c r="AC986" s="12">
        <f t="shared" si="165"/>
        <v>4</v>
      </c>
      <c r="AD986" s="12" t="str">
        <f t="shared" si="166"/>
        <v>2000/7000/14000</v>
      </c>
      <c r="AE986" s="12" t="str">
        <f t="shared" si="167"/>
        <v/>
      </c>
      <c r="AF986" s="12" t="str">
        <f t="shared" si="168"/>
        <v/>
      </c>
      <c r="AG986" s="12" t="str">
        <f t="shared" si="169"/>
        <v/>
      </c>
      <c r="AH986" s="12" t="str">
        <f t="shared" si="170"/>
        <v/>
      </c>
      <c r="AI986" s="12" t="str">
        <f t="shared" si="171"/>
        <v>10/5</v>
      </c>
    </row>
    <row r="987" spans="1:35" s="8" customFormat="1" ht="21.95" customHeight="1">
      <c r="A987" s="9">
        <v>985</v>
      </c>
      <c r="B987" s="17">
        <v>985</v>
      </c>
      <c r="C987" s="6">
        <v>30</v>
      </c>
      <c r="D987" s="6">
        <v>0</v>
      </c>
      <c r="E987" s="5">
        <v>100</v>
      </c>
      <c r="F987" s="5">
        <v>100</v>
      </c>
      <c r="G987" s="5">
        <v>100</v>
      </c>
      <c r="H987" s="5">
        <v>100</v>
      </c>
      <c r="I987" s="5">
        <v>100</v>
      </c>
      <c r="J987" s="5">
        <v>0</v>
      </c>
      <c r="K987" s="15" t="s">
        <v>56</v>
      </c>
      <c r="L987" s="6">
        <v>3</v>
      </c>
      <c r="M987" s="6">
        <v>0</v>
      </c>
      <c r="N987" s="6">
        <v>0</v>
      </c>
      <c r="O987" s="5">
        <v>0</v>
      </c>
      <c r="P987" s="5">
        <v>0</v>
      </c>
      <c r="Q987" s="5">
        <v>0</v>
      </c>
      <c r="R987" s="5">
        <v>0</v>
      </c>
      <c r="S987" s="5">
        <v>0</v>
      </c>
      <c r="T987" s="5">
        <v>0</v>
      </c>
      <c r="U987" s="6">
        <v>0</v>
      </c>
      <c r="V987" s="5">
        <v>10</v>
      </c>
      <c r="W987" s="5">
        <v>5</v>
      </c>
      <c r="X987" s="16">
        <v>2000</v>
      </c>
      <c r="Y987" s="16">
        <v>7000</v>
      </c>
      <c r="Z987" s="16">
        <v>14000</v>
      </c>
      <c r="AA987" s="12" t="str">
        <f t="shared" si="163"/>
        <v>0/30</v>
      </c>
      <c r="AB987" s="12" t="str">
        <f t="shared" si="164"/>
        <v>100,100,100,100,100,0</v>
      </c>
      <c r="AC987" s="12">
        <f t="shared" si="165"/>
        <v>5</v>
      </c>
      <c r="AD987" s="12" t="str">
        <f t="shared" si="166"/>
        <v>2000/7000/14000</v>
      </c>
      <c r="AE987" s="12" t="str">
        <f t="shared" si="167"/>
        <v/>
      </c>
      <c r="AF987" s="12" t="str">
        <f t="shared" si="168"/>
        <v/>
      </c>
      <c r="AG987" s="12" t="str">
        <f t="shared" si="169"/>
        <v/>
      </c>
      <c r="AH987" s="12" t="str">
        <f t="shared" si="170"/>
        <v/>
      </c>
      <c r="AI987" s="12" t="str">
        <f t="shared" si="171"/>
        <v>10/5</v>
      </c>
    </row>
    <row r="988" spans="1:35" s="8" customFormat="1" ht="21.95" customHeight="1">
      <c r="A988" s="9">
        <v>986</v>
      </c>
      <c r="B988" s="17">
        <v>986</v>
      </c>
      <c r="C988" s="6">
        <v>0</v>
      </c>
      <c r="D988" s="6">
        <v>60</v>
      </c>
      <c r="E988" s="5">
        <v>0</v>
      </c>
      <c r="F988" s="5">
        <v>100</v>
      </c>
      <c r="G988" s="5">
        <v>100</v>
      </c>
      <c r="H988" s="5">
        <v>100</v>
      </c>
      <c r="I988" s="5">
        <v>100</v>
      </c>
      <c r="J988" s="5">
        <v>100</v>
      </c>
      <c r="K988" s="15" t="s">
        <v>56</v>
      </c>
      <c r="L988" s="6">
        <v>3</v>
      </c>
      <c r="M988" s="6">
        <v>0</v>
      </c>
      <c r="N988" s="6">
        <v>0</v>
      </c>
      <c r="O988" s="5">
        <v>0</v>
      </c>
      <c r="P988" s="5">
        <v>0</v>
      </c>
      <c r="Q988" s="5">
        <v>0</v>
      </c>
      <c r="R988" s="5">
        <v>0</v>
      </c>
      <c r="S988" s="5">
        <v>0</v>
      </c>
      <c r="T988" s="5">
        <v>0</v>
      </c>
      <c r="U988" s="6">
        <v>0</v>
      </c>
      <c r="V988" s="5">
        <v>10</v>
      </c>
      <c r="W988" s="5">
        <v>5</v>
      </c>
      <c r="X988" s="16">
        <v>2000</v>
      </c>
      <c r="Y988" s="16">
        <v>7000</v>
      </c>
      <c r="Z988" s="16">
        <v>14000</v>
      </c>
      <c r="AA988" s="12" t="str">
        <f t="shared" si="163"/>
        <v>1/60</v>
      </c>
      <c r="AB988" s="12" t="str">
        <f t="shared" si="164"/>
        <v>0,100,100,100,100,100</v>
      </c>
      <c r="AC988" s="12">
        <f t="shared" si="165"/>
        <v>5</v>
      </c>
      <c r="AD988" s="12" t="str">
        <f t="shared" si="166"/>
        <v>2000/7000/14000</v>
      </c>
      <c r="AE988" s="12" t="str">
        <f t="shared" si="167"/>
        <v/>
      </c>
      <c r="AF988" s="12" t="str">
        <f t="shared" si="168"/>
        <v/>
      </c>
      <c r="AG988" s="12" t="str">
        <f t="shared" si="169"/>
        <v/>
      </c>
      <c r="AH988" s="12" t="str">
        <f t="shared" si="170"/>
        <v/>
      </c>
      <c r="AI988" s="12" t="str">
        <f t="shared" si="171"/>
        <v>10/5</v>
      </c>
    </row>
    <row r="989" spans="1:35" s="8" customFormat="1" ht="21.95" customHeight="1">
      <c r="A989" s="9">
        <v>987</v>
      </c>
      <c r="B989" s="17">
        <v>987</v>
      </c>
      <c r="C989" s="6">
        <v>30</v>
      </c>
      <c r="D989" s="6">
        <v>0</v>
      </c>
      <c r="E989" s="5">
        <v>100</v>
      </c>
      <c r="F989" s="5">
        <v>0</v>
      </c>
      <c r="G989" s="5">
        <v>100</v>
      </c>
      <c r="H989" s="5">
        <v>100</v>
      </c>
      <c r="I989" s="5">
        <v>100</v>
      </c>
      <c r="J989" s="5">
        <v>100</v>
      </c>
      <c r="K989" s="15" t="s">
        <v>53</v>
      </c>
      <c r="L989" s="6">
        <v>3</v>
      </c>
      <c r="M989" s="6">
        <v>0</v>
      </c>
      <c r="N989" s="6">
        <v>0</v>
      </c>
      <c r="O989" s="5">
        <v>0</v>
      </c>
      <c r="P989" s="5">
        <v>0</v>
      </c>
      <c r="Q989" s="5">
        <v>20</v>
      </c>
      <c r="R989" s="5">
        <v>24</v>
      </c>
      <c r="S989" s="5">
        <v>0</v>
      </c>
      <c r="T989" s="5">
        <v>0</v>
      </c>
      <c r="U989" s="6">
        <v>0</v>
      </c>
      <c r="V989" s="5">
        <v>10</v>
      </c>
      <c r="W989" s="5">
        <v>5</v>
      </c>
      <c r="X989" s="16">
        <v>2000</v>
      </c>
      <c r="Y989" s="16">
        <v>7000</v>
      </c>
      <c r="Z989" s="16">
        <v>14000</v>
      </c>
      <c r="AA989" s="12" t="str">
        <f t="shared" si="163"/>
        <v>0/30</v>
      </c>
      <c r="AB989" s="12" t="str">
        <f t="shared" si="164"/>
        <v>100,0,100,100,100,100</v>
      </c>
      <c r="AC989" s="12">
        <f t="shared" si="165"/>
        <v>2</v>
      </c>
      <c r="AD989" s="12" t="str">
        <f t="shared" si="166"/>
        <v>2000/7000/14000</v>
      </c>
      <c r="AE989" s="12" t="str">
        <f t="shared" si="167"/>
        <v/>
      </c>
      <c r="AF989" s="12" t="str">
        <f t="shared" si="168"/>
        <v/>
      </c>
      <c r="AG989" s="12" t="str">
        <f t="shared" si="169"/>
        <v>2/3/</v>
      </c>
      <c r="AH989" s="12" t="str">
        <f t="shared" si="170"/>
        <v>20/24/</v>
      </c>
      <c r="AI989" s="12" t="str">
        <f t="shared" si="171"/>
        <v>10/5</v>
      </c>
    </row>
    <row r="990" spans="1:35" s="8" customFormat="1" ht="21.95" customHeight="1">
      <c r="A990" s="9">
        <v>988</v>
      </c>
      <c r="B990" s="17">
        <v>988</v>
      </c>
      <c r="C990" s="6">
        <v>30</v>
      </c>
      <c r="D990" s="6">
        <v>0</v>
      </c>
      <c r="E990" s="5">
        <v>100</v>
      </c>
      <c r="F990" s="5">
        <v>100</v>
      </c>
      <c r="G990" s="5">
        <v>0</v>
      </c>
      <c r="H990" s="5">
        <v>100</v>
      </c>
      <c r="I990" s="5">
        <v>100</v>
      </c>
      <c r="J990" s="5">
        <v>100</v>
      </c>
      <c r="K990" s="15" t="s">
        <v>53</v>
      </c>
      <c r="L990" s="6">
        <v>3</v>
      </c>
      <c r="M990" s="6">
        <v>0</v>
      </c>
      <c r="N990" s="6">
        <v>0</v>
      </c>
      <c r="O990" s="5">
        <v>0</v>
      </c>
      <c r="P990" s="5">
        <v>0</v>
      </c>
      <c r="Q990" s="5">
        <v>0</v>
      </c>
      <c r="R990" s="5">
        <v>18</v>
      </c>
      <c r="S990" s="5">
        <v>32</v>
      </c>
      <c r="T990" s="5">
        <v>0</v>
      </c>
      <c r="U990" s="6">
        <v>0</v>
      </c>
      <c r="V990" s="5">
        <v>10</v>
      </c>
      <c r="W990" s="5">
        <v>5</v>
      </c>
      <c r="X990" s="16">
        <v>2000</v>
      </c>
      <c r="Y990" s="16">
        <v>7000</v>
      </c>
      <c r="Z990" s="16">
        <v>14000</v>
      </c>
      <c r="AA990" s="12" t="str">
        <f t="shared" si="163"/>
        <v>0/30</v>
      </c>
      <c r="AB990" s="12" t="str">
        <f t="shared" si="164"/>
        <v>100,100,0,100,100,100</v>
      </c>
      <c r="AC990" s="12">
        <f t="shared" si="165"/>
        <v>2</v>
      </c>
      <c r="AD990" s="12" t="str">
        <f t="shared" si="166"/>
        <v>2000/7000/14000</v>
      </c>
      <c r="AE990" s="12" t="str">
        <f t="shared" si="167"/>
        <v/>
      </c>
      <c r="AF990" s="12" t="str">
        <f t="shared" si="168"/>
        <v/>
      </c>
      <c r="AG990" s="12" t="str">
        <f t="shared" si="169"/>
        <v>3/4/</v>
      </c>
      <c r="AH990" s="12" t="str">
        <f t="shared" si="170"/>
        <v>18/32/</v>
      </c>
      <c r="AI990" s="12" t="str">
        <f t="shared" si="171"/>
        <v>10/5</v>
      </c>
    </row>
    <row r="991" spans="1:35" s="8" customFormat="1" ht="21.95" customHeight="1">
      <c r="A991" s="9">
        <v>989</v>
      </c>
      <c r="B991" s="17">
        <v>989</v>
      </c>
      <c r="C991" s="6">
        <v>30</v>
      </c>
      <c r="D991" s="6">
        <v>0</v>
      </c>
      <c r="E991" s="5">
        <v>100</v>
      </c>
      <c r="F991" s="5">
        <v>100</v>
      </c>
      <c r="G991" s="5">
        <v>100</v>
      </c>
      <c r="H991" s="5">
        <v>0</v>
      </c>
      <c r="I991" s="5">
        <v>100</v>
      </c>
      <c r="J991" s="5">
        <v>100</v>
      </c>
      <c r="K991" s="15" t="s">
        <v>52</v>
      </c>
      <c r="L991" s="6">
        <v>3</v>
      </c>
      <c r="M991" s="6">
        <v>6</v>
      </c>
      <c r="N991" s="6">
        <v>0</v>
      </c>
      <c r="O991" s="5">
        <v>0</v>
      </c>
      <c r="P991" s="5">
        <v>0</v>
      </c>
      <c r="Q991" s="5">
        <v>0</v>
      </c>
      <c r="R991" s="5">
        <v>0</v>
      </c>
      <c r="S991" s="5">
        <v>0</v>
      </c>
      <c r="T991" s="5">
        <v>0</v>
      </c>
      <c r="U991" s="6">
        <v>0</v>
      </c>
      <c r="V991" s="5">
        <v>10</v>
      </c>
      <c r="W991" s="5">
        <v>5</v>
      </c>
      <c r="X991" s="16">
        <v>2000</v>
      </c>
      <c r="Y991" s="16">
        <v>7000</v>
      </c>
      <c r="Z991" s="16">
        <v>14000</v>
      </c>
      <c r="AA991" s="12" t="str">
        <f t="shared" si="163"/>
        <v>0/30</v>
      </c>
      <c r="AB991" s="12" t="str">
        <f t="shared" si="164"/>
        <v>100,100,100,0,100,100</v>
      </c>
      <c r="AC991" s="12">
        <f t="shared" si="165"/>
        <v>1</v>
      </c>
      <c r="AD991" s="12" t="str">
        <f t="shared" si="166"/>
        <v>2000/7000/14000</v>
      </c>
      <c r="AE991" s="12" t="str">
        <f t="shared" si="167"/>
        <v>0/</v>
      </c>
      <c r="AF991" s="12" t="str">
        <f t="shared" si="168"/>
        <v>6/</v>
      </c>
      <c r="AG991" s="12" t="str">
        <f t="shared" si="169"/>
        <v/>
      </c>
      <c r="AH991" s="12" t="str">
        <f t="shared" si="170"/>
        <v/>
      </c>
      <c r="AI991" s="12" t="str">
        <f t="shared" si="171"/>
        <v>10/5</v>
      </c>
    </row>
    <row r="992" spans="1:35" s="8" customFormat="1" ht="21.95" customHeight="1">
      <c r="A992" s="9">
        <v>990</v>
      </c>
      <c r="B992" s="17">
        <v>990</v>
      </c>
      <c r="C992" s="6">
        <v>30</v>
      </c>
      <c r="D992" s="6">
        <v>0</v>
      </c>
      <c r="E992" s="5">
        <v>100</v>
      </c>
      <c r="F992" s="5">
        <v>100</v>
      </c>
      <c r="G992" s="5">
        <v>100</v>
      </c>
      <c r="H992" s="5">
        <v>100</v>
      </c>
      <c r="I992" s="5">
        <v>0</v>
      </c>
      <c r="J992" s="5">
        <v>100</v>
      </c>
      <c r="K992" s="15" t="s">
        <v>52</v>
      </c>
      <c r="L992" s="6">
        <v>3</v>
      </c>
      <c r="M992" s="6">
        <v>2</v>
      </c>
      <c r="N992" s="6">
        <v>4</v>
      </c>
      <c r="O992" s="5">
        <v>0</v>
      </c>
      <c r="P992" s="5">
        <v>0</v>
      </c>
      <c r="Q992" s="5">
        <v>0</v>
      </c>
      <c r="R992" s="5">
        <v>0</v>
      </c>
      <c r="S992" s="5">
        <v>0</v>
      </c>
      <c r="T992" s="5">
        <v>0</v>
      </c>
      <c r="U992" s="6">
        <v>0</v>
      </c>
      <c r="V992" s="5">
        <v>10</v>
      </c>
      <c r="W992" s="5">
        <v>5</v>
      </c>
      <c r="X992" s="16">
        <v>2000</v>
      </c>
      <c r="Y992" s="16">
        <v>7000</v>
      </c>
      <c r="Z992" s="16">
        <v>14000</v>
      </c>
      <c r="AA992" s="12" t="str">
        <f t="shared" si="163"/>
        <v>0/30</v>
      </c>
      <c r="AB992" s="12" t="str">
        <f t="shared" si="164"/>
        <v>100,100,100,100,0,100</v>
      </c>
      <c r="AC992" s="12">
        <f t="shared" si="165"/>
        <v>1</v>
      </c>
      <c r="AD992" s="12" t="str">
        <f t="shared" si="166"/>
        <v>2000/7000/14000</v>
      </c>
      <c r="AE992" s="12" t="str">
        <f t="shared" si="167"/>
        <v>0/1/</v>
      </c>
      <c r="AF992" s="12" t="str">
        <f t="shared" si="168"/>
        <v>2/4/</v>
      </c>
      <c r="AG992" s="12" t="str">
        <f t="shared" si="169"/>
        <v/>
      </c>
      <c r="AH992" s="12" t="str">
        <f t="shared" si="170"/>
        <v/>
      </c>
      <c r="AI992" s="12" t="str">
        <f t="shared" si="171"/>
        <v>10/5</v>
      </c>
    </row>
    <row r="993" spans="1:35" s="8" customFormat="1" ht="21.95" customHeight="1">
      <c r="A993" s="9">
        <v>991</v>
      </c>
      <c r="B993" s="17">
        <v>991</v>
      </c>
      <c r="C993" s="6">
        <v>0</v>
      </c>
      <c r="D993" s="6">
        <v>60</v>
      </c>
      <c r="E993" s="5">
        <v>100</v>
      </c>
      <c r="F993" s="5">
        <v>100</v>
      </c>
      <c r="G993" s="5">
        <v>100</v>
      </c>
      <c r="H993" s="5">
        <v>100</v>
      </c>
      <c r="I993" s="5">
        <v>100</v>
      </c>
      <c r="J993" s="5">
        <v>0</v>
      </c>
      <c r="K993" s="15" t="s">
        <v>54</v>
      </c>
      <c r="L993" s="6">
        <v>3</v>
      </c>
      <c r="M993" s="6">
        <v>0</v>
      </c>
      <c r="N993" s="6">
        <v>0</v>
      </c>
      <c r="O993" s="5">
        <v>0</v>
      </c>
      <c r="P993" s="5">
        <v>0</v>
      </c>
      <c r="Q993" s="5">
        <v>0</v>
      </c>
      <c r="R993" s="5">
        <v>0</v>
      </c>
      <c r="S993" s="5">
        <v>0</v>
      </c>
      <c r="T993" s="5">
        <v>0</v>
      </c>
      <c r="U993" s="6">
        <v>0</v>
      </c>
      <c r="V993" s="5">
        <v>10</v>
      </c>
      <c r="W993" s="5">
        <v>5</v>
      </c>
      <c r="X993" s="16">
        <v>2000</v>
      </c>
      <c r="Y993" s="16">
        <v>7000</v>
      </c>
      <c r="Z993" s="16">
        <v>14000</v>
      </c>
      <c r="AA993" s="12" t="str">
        <f t="shared" si="163"/>
        <v>1/60</v>
      </c>
      <c r="AB993" s="12" t="str">
        <f t="shared" si="164"/>
        <v>100,100,100,100,100,0</v>
      </c>
      <c r="AC993" s="12">
        <f t="shared" si="165"/>
        <v>3</v>
      </c>
      <c r="AD993" s="12" t="str">
        <f t="shared" si="166"/>
        <v>2000/7000/14000</v>
      </c>
      <c r="AE993" s="12" t="str">
        <f t="shared" si="167"/>
        <v/>
      </c>
      <c r="AF993" s="12" t="str">
        <f t="shared" si="168"/>
        <v/>
      </c>
      <c r="AG993" s="12" t="str">
        <f t="shared" si="169"/>
        <v/>
      </c>
      <c r="AH993" s="12" t="str">
        <f t="shared" si="170"/>
        <v/>
      </c>
      <c r="AI993" s="12" t="str">
        <f t="shared" si="171"/>
        <v>10/5</v>
      </c>
    </row>
    <row r="994" spans="1:35" s="8" customFormat="1" ht="21.95" customHeight="1">
      <c r="A994" s="9">
        <v>992</v>
      </c>
      <c r="B994" s="17">
        <v>992</v>
      </c>
      <c r="C994" s="6">
        <v>0</v>
      </c>
      <c r="D994" s="6">
        <v>60</v>
      </c>
      <c r="E994" s="5">
        <v>0</v>
      </c>
      <c r="F994" s="5">
        <v>100</v>
      </c>
      <c r="G994" s="5">
        <v>100</v>
      </c>
      <c r="H994" s="5">
        <v>100</v>
      </c>
      <c r="I994" s="5">
        <v>100</v>
      </c>
      <c r="J994" s="5">
        <v>100</v>
      </c>
      <c r="K994" s="15" t="s">
        <v>54</v>
      </c>
      <c r="L994" s="6">
        <v>3</v>
      </c>
      <c r="M994" s="6">
        <v>0</v>
      </c>
      <c r="N994" s="6">
        <v>0</v>
      </c>
      <c r="O994" s="5">
        <v>0</v>
      </c>
      <c r="P994" s="5">
        <v>0</v>
      </c>
      <c r="Q994" s="5">
        <v>0</v>
      </c>
      <c r="R994" s="5">
        <v>0</v>
      </c>
      <c r="S994" s="5">
        <v>0</v>
      </c>
      <c r="T994" s="5">
        <v>0</v>
      </c>
      <c r="U994" s="6">
        <v>0</v>
      </c>
      <c r="V994" s="5">
        <v>10</v>
      </c>
      <c r="W994" s="5">
        <v>5</v>
      </c>
      <c r="X994" s="16">
        <v>2000</v>
      </c>
      <c r="Y994" s="16">
        <v>7000</v>
      </c>
      <c r="Z994" s="16">
        <v>14000</v>
      </c>
      <c r="AA994" s="12" t="str">
        <f t="shared" ref="AA994:AA1001" si="172">IF(C994=0,CONCATENATE("1/",D994),CONCATENATE("0/",C994))</f>
        <v>1/60</v>
      </c>
      <c r="AB994" s="12" t="str">
        <f t="shared" ref="AB994:AB1001" si="173">CONCATENATE(E994,",",F994,",",G994,",",H994,",",I994,",",J994)</f>
        <v>0,100,100,100,100,100</v>
      </c>
      <c r="AC994" s="12">
        <f t="shared" ref="AC994:AC1001" si="174">VLOOKUP(K994,$I$1005:$J$1012,2,FALSE)</f>
        <v>3</v>
      </c>
      <c r="AD994" s="12" t="str">
        <f t="shared" ref="AD994:AD1001" si="175">CONCATENATE(X994,"/",Y994,"/",Z994)</f>
        <v>2000/7000/14000</v>
      </c>
      <c r="AE994" s="12" t="str">
        <f t="shared" ref="AE994:AE1001" si="176">CONCATENATE(IF(M994=0,"","0/"),IF(N994=0,"","1/"))</f>
        <v/>
      </c>
      <c r="AF994" s="12" t="str">
        <f t="shared" ref="AF994:AF1001" si="177">CONCATENATE(IF(M994=0,"",CONCATENATE(M994,"/")),IF(N994=0,"",CONCATENATE(N994,"/")))</f>
        <v/>
      </c>
      <c r="AG994" s="12" t="str">
        <f t="shared" ref="AG994:AG1001" si="178">CONCATENATE(IF(O994=0,"","0/"),IF(P994=0,"","1/"),IF(Q994=0,"","2/"),IF(R994=0,"","3/"),IF(S994=0,"","4/"),IF(T994=0,"","5/"))</f>
        <v/>
      </c>
      <c r="AH994" s="12" t="str">
        <f t="shared" ref="AH994:AH1001" si="179">CONCATENATE(IF(O994=0,"",CONCATENATE(O994,"/")),IF(P994=0,"",CONCATENATE(P994,"/")),IF(Q994=0,"",CONCATENATE(Q994,"/")),IF(R994=0,"",CONCATENATE(R994,"/")),IF(S994=0,"",CONCATENATE(S994,"/")),IF(T994=0,"",CONCATENATE(T994,"/")))</f>
        <v/>
      </c>
      <c r="AI994" s="12" t="str">
        <f t="shared" ref="AI994:AI1001" si="180">CONCATENATE(V994,"/",W994)</f>
        <v>10/5</v>
      </c>
    </row>
    <row r="995" spans="1:35" s="8" customFormat="1" ht="21.95" customHeight="1">
      <c r="A995" s="9">
        <v>993</v>
      </c>
      <c r="B995" s="17">
        <v>993</v>
      </c>
      <c r="C995" s="6">
        <v>30</v>
      </c>
      <c r="D995" s="6">
        <v>0</v>
      </c>
      <c r="E995" s="5">
        <v>100</v>
      </c>
      <c r="F995" s="5">
        <v>0</v>
      </c>
      <c r="G995" s="5">
        <v>100</v>
      </c>
      <c r="H995" s="5">
        <v>100</v>
      </c>
      <c r="I995" s="5">
        <v>100</v>
      </c>
      <c r="J995" s="5">
        <v>100</v>
      </c>
      <c r="K995" s="15" t="s">
        <v>55</v>
      </c>
      <c r="L995" s="6">
        <v>3</v>
      </c>
      <c r="M995" s="6">
        <v>0</v>
      </c>
      <c r="N995" s="6">
        <v>0</v>
      </c>
      <c r="O995" s="5">
        <v>0</v>
      </c>
      <c r="P995" s="5">
        <v>0</v>
      </c>
      <c r="Q995" s="5">
        <v>0</v>
      </c>
      <c r="R995" s="5">
        <v>0</v>
      </c>
      <c r="S995" s="5">
        <v>0</v>
      </c>
      <c r="T995" s="5">
        <v>0</v>
      </c>
      <c r="U995" s="6">
        <v>5</v>
      </c>
      <c r="V995" s="5">
        <v>10</v>
      </c>
      <c r="W995" s="5">
        <v>5</v>
      </c>
      <c r="X995" s="16">
        <v>2000</v>
      </c>
      <c r="Y995" s="16">
        <v>7000</v>
      </c>
      <c r="Z995" s="16">
        <v>14000</v>
      </c>
      <c r="AA995" s="12" t="str">
        <f t="shared" si="172"/>
        <v>0/30</v>
      </c>
      <c r="AB995" s="12" t="str">
        <f t="shared" si="173"/>
        <v>100,0,100,100,100,100</v>
      </c>
      <c r="AC995" s="12">
        <f t="shared" si="174"/>
        <v>4</v>
      </c>
      <c r="AD995" s="12" t="str">
        <f t="shared" si="175"/>
        <v>2000/7000/14000</v>
      </c>
      <c r="AE995" s="12" t="str">
        <f t="shared" si="176"/>
        <v/>
      </c>
      <c r="AF995" s="12" t="str">
        <f t="shared" si="177"/>
        <v/>
      </c>
      <c r="AG995" s="12" t="str">
        <f t="shared" si="178"/>
        <v/>
      </c>
      <c r="AH995" s="12" t="str">
        <f t="shared" si="179"/>
        <v/>
      </c>
      <c r="AI995" s="12" t="str">
        <f t="shared" si="180"/>
        <v>10/5</v>
      </c>
    </row>
    <row r="996" spans="1:35" s="8" customFormat="1" ht="21.95" customHeight="1">
      <c r="A996" s="9">
        <v>994</v>
      </c>
      <c r="B996" s="17">
        <v>994</v>
      </c>
      <c r="C996" s="6">
        <v>30</v>
      </c>
      <c r="D996" s="6">
        <v>0</v>
      </c>
      <c r="E996" s="5">
        <v>100</v>
      </c>
      <c r="F996" s="5">
        <v>100</v>
      </c>
      <c r="G996" s="5">
        <v>0</v>
      </c>
      <c r="H996" s="5">
        <v>100</v>
      </c>
      <c r="I996" s="5">
        <v>100</v>
      </c>
      <c r="J996" s="5">
        <v>100</v>
      </c>
      <c r="K996" s="15" t="s">
        <v>55</v>
      </c>
      <c r="L996" s="6">
        <v>3</v>
      </c>
      <c r="M996" s="6">
        <v>0</v>
      </c>
      <c r="N996" s="6">
        <v>0</v>
      </c>
      <c r="O996" s="5">
        <v>0</v>
      </c>
      <c r="P996" s="5">
        <v>0</v>
      </c>
      <c r="Q996" s="5">
        <v>0</v>
      </c>
      <c r="R996" s="5">
        <v>0</v>
      </c>
      <c r="S996" s="5">
        <v>0</v>
      </c>
      <c r="T996" s="5">
        <v>0</v>
      </c>
      <c r="U996" s="6">
        <v>5</v>
      </c>
      <c r="V996" s="5">
        <v>10</v>
      </c>
      <c r="W996" s="5">
        <v>5</v>
      </c>
      <c r="X996" s="16">
        <v>2000</v>
      </c>
      <c r="Y996" s="16">
        <v>7000</v>
      </c>
      <c r="Z996" s="16">
        <v>14000</v>
      </c>
      <c r="AA996" s="12" t="str">
        <f t="shared" si="172"/>
        <v>0/30</v>
      </c>
      <c r="AB996" s="12" t="str">
        <f t="shared" si="173"/>
        <v>100,100,0,100,100,100</v>
      </c>
      <c r="AC996" s="12">
        <f t="shared" si="174"/>
        <v>4</v>
      </c>
      <c r="AD996" s="12" t="str">
        <f t="shared" si="175"/>
        <v>2000/7000/14000</v>
      </c>
      <c r="AE996" s="12" t="str">
        <f t="shared" si="176"/>
        <v/>
      </c>
      <c r="AF996" s="12" t="str">
        <f t="shared" si="177"/>
        <v/>
      </c>
      <c r="AG996" s="12" t="str">
        <f t="shared" si="178"/>
        <v/>
      </c>
      <c r="AH996" s="12" t="str">
        <f t="shared" si="179"/>
        <v/>
      </c>
      <c r="AI996" s="12" t="str">
        <f t="shared" si="180"/>
        <v>10/5</v>
      </c>
    </row>
    <row r="997" spans="1:35" s="8" customFormat="1" ht="21.95" customHeight="1">
      <c r="A997" s="9">
        <v>995</v>
      </c>
      <c r="B997" s="17">
        <v>995</v>
      </c>
      <c r="C997" s="6">
        <v>32</v>
      </c>
      <c r="D997" s="6">
        <v>0</v>
      </c>
      <c r="E997" s="5">
        <v>100</v>
      </c>
      <c r="F997" s="5">
        <v>100</v>
      </c>
      <c r="G997" s="5">
        <v>100</v>
      </c>
      <c r="H997" s="5">
        <v>0</v>
      </c>
      <c r="I997" s="5">
        <v>100</v>
      </c>
      <c r="J997" s="5">
        <v>100</v>
      </c>
      <c r="K997" s="15" t="s">
        <v>51</v>
      </c>
      <c r="L997" s="6">
        <v>3</v>
      </c>
      <c r="M997" s="6">
        <v>0</v>
      </c>
      <c r="N997" s="6">
        <v>0</v>
      </c>
      <c r="O997" s="5">
        <v>0</v>
      </c>
      <c r="P997" s="5">
        <v>0</v>
      </c>
      <c r="Q997" s="5">
        <v>0</v>
      </c>
      <c r="R997" s="5">
        <v>0</v>
      </c>
      <c r="S997" s="5">
        <v>0</v>
      </c>
      <c r="T997" s="5">
        <v>0</v>
      </c>
      <c r="U997" s="6">
        <v>0</v>
      </c>
      <c r="V997" s="5">
        <v>10</v>
      </c>
      <c r="W997" s="5">
        <v>5</v>
      </c>
      <c r="X997" s="16">
        <v>2000</v>
      </c>
      <c r="Y997" s="16">
        <v>7000</v>
      </c>
      <c r="Z997" s="16">
        <v>14000</v>
      </c>
      <c r="AA997" s="12" t="str">
        <f t="shared" si="172"/>
        <v>0/32</v>
      </c>
      <c r="AB997" s="12" t="str">
        <f t="shared" si="173"/>
        <v>100,100,100,0,100,100</v>
      </c>
      <c r="AC997" s="12">
        <f t="shared" si="174"/>
        <v>0</v>
      </c>
      <c r="AD997" s="12" t="str">
        <f t="shared" si="175"/>
        <v>2000/7000/14000</v>
      </c>
      <c r="AE997" s="12" t="str">
        <f t="shared" si="176"/>
        <v/>
      </c>
      <c r="AF997" s="12" t="str">
        <f t="shared" si="177"/>
        <v/>
      </c>
      <c r="AG997" s="12" t="str">
        <f t="shared" si="178"/>
        <v/>
      </c>
      <c r="AH997" s="12" t="str">
        <f t="shared" si="179"/>
        <v/>
      </c>
      <c r="AI997" s="12" t="str">
        <f t="shared" si="180"/>
        <v>10/5</v>
      </c>
    </row>
    <row r="998" spans="1:35" s="8" customFormat="1" ht="21.95" customHeight="1">
      <c r="A998" s="9">
        <v>996</v>
      </c>
      <c r="B998" s="17">
        <v>996</v>
      </c>
      <c r="C998" s="6">
        <v>30</v>
      </c>
      <c r="D998" s="6">
        <v>0</v>
      </c>
      <c r="E998" s="5">
        <v>100</v>
      </c>
      <c r="F998" s="5">
        <v>100</v>
      </c>
      <c r="G998" s="5">
        <v>100</v>
      </c>
      <c r="H998" s="5">
        <v>100</v>
      </c>
      <c r="I998" s="5">
        <v>0</v>
      </c>
      <c r="J998" s="5">
        <v>100</v>
      </c>
      <c r="K998" s="15" t="s">
        <v>53</v>
      </c>
      <c r="L998" s="6">
        <v>3</v>
      </c>
      <c r="M998" s="6">
        <v>0</v>
      </c>
      <c r="N998" s="6">
        <v>0</v>
      </c>
      <c r="O998" s="5">
        <v>16</v>
      </c>
      <c r="P998" s="5">
        <v>0</v>
      </c>
      <c r="Q998" s="5">
        <v>0</v>
      </c>
      <c r="R998" s="5">
        <v>0</v>
      </c>
      <c r="S998" s="5">
        <v>0</v>
      </c>
      <c r="T998" s="5">
        <v>18</v>
      </c>
      <c r="U998" s="6">
        <v>0</v>
      </c>
      <c r="V998" s="5">
        <v>10</v>
      </c>
      <c r="W998" s="5">
        <v>5</v>
      </c>
      <c r="X998" s="16">
        <v>2000</v>
      </c>
      <c r="Y998" s="16">
        <v>7000</v>
      </c>
      <c r="Z998" s="16">
        <v>14000</v>
      </c>
      <c r="AA998" s="12" t="str">
        <f t="shared" si="172"/>
        <v>0/30</v>
      </c>
      <c r="AB998" s="12" t="str">
        <f t="shared" si="173"/>
        <v>100,100,100,100,0,100</v>
      </c>
      <c r="AC998" s="12">
        <f t="shared" si="174"/>
        <v>2</v>
      </c>
      <c r="AD998" s="12" t="str">
        <f t="shared" si="175"/>
        <v>2000/7000/14000</v>
      </c>
      <c r="AE998" s="12" t="str">
        <f t="shared" si="176"/>
        <v/>
      </c>
      <c r="AF998" s="12" t="str">
        <f t="shared" si="177"/>
        <v/>
      </c>
      <c r="AG998" s="12" t="str">
        <f t="shared" si="178"/>
        <v>0/5/</v>
      </c>
      <c r="AH998" s="12" t="str">
        <f t="shared" si="179"/>
        <v>16/18/</v>
      </c>
      <c r="AI998" s="12" t="str">
        <f t="shared" si="180"/>
        <v>10/5</v>
      </c>
    </row>
    <row r="999" spans="1:35" s="8" customFormat="1" ht="21.95" customHeight="1">
      <c r="A999" s="9">
        <v>997</v>
      </c>
      <c r="B999" s="17">
        <v>997</v>
      </c>
      <c r="C999" s="6">
        <v>30</v>
      </c>
      <c r="D999" s="6">
        <v>0</v>
      </c>
      <c r="E999" s="5">
        <v>100</v>
      </c>
      <c r="F999" s="5">
        <v>100</v>
      </c>
      <c r="G999" s="5">
        <v>100</v>
      </c>
      <c r="H999" s="5">
        <v>100</v>
      </c>
      <c r="I999" s="5">
        <v>100</v>
      </c>
      <c r="J999" s="5">
        <v>0</v>
      </c>
      <c r="K999" s="15" t="s">
        <v>52</v>
      </c>
      <c r="L999" s="6">
        <v>3</v>
      </c>
      <c r="M999" s="6">
        <v>6</v>
      </c>
      <c r="N999" s="6">
        <v>0</v>
      </c>
      <c r="O999" s="5">
        <v>0</v>
      </c>
      <c r="P999" s="5">
        <v>0</v>
      </c>
      <c r="Q999" s="5">
        <v>0</v>
      </c>
      <c r="R999" s="5">
        <v>0</v>
      </c>
      <c r="S999" s="5">
        <v>0</v>
      </c>
      <c r="T999" s="5">
        <v>0</v>
      </c>
      <c r="U999" s="6">
        <v>0</v>
      </c>
      <c r="V999" s="5">
        <v>10</v>
      </c>
      <c r="W999" s="5">
        <v>5</v>
      </c>
      <c r="X999" s="16">
        <v>2000</v>
      </c>
      <c r="Y999" s="16">
        <v>7000</v>
      </c>
      <c r="Z999" s="16">
        <v>14000</v>
      </c>
      <c r="AA999" s="12" t="str">
        <f t="shared" si="172"/>
        <v>0/30</v>
      </c>
      <c r="AB999" s="12" t="str">
        <f t="shared" si="173"/>
        <v>100,100,100,100,100,0</v>
      </c>
      <c r="AC999" s="12">
        <f t="shared" si="174"/>
        <v>1</v>
      </c>
      <c r="AD999" s="12" t="str">
        <f t="shared" si="175"/>
        <v>2000/7000/14000</v>
      </c>
      <c r="AE999" s="12" t="str">
        <f t="shared" si="176"/>
        <v>0/</v>
      </c>
      <c r="AF999" s="12" t="str">
        <f t="shared" si="177"/>
        <v>6/</v>
      </c>
      <c r="AG999" s="12" t="str">
        <f t="shared" si="178"/>
        <v/>
      </c>
      <c r="AH999" s="12" t="str">
        <f t="shared" si="179"/>
        <v/>
      </c>
      <c r="AI999" s="12" t="str">
        <f t="shared" si="180"/>
        <v>10/5</v>
      </c>
    </row>
    <row r="1000" spans="1:35" s="8" customFormat="1" ht="21.95" customHeight="1">
      <c r="A1000" s="9">
        <v>998</v>
      </c>
      <c r="B1000" s="17">
        <v>998</v>
      </c>
      <c r="C1000" s="6">
        <v>30</v>
      </c>
      <c r="D1000" s="6">
        <v>0</v>
      </c>
      <c r="E1000" s="5">
        <v>0</v>
      </c>
      <c r="F1000" s="5">
        <v>100</v>
      </c>
      <c r="G1000" s="5">
        <v>100</v>
      </c>
      <c r="H1000" s="5">
        <v>100</v>
      </c>
      <c r="I1000" s="5">
        <v>100</v>
      </c>
      <c r="J1000" s="5">
        <v>100</v>
      </c>
      <c r="K1000" s="15" t="s">
        <v>52</v>
      </c>
      <c r="L1000" s="6">
        <v>3</v>
      </c>
      <c r="M1000" s="6">
        <v>0</v>
      </c>
      <c r="N1000" s="6">
        <v>6</v>
      </c>
      <c r="O1000" s="5">
        <v>0</v>
      </c>
      <c r="P1000" s="5">
        <v>0</v>
      </c>
      <c r="Q1000" s="5">
        <v>0</v>
      </c>
      <c r="R1000" s="5">
        <v>0</v>
      </c>
      <c r="S1000" s="5">
        <v>0</v>
      </c>
      <c r="T1000" s="5">
        <v>0</v>
      </c>
      <c r="U1000" s="6">
        <v>0</v>
      </c>
      <c r="V1000" s="5">
        <v>10</v>
      </c>
      <c r="W1000" s="5">
        <v>5</v>
      </c>
      <c r="X1000" s="16">
        <v>2000</v>
      </c>
      <c r="Y1000" s="16">
        <v>7000</v>
      </c>
      <c r="Z1000" s="16">
        <v>14000</v>
      </c>
      <c r="AA1000" s="12" t="str">
        <f t="shared" si="172"/>
        <v>0/30</v>
      </c>
      <c r="AB1000" s="12" t="str">
        <f t="shared" si="173"/>
        <v>0,100,100,100,100,100</v>
      </c>
      <c r="AC1000" s="12">
        <f t="shared" si="174"/>
        <v>1</v>
      </c>
      <c r="AD1000" s="12" t="str">
        <f t="shared" si="175"/>
        <v>2000/7000/14000</v>
      </c>
      <c r="AE1000" s="12" t="str">
        <f t="shared" si="176"/>
        <v>1/</v>
      </c>
      <c r="AF1000" s="12" t="str">
        <f t="shared" si="177"/>
        <v>6/</v>
      </c>
      <c r="AG1000" s="12" t="str">
        <f t="shared" si="178"/>
        <v/>
      </c>
      <c r="AH1000" s="12" t="str">
        <f t="shared" si="179"/>
        <v/>
      </c>
      <c r="AI1000" s="12" t="str">
        <f t="shared" si="180"/>
        <v>10/5</v>
      </c>
    </row>
    <row r="1001" spans="1:35" s="8" customFormat="1" ht="21.95" customHeight="1">
      <c r="A1001" s="9">
        <v>999</v>
      </c>
      <c r="B1001" s="17">
        <v>999</v>
      </c>
      <c r="C1001" s="6">
        <v>0</v>
      </c>
      <c r="D1001" s="6">
        <v>60</v>
      </c>
      <c r="E1001" s="5">
        <v>100</v>
      </c>
      <c r="F1001" s="5">
        <v>0</v>
      </c>
      <c r="G1001" s="5">
        <v>100</v>
      </c>
      <c r="H1001" s="5">
        <v>100</v>
      </c>
      <c r="I1001" s="5">
        <v>100</v>
      </c>
      <c r="J1001" s="5">
        <v>100</v>
      </c>
      <c r="K1001" s="15" t="s">
        <v>54</v>
      </c>
      <c r="L1001" s="6">
        <v>3</v>
      </c>
      <c r="M1001" s="6">
        <v>0</v>
      </c>
      <c r="N1001" s="6">
        <v>0</v>
      </c>
      <c r="O1001" s="5">
        <v>0</v>
      </c>
      <c r="P1001" s="5">
        <v>0</v>
      </c>
      <c r="Q1001" s="5">
        <v>0</v>
      </c>
      <c r="R1001" s="5">
        <v>0</v>
      </c>
      <c r="S1001" s="5">
        <v>0</v>
      </c>
      <c r="T1001" s="5">
        <v>0</v>
      </c>
      <c r="U1001" s="6">
        <v>0</v>
      </c>
      <c r="V1001" s="5">
        <v>10</v>
      </c>
      <c r="W1001" s="5">
        <v>5</v>
      </c>
      <c r="X1001" s="16">
        <v>2000</v>
      </c>
      <c r="Y1001" s="16">
        <v>7000</v>
      </c>
      <c r="Z1001" s="16">
        <v>14000</v>
      </c>
      <c r="AA1001" s="12" t="str">
        <f t="shared" si="172"/>
        <v>1/60</v>
      </c>
      <c r="AB1001" s="12" t="str">
        <f t="shared" si="173"/>
        <v>100,0,100,100,100,100</v>
      </c>
      <c r="AC1001" s="12">
        <f t="shared" si="174"/>
        <v>3</v>
      </c>
      <c r="AD1001" s="12" t="str">
        <f t="shared" si="175"/>
        <v>2000/7000/14000</v>
      </c>
      <c r="AE1001" s="12" t="str">
        <f t="shared" si="176"/>
        <v/>
      </c>
      <c r="AF1001" s="12" t="str">
        <f t="shared" si="177"/>
        <v/>
      </c>
      <c r="AG1001" s="12" t="str">
        <f t="shared" si="178"/>
        <v/>
      </c>
      <c r="AH1001" s="12" t="str">
        <f t="shared" si="179"/>
        <v/>
      </c>
      <c r="AI1001" s="12" t="str">
        <f t="shared" si="180"/>
        <v>10/5</v>
      </c>
    </row>
    <row r="1002" spans="1:35" s="8" customFormat="1" ht="21.95" customHeight="1">
      <c r="A1002" s="4"/>
      <c r="E1002" s="10"/>
      <c r="F1002" s="10"/>
      <c r="G1002" s="10"/>
      <c r="H1002" s="10"/>
      <c r="I1002" s="10"/>
      <c r="J1002" s="10"/>
      <c r="O1002" s="10"/>
      <c r="P1002" s="10"/>
      <c r="Q1002" s="10"/>
      <c r="R1002" s="10"/>
      <c r="S1002" s="10"/>
      <c r="T1002" s="10"/>
      <c r="V1002" s="10"/>
      <c r="W1002" s="10"/>
      <c r="X1002" s="10"/>
      <c r="Y1002" s="10"/>
      <c r="Z1002" s="10"/>
    </row>
    <row r="1003" spans="1:35" s="8" customFormat="1" ht="21.95" customHeight="1">
      <c r="A1003" s="2">
        <v>1</v>
      </c>
      <c r="B1003" s="3">
        <v>2</v>
      </c>
      <c r="C1003" s="2">
        <v>3</v>
      </c>
      <c r="D1003" s="2">
        <v>4</v>
      </c>
      <c r="E1003" s="13">
        <v>5</v>
      </c>
      <c r="F1003" s="13">
        <v>6</v>
      </c>
      <c r="G1003" s="13">
        <v>7</v>
      </c>
      <c r="H1003" s="13">
        <v>8</v>
      </c>
      <c r="I1003" s="13">
        <v>9</v>
      </c>
      <c r="J1003" s="13">
        <v>10</v>
      </c>
      <c r="K1003" s="2">
        <v>11</v>
      </c>
      <c r="L1003" s="3">
        <v>12</v>
      </c>
      <c r="M1003" s="2">
        <v>13</v>
      </c>
      <c r="N1003" s="2">
        <v>14</v>
      </c>
      <c r="O1003" s="13">
        <v>15</v>
      </c>
      <c r="P1003" s="13">
        <v>16</v>
      </c>
      <c r="Q1003" s="13">
        <v>17</v>
      </c>
      <c r="R1003" s="13">
        <v>18</v>
      </c>
      <c r="S1003" s="13">
        <v>19</v>
      </c>
      <c r="T1003" s="13">
        <v>20</v>
      </c>
      <c r="U1003" s="3">
        <v>21</v>
      </c>
      <c r="V1003" s="13">
        <v>22</v>
      </c>
      <c r="W1003" s="13">
        <v>23</v>
      </c>
      <c r="X1003" s="13">
        <v>24</v>
      </c>
      <c r="Y1003" s="13">
        <v>25</v>
      </c>
      <c r="Z1003" s="13">
        <v>26</v>
      </c>
      <c r="AA1003" s="11">
        <v>27</v>
      </c>
      <c r="AB1003" s="11">
        <v>28</v>
      </c>
      <c r="AC1003" s="11">
        <v>29</v>
      </c>
      <c r="AD1003" s="11">
        <v>30</v>
      </c>
      <c r="AE1003" s="11">
        <v>31</v>
      </c>
      <c r="AF1003" s="11">
        <v>32</v>
      </c>
      <c r="AG1003" s="11">
        <v>33</v>
      </c>
      <c r="AH1003" s="11">
        <v>34</v>
      </c>
      <c r="AI1003" s="11">
        <v>35</v>
      </c>
    </row>
    <row r="1004" spans="1:35" s="8" customFormat="1" ht="21.95" customHeight="1">
      <c r="A1004" s="4"/>
      <c r="E1004" s="10"/>
      <c r="F1004" s="10"/>
      <c r="G1004" s="10"/>
      <c r="H1004" s="10"/>
      <c r="I1004" s="10"/>
      <c r="J1004" s="10"/>
      <c r="O1004" s="10"/>
      <c r="P1004" s="10"/>
      <c r="Q1004" s="10"/>
      <c r="R1004" s="10"/>
      <c r="S1004" s="10"/>
      <c r="T1004" s="10"/>
      <c r="V1004" s="10"/>
      <c r="W1004" s="10"/>
      <c r="X1004" s="10"/>
      <c r="Y1004" s="10"/>
      <c r="Z1004" s="10"/>
    </row>
    <row r="1005" spans="1:35" ht="21.95" customHeight="1">
      <c r="I1005" s="14" t="s">
        <v>31</v>
      </c>
      <c r="J1005" s="14">
        <v>0</v>
      </c>
    </row>
    <row r="1006" spans="1:35" ht="21.95" customHeight="1">
      <c r="I1006" s="14" t="s">
        <v>32</v>
      </c>
      <c r="J1006" s="14">
        <v>1</v>
      </c>
    </row>
    <row r="1007" spans="1:35" ht="21.95" customHeight="1">
      <c r="I1007" s="14" t="s">
        <v>33</v>
      </c>
      <c r="J1007" s="14">
        <v>2</v>
      </c>
    </row>
    <row r="1008" spans="1:35" ht="21.95" customHeight="1">
      <c r="I1008" s="14" t="s">
        <v>34</v>
      </c>
      <c r="J1008" s="14">
        <v>3</v>
      </c>
    </row>
    <row r="1009" spans="9:10" ht="21.95" customHeight="1">
      <c r="I1009" s="14" t="s">
        <v>35</v>
      </c>
      <c r="J1009" s="14">
        <v>4</v>
      </c>
    </row>
    <row r="1010" spans="9:10" ht="21.95" customHeight="1">
      <c r="I1010" s="14" t="s">
        <v>36</v>
      </c>
      <c r="J1010" s="14">
        <v>5</v>
      </c>
    </row>
    <row r="1011" spans="9:10" ht="21.95" customHeight="1">
      <c r="I1011" s="14" t="s">
        <v>50</v>
      </c>
      <c r="J1011" s="14"/>
    </row>
    <row r="1012" spans="9:10" ht="21.95" customHeight="1">
      <c r="I1012" s="14"/>
      <c r="J1012" s="14"/>
    </row>
  </sheetData>
  <phoneticPr fontId="0" type="noConversion"/>
  <conditionalFormatting sqref="E3:J1001">
    <cfRule type="expression" dxfId="30" priority="33">
      <formula>E3=0</formula>
    </cfRule>
  </conditionalFormatting>
  <conditionalFormatting sqref="M3:M1001">
    <cfRule type="expression" dxfId="29" priority="31">
      <formula>AC3&lt;&gt;1</formula>
    </cfRule>
  </conditionalFormatting>
  <conditionalFormatting sqref="N3:N1001">
    <cfRule type="expression" dxfId="28" priority="30">
      <formula>AC3&lt;&gt;1</formula>
    </cfRule>
  </conditionalFormatting>
  <conditionalFormatting sqref="L3:L1001">
    <cfRule type="expression" dxfId="27" priority="29">
      <formula>AC3&lt;&gt;0</formula>
    </cfRule>
  </conditionalFormatting>
  <conditionalFormatting sqref="O3:T1001">
    <cfRule type="expression" dxfId="26" priority="28">
      <formula>E3=0</formula>
    </cfRule>
  </conditionalFormatting>
  <conditionalFormatting sqref="U3:U1001">
    <cfRule type="expression" dxfId="25" priority="27">
      <formula>AC3&lt;&gt;4</formula>
    </cfRule>
  </conditionalFormatting>
  <conditionalFormatting sqref="E3 E42:E1001">
    <cfRule type="expression" dxfId="24" priority="26">
      <formula>O3&lt;&gt;0</formula>
    </cfRule>
  </conditionalFormatting>
  <conditionalFormatting sqref="F3 F42:J1001">
    <cfRule type="expression" dxfId="23" priority="25">
      <formula>P3&lt;&gt;0</formula>
    </cfRule>
  </conditionalFormatting>
  <conditionalFormatting sqref="G3">
    <cfRule type="expression" dxfId="22" priority="24">
      <formula>Q3&lt;&gt;0</formula>
    </cfRule>
  </conditionalFormatting>
  <conditionalFormatting sqref="H3">
    <cfRule type="expression" dxfId="21" priority="23">
      <formula>R3&lt;&gt;0</formula>
    </cfRule>
  </conditionalFormatting>
  <conditionalFormatting sqref="I3">
    <cfRule type="expression" dxfId="20" priority="22">
      <formula>S3&lt;&gt;0</formula>
    </cfRule>
  </conditionalFormatting>
  <conditionalFormatting sqref="J3">
    <cfRule type="expression" dxfId="19" priority="21">
      <formula>T3&lt;&gt;0</formula>
    </cfRule>
  </conditionalFormatting>
  <conditionalFormatting sqref="E4:E41">
    <cfRule type="expression" dxfId="18" priority="20">
      <formula>O4&lt;&gt;0</formula>
    </cfRule>
  </conditionalFormatting>
  <conditionalFormatting sqref="F4:F41">
    <cfRule type="expression" dxfId="17" priority="19">
      <formula>P4&lt;&gt;0</formula>
    </cfRule>
  </conditionalFormatting>
  <conditionalFormatting sqref="G4:G41">
    <cfRule type="expression" dxfId="16" priority="18">
      <formula>Q4&lt;&gt;0</formula>
    </cfRule>
  </conditionalFormatting>
  <conditionalFormatting sqref="H4:H41">
    <cfRule type="expression" dxfId="15" priority="17">
      <formula>R4&lt;&gt;0</formula>
    </cfRule>
  </conditionalFormatting>
  <conditionalFormatting sqref="I4:I41">
    <cfRule type="expression" dxfId="14" priority="16">
      <formula>S4&lt;&gt;0</formula>
    </cfRule>
  </conditionalFormatting>
  <conditionalFormatting sqref="J4:J41">
    <cfRule type="expression" dxfId="13" priority="15">
      <formula>T4&lt;&gt;0</formula>
    </cfRule>
  </conditionalFormatting>
  <conditionalFormatting sqref="C3:D1001">
    <cfRule type="expression" dxfId="12" priority="14">
      <formula>C3=0</formula>
    </cfRule>
  </conditionalFormatting>
  <conditionalFormatting sqref="O3:O20">
    <cfRule type="expression" dxfId="11" priority="12">
      <formula>O3&lt;&gt;0</formula>
    </cfRule>
  </conditionalFormatting>
  <conditionalFormatting sqref="O21:O1001">
    <cfRule type="expression" dxfId="10" priority="11">
      <formula>O21&lt;&gt;0</formula>
    </cfRule>
  </conditionalFormatting>
  <conditionalFormatting sqref="P3">
    <cfRule type="expression" dxfId="9" priority="10">
      <formula>P3&lt;&gt;0</formula>
    </cfRule>
  </conditionalFormatting>
  <conditionalFormatting sqref="P4:P1001">
    <cfRule type="expression" dxfId="8" priority="9">
      <formula>P4&lt;&gt;0</formula>
    </cfRule>
  </conditionalFormatting>
  <conditionalFormatting sqref="Q3">
    <cfRule type="expression" dxfId="7" priority="8">
      <formula>Q3&lt;&gt;0</formula>
    </cfRule>
  </conditionalFormatting>
  <conditionalFormatting sqref="Q4:Q1001">
    <cfRule type="expression" dxfId="6" priority="7">
      <formula>Q4&lt;&gt;0</formula>
    </cfRule>
  </conditionalFormatting>
  <conditionalFormatting sqref="R3">
    <cfRule type="expression" dxfId="5" priority="6">
      <formula>R3&lt;&gt;0</formula>
    </cfRule>
  </conditionalFormatting>
  <conditionalFormatting sqref="R4:R1001">
    <cfRule type="expression" dxfId="4" priority="5">
      <formula>R4&lt;&gt;0</formula>
    </cfRule>
  </conditionalFormatting>
  <conditionalFormatting sqref="S3">
    <cfRule type="expression" dxfId="3" priority="4">
      <formula>S3&lt;&gt;0</formula>
    </cfRule>
  </conditionalFormatting>
  <conditionalFormatting sqref="S4:S1001">
    <cfRule type="expression" dxfId="2" priority="3">
      <formula>S4&lt;&gt;0</formula>
    </cfRule>
  </conditionalFormatting>
  <conditionalFormatting sqref="T3">
    <cfRule type="expression" dxfId="1" priority="2">
      <formula>T3&lt;&gt;0</formula>
    </cfRule>
  </conditionalFormatting>
  <conditionalFormatting sqref="T4:T1001">
    <cfRule type="expression" dxfId="0" priority="1">
      <formula>T4&lt;&gt;0</formula>
    </cfRule>
  </conditionalFormatting>
  <dataValidations count="1">
    <dataValidation type="list" allowBlank="1" showInputMessage="1" showErrorMessage="1" sqref="K3:K1001">
      <formula1>$I$1005:$I$1012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/>
  <dimension ref="A1:L1000"/>
  <sheetViews>
    <sheetView topLeftCell="A8" workbookViewId="0">
      <selection activeCell="A35" sqref="A35"/>
    </sheetView>
  </sheetViews>
  <sheetFormatPr defaultRowHeight="13.5"/>
  <sheetData>
    <row r="1" spans="1:12">
      <c r="A1" t="s">
        <v>20</v>
      </c>
      <c r="B1" t="s">
        <v>62</v>
      </c>
      <c r="C1" t="s">
        <v>63</v>
      </c>
      <c r="D1" t="s">
        <v>64</v>
      </c>
      <c r="E1" t="s">
        <v>65</v>
      </c>
      <c r="F1" t="s">
        <v>66</v>
      </c>
      <c r="G1" t="s">
        <v>67</v>
      </c>
      <c r="H1" t="s">
        <v>68</v>
      </c>
      <c r="I1" t="s">
        <v>69</v>
      </c>
      <c r="J1" t="s">
        <v>70</v>
      </c>
      <c r="K1" t="s">
        <v>71</v>
      </c>
      <c r="L1" t="s">
        <v>68</v>
      </c>
    </row>
    <row r="2" spans="1:12">
      <c r="A2">
        <v>1</v>
      </c>
      <c r="B2" t="s">
        <v>72</v>
      </c>
      <c r="C2" t="s">
        <v>73</v>
      </c>
      <c r="D2">
        <v>2</v>
      </c>
      <c r="E2" t="s">
        <v>74</v>
      </c>
      <c r="F2">
        <v>3</v>
      </c>
      <c r="G2" t="s">
        <v>58</v>
      </c>
      <c r="H2" t="s">
        <v>58</v>
      </c>
      <c r="I2" t="s">
        <v>75</v>
      </c>
      <c r="J2" t="s">
        <v>76</v>
      </c>
      <c r="K2">
        <v>0</v>
      </c>
      <c r="L2" t="s">
        <v>77</v>
      </c>
    </row>
    <row r="3" spans="1:12">
      <c r="A3">
        <v>2</v>
      </c>
      <c r="B3" t="s">
        <v>78</v>
      </c>
      <c r="C3" t="s">
        <v>79</v>
      </c>
      <c r="D3">
        <v>2</v>
      </c>
      <c r="E3" t="s">
        <v>74</v>
      </c>
      <c r="F3">
        <v>3</v>
      </c>
      <c r="G3" t="s">
        <v>58</v>
      </c>
      <c r="H3" t="s">
        <v>58</v>
      </c>
      <c r="I3" t="s">
        <v>80</v>
      </c>
      <c r="J3" t="s">
        <v>81</v>
      </c>
      <c r="K3">
        <v>0</v>
      </c>
      <c r="L3" t="s">
        <v>77</v>
      </c>
    </row>
    <row r="4" spans="1:12">
      <c r="A4">
        <v>3</v>
      </c>
      <c r="B4" t="s">
        <v>82</v>
      </c>
      <c r="C4" t="s">
        <v>83</v>
      </c>
      <c r="D4">
        <v>2</v>
      </c>
      <c r="E4" t="s">
        <v>74</v>
      </c>
      <c r="F4">
        <v>3</v>
      </c>
      <c r="G4" t="s">
        <v>58</v>
      </c>
      <c r="H4" t="s">
        <v>58</v>
      </c>
      <c r="I4" t="s">
        <v>84</v>
      </c>
      <c r="J4" t="s">
        <v>85</v>
      </c>
      <c r="K4">
        <v>0</v>
      </c>
      <c r="L4" t="s">
        <v>77</v>
      </c>
    </row>
    <row r="5" spans="1:12">
      <c r="A5">
        <v>4</v>
      </c>
      <c r="B5" t="s">
        <v>86</v>
      </c>
      <c r="C5" t="s">
        <v>87</v>
      </c>
      <c r="D5">
        <v>2</v>
      </c>
      <c r="E5" t="s">
        <v>74</v>
      </c>
      <c r="F5">
        <v>3</v>
      </c>
      <c r="G5" t="s">
        <v>58</v>
      </c>
      <c r="H5" t="s">
        <v>58</v>
      </c>
      <c r="I5" t="s">
        <v>88</v>
      </c>
      <c r="J5" t="s">
        <v>89</v>
      </c>
      <c r="K5">
        <v>0</v>
      </c>
      <c r="L5" t="s">
        <v>77</v>
      </c>
    </row>
    <row r="6" spans="1:12">
      <c r="A6">
        <v>5</v>
      </c>
      <c r="B6" t="s">
        <v>86</v>
      </c>
      <c r="C6" t="s">
        <v>90</v>
      </c>
      <c r="D6">
        <v>1</v>
      </c>
      <c r="E6" t="s">
        <v>74</v>
      </c>
      <c r="F6">
        <v>3</v>
      </c>
      <c r="G6" t="s">
        <v>75</v>
      </c>
      <c r="H6" t="s">
        <v>91</v>
      </c>
      <c r="I6" t="s">
        <v>58</v>
      </c>
      <c r="J6" t="s">
        <v>58</v>
      </c>
      <c r="K6">
        <v>0</v>
      </c>
      <c r="L6" t="s">
        <v>77</v>
      </c>
    </row>
    <row r="7" spans="1:12">
      <c r="A7">
        <v>6</v>
      </c>
      <c r="B7" t="s">
        <v>86</v>
      </c>
      <c r="C7" t="s">
        <v>92</v>
      </c>
      <c r="D7">
        <v>1</v>
      </c>
      <c r="E7" t="s">
        <v>74</v>
      </c>
      <c r="F7">
        <v>3</v>
      </c>
      <c r="G7" t="s">
        <v>75</v>
      </c>
      <c r="H7" t="s">
        <v>93</v>
      </c>
      <c r="I7" t="s">
        <v>58</v>
      </c>
      <c r="J7" t="s">
        <v>58</v>
      </c>
      <c r="K7">
        <v>0</v>
      </c>
      <c r="L7" t="s">
        <v>77</v>
      </c>
    </row>
    <row r="8" spans="1:12">
      <c r="A8">
        <v>7</v>
      </c>
      <c r="B8" t="s">
        <v>94</v>
      </c>
      <c r="C8" t="s">
        <v>95</v>
      </c>
      <c r="D8">
        <v>1</v>
      </c>
      <c r="E8" t="s">
        <v>74</v>
      </c>
      <c r="F8">
        <v>3</v>
      </c>
      <c r="G8" t="s">
        <v>96</v>
      </c>
      <c r="H8" t="s">
        <v>97</v>
      </c>
      <c r="I8" t="s">
        <v>58</v>
      </c>
      <c r="J8" t="s">
        <v>58</v>
      </c>
      <c r="K8">
        <v>0</v>
      </c>
      <c r="L8" t="s">
        <v>77</v>
      </c>
    </row>
    <row r="9" spans="1:12">
      <c r="A9">
        <v>8</v>
      </c>
      <c r="B9" t="s">
        <v>98</v>
      </c>
      <c r="C9" t="s">
        <v>99</v>
      </c>
      <c r="D9">
        <v>1</v>
      </c>
      <c r="E9" t="s">
        <v>74</v>
      </c>
      <c r="F9">
        <v>3</v>
      </c>
      <c r="G9" t="s">
        <v>96</v>
      </c>
      <c r="H9" t="s">
        <v>100</v>
      </c>
      <c r="I9" t="s">
        <v>58</v>
      </c>
      <c r="J9" t="s">
        <v>58</v>
      </c>
      <c r="K9">
        <v>0</v>
      </c>
      <c r="L9" t="s">
        <v>77</v>
      </c>
    </row>
    <row r="10" spans="1:12">
      <c r="A10">
        <v>9</v>
      </c>
      <c r="B10" t="s">
        <v>101</v>
      </c>
      <c r="C10" t="s">
        <v>102</v>
      </c>
      <c r="D10">
        <v>0</v>
      </c>
      <c r="E10" t="s">
        <v>74</v>
      </c>
      <c r="F10">
        <v>3</v>
      </c>
      <c r="G10" t="s">
        <v>58</v>
      </c>
      <c r="H10" t="s">
        <v>58</v>
      </c>
      <c r="I10" t="s">
        <v>58</v>
      </c>
      <c r="J10" t="s">
        <v>58</v>
      </c>
      <c r="K10">
        <v>0</v>
      </c>
      <c r="L10" t="s">
        <v>77</v>
      </c>
    </row>
    <row r="11" spans="1:12">
      <c r="A11">
        <v>10</v>
      </c>
      <c r="B11" t="s">
        <v>86</v>
      </c>
      <c r="C11" t="s">
        <v>103</v>
      </c>
      <c r="D11">
        <v>0</v>
      </c>
      <c r="E11" t="s">
        <v>74</v>
      </c>
      <c r="F11">
        <v>3</v>
      </c>
      <c r="G11" t="s">
        <v>58</v>
      </c>
      <c r="H11" t="s">
        <v>58</v>
      </c>
      <c r="I11" t="s">
        <v>58</v>
      </c>
      <c r="J11" t="s">
        <v>58</v>
      </c>
      <c r="K11">
        <v>0</v>
      </c>
      <c r="L11" t="s">
        <v>77</v>
      </c>
    </row>
    <row r="12" spans="1:12">
      <c r="A12">
        <v>11</v>
      </c>
      <c r="B12" t="s">
        <v>104</v>
      </c>
      <c r="C12" t="s">
        <v>90</v>
      </c>
      <c r="D12">
        <v>2</v>
      </c>
      <c r="E12" t="s">
        <v>74</v>
      </c>
      <c r="F12">
        <v>3</v>
      </c>
      <c r="G12" t="s">
        <v>58</v>
      </c>
      <c r="H12" t="s">
        <v>58</v>
      </c>
      <c r="I12" t="s">
        <v>105</v>
      </c>
      <c r="J12" t="s">
        <v>106</v>
      </c>
      <c r="K12">
        <v>0</v>
      </c>
      <c r="L12" t="s">
        <v>77</v>
      </c>
    </row>
    <row r="13" spans="1:12">
      <c r="A13">
        <v>12</v>
      </c>
      <c r="B13" t="s">
        <v>107</v>
      </c>
      <c r="C13" t="s">
        <v>108</v>
      </c>
      <c r="D13">
        <v>2</v>
      </c>
      <c r="E13" t="s">
        <v>74</v>
      </c>
      <c r="F13">
        <v>3</v>
      </c>
      <c r="G13" t="s">
        <v>58</v>
      </c>
      <c r="H13" t="s">
        <v>58</v>
      </c>
      <c r="I13" t="s">
        <v>109</v>
      </c>
      <c r="J13" t="s">
        <v>110</v>
      </c>
      <c r="K13">
        <v>0</v>
      </c>
      <c r="L13" t="s">
        <v>77</v>
      </c>
    </row>
    <row r="14" spans="1:12">
      <c r="A14">
        <v>13</v>
      </c>
      <c r="B14" t="s">
        <v>101</v>
      </c>
      <c r="C14" t="s">
        <v>111</v>
      </c>
      <c r="D14">
        <v>2</v>
      </c>
      <c r="E14" t="s">
        <v>74</v>
      </c>
      <c r="F14">
        <v>3</v>
      </c>
      <c r="G14" t="s">
        <v>58</v>
      </c>
      <c r="H14" t="s">
        <v>58</v>
      </c>
      <c r="I14" t="s">
        <v>112</v>
      </c>
      <c r="J14" t="s">
        <v>113</v>
      </c>
      <c r="K14">
        <v>0</v>
      </c>
      <c r="L14" t="s">
        <v>77</v>
      </c>
    </row>
    <row r="15" spans="1:12">
      <c r="A15">
        <v>14</v>
      </c>
      <c r="B15" t="s">
        <v>94</v>
      </c>
      <c r="C15" t="s">
        <v>114</v>
      </c>
      <c r="D15">
        <v>1</v>
      </c>
      <c r="E15" t="s">
        <v>74</v>
      </c>
      <c r="F15">
        <v>3</v>
      </c>
      <c r="G15" t="s">
        <v>75</v>
      </c>
      <c r="H15" t="s">
        <v>115</v>
      </c>
      <c r="I15" t="s">
        <v>58</v>
      </c>
      <c r="J15" t="s">
        <v>58</v>
      </c>
      <c r="K15">
        <v>0</v>
      </c>
      <c r="L15" t="s">
        <v>77</v>
      </c>
    </row>
    <row r="16" spans="1:12">
      <c r="A16">
        <v>15</v>
      </c>
      <c r="B16" t="s">
        <v>101</v>
      </c>
      <c r="C16" t="s">
        <v>116</v>
      </c>
      <c r="D16">
        <v>1</v>
      </c>
      <c r="E16" t="s">
        <v>74</v>
      </c>
      <c r="F16">
        <v>3</v>
      </c>
      <c r="G16" t="s">
        <v>109</v>
      </c>
      <c r="H16" t="s">
        <v>117</v>
      </c>
      <c r="I16" t="s">
        <v>58</v>
      </c>
      <c r="J16" t="s">
        <v>58</v>
      </c>
      <c r="K16">
        <v>0</v>
      </c>
      <c r="L16" t="s">
        <v>77</v>
      </c>
    </row>
    <row r="17" spans="1:12">
      <c r="A17">
        <v>16</v>
      </c>
      <c r="B17" t="s">
        <v>101</v>
      </c>
      <c r="C17" t="s">
        <v>118</v>
      </c>
      <c r="D17">
        <v>1</v>
      </c>
      <c r="E17" t="s">
        <v>74</v>
      </c>
      <c r="F17">
        <v>3</v>
      </c>
      <c r="G17" t="s">
        <v>109</v>
      </c>
      <c r="H17" t="s">
        <v>119</v>
      </c>
      <c r="I17" t="s">
        <v>58</v>
      </c>
      <c r="J17" t="s">
        <v>58</v>
      </c>
      <c r="K17">
        <v>0</v>
      </c>
      <c r="L17" t="s">
        <v>77</v>
      </c>
    </row>
    <row r="18" spans="1:12">
      <c r="A18">
        <v>17</v>
      </c>
      <c r="B18" t="s">
        <v>94</v>
      </c>
      <c r="C18" t="s">
        <v>120</v>
      </c>
      <c r="D18">
        <v>2</v>
      </c>
      <c r="E18" t="s">
        <v>74</v>
      </c>
      <c r="F18">
        <v>3</v>
      </c>
      <c r="G18" t="s">
        <v>58</v>
      </c>
      <c r="H18" t="s">
        <v>58</v>
      </c>
      <c r="I18" t="s">
        <v>121</v>
      </c>
      <c r="J18" t="s">
        <v>122</v>
      </c>
      <c r="K18">
        <v>0</v>
      </c>
      <c r="L18" t="s">
        <v>77</v>
      </c>
    </row>
    <row r="19" spans="1:12">
      <c r="A19">
        <v>18</v>
      </c>
      <c r="B19" t="s">
        <v>123</v>
      </c>
      <c r="C19" t="s">
        <v>108</v>
      </c>
      <c r="D19">
        <v>2</v>
      </c>
      <c r="E19" t="s">
        <v>74</v>
      </c>
      <c r="F19">
        <v>3</v>
      </c>
      <c r="G19" t="s">
        <v>58</v>
      </c>
      <c r="H19" t="s">
        <v>58</v>
      </c>
      <c r="I19" t="s">
        <v>109</v>
      </c>
      <c r="J19" t="s">
        <v>124</v>
      </c>
      <c r="K19">
        <v>0</v>
      </c>
      <c r="L19" t="s">
        <v>77</v>
      </c>
    </row>
    <row r="20" spans="1:12">
      <c r="A20">
        <v>19</v>
      </c>
      <c r="B20" t="s">
        <v>107</v>
      </c>
      <c r="C20" t="s">
        <v>125</v>
      </c>
      <c r="D20">
        <v>2</v>
      </c>
      <c r="E20" t="s">
        <v>74</v>
      </c>
      <c r="F20">
        <v>3</v>
      </c>
      <c r="G20" t="s">
        <v>58</v>
      </c>
      <c r="H20" t="s">
        <v>58</v>
      </c>
      <c r="I20" t="s">
        <v>126</v>
      </c>
      <c r="J20" t="s">
        <v>127</v>
      </c>
      <c r="K20">
        <v>0</v>
      </c>
      <c r="L20" t="s">
        <v>77</v>
      </c>
    </row>
    <row r="21" spans="1:12">
      <c r="A21">
        <v>20</v>
      </c>
      <c r="B21" t="s">
        <v>94</v>
      </c>
      <c r="C21" t="s">
        <v>128</v>
      </c>
      <c r="D21">
        <v>3</v>
      </c>
      <c r="E21" t="s">
        <v>74</v>
      </c>
      <c r="F21">
        <v>3</v>
      </c>
      <c r="G21" t="s">
        <v>58</v>
      </c>
      <c r="H21" t="s">
        <v>58</v>
      </c>
      <c r="I21" t="s">
        <v>58</v>
      </c>
      <c r="J21" t="s">
        <v>58</v>
      </c>
      <c r="K21">
        <v>0</v>
      </c>
      <c r="L21" t="s">
        <v>77</v>
      </c>
    </row>
    <row r="22" spans="1:12">
      <c r="A22">
        <v>21</v>
      </c>
      <c r="B22" t="s">
        <v>107</v>
      </c>
      <c r="C22" t="s">
        <v>129</v>
      </c>
      <c r="D22">
        <v>3</v>
      </c>
      <c r="E22" t="s">
        <v>74</v>
      </c>
      <c r="F22">
        <v>3</v>
      </c>
      <c r="G22" t="s">
        <v>58</v>
      </c>
      <c r="H22" t="s">
        <v>58</v>
      </c>
      <c r="I22" t="s">
        <v>58</v>
      </c>
      <c r="J22" t="s">
        <v>58</v>
      </c>
      <c r="K22">
        <v>0</v>
      </c>
      <c r="L22" t="s">
        <v>77</v>
      </c>
    </row>
    <row r="23" spans="1:12">
      <c r="A23">
        <v>22</v>
      </c>
      <c r="B23" t="s">
        <v>104</v>
      </c>
      <c r="C23" t="s">
        <v>130</v>
      </c>
      <c r="D23">
        <v>3</v>
      </c>
      <c r="E23" t="s">
        <v>74</v>
      </c>
      <c r="F23">
        <v>3</v>
      </c>
      <c r="G23" t="s">
        <v>58</v>
      </c>
      <c r="H23" t="s">
        <v>58</v>
      </c>
      <c r="I23" t="s">
        <v>58</v>
      </c>
      <c r="J23" t="s">
        <v>58</v>
      </c>
      <c r="K23">
        <v>0</v>
      </c>
      <c r="L23" t="s">
        <v>77</v>
      </c>
    </row>
    <row r="24" spans="1:12">
      <c r="A24">
        <v>23</v>
      </c>
      <c r="B24" t="s">
        <v>131</v>
      </c>
      <c r="C24" t="s">
        <v>132</v>
      </c>
      <c r="D24">
        <v>1</v>
      </c>
      <c r="E24" t="s">
        <v>74</v>
      </c>
      <c r="F24">
        <v>3</v>
      </c>
      <c r="G24" t="s">
        <v>75</v>
      </c>
      <c r="H24" t="s">
        <v>76</v>
      </c>
      <c r="I24" t="s">
        <v>58</v>
      </c>
      <c r="J24" t="s">
        <v>58</v>
      </c>
      <c r="K24">
        <v>0</v>
      </c>
      <c r="L24" t="s">
        <v>77</v>
      </c>
    </row>
    <row r="25" spans="1:12">
      <c r="A25">
        <v>24</v>
      </c>
      <c r="B25" t="s">
        <v>133</v>
      </c>
      <c r="C25" t="s">
        <v>134</v>
      </c>
      <c r="D25">
        <v>1</v>
      </c>
      <c r="E25" t="s">
        <v>74</v>
      </c>
      <c r="F25">
        <v>3</v>
      </c>
      <c r="G25" t="s">
        <v>109</v>
      </c>
      <c r="H25" t="s">
        <v>135</v>
      </c>
      <c r="I25" t="s">
        <v>58</v>
      </c>
      <c r="J25" t="s">
        <v>58</v>
      </c>
      <c r="K25">
        <v>0</v>
      </c>
      <c r="L25" t="s">
        <v>77</v>
      </c>
    </row>
    <row r="26" spans="1:12">
      <c r="A26">
        <v>25</v>
      </c>
      <c r="B26" t="s">
        <v>131</v>
      </c>
      <c r="C26" t="s">
        <v>136</v>
      </c>
      <c r="D26">
        <v>1</v>
      </c>
      <c r="E26" t="s">
        <v>74</v>
      </c>
      <c r="F26">
        <v>3</v>
      </c>
      <c r="G26" t="s">
        <v>109</v>
      </c>
      <c r="H26" t="s">
        <v>137</v>
      </c>
      <c r="I26" t="s">
        <v>58</v>
      </c>
      <c r="J26" t="s">
        <v>58</v>
      </c>
      <c r="K26">
        <v>0</v>
      </c>
      <c r="L26" t="s">
        <v>77</v>
      </c>
    </row>
    <row r="27" spans="1:12">
      <c r="A27">
        <v>26</v>
      </c>
      <c r="B27" t="s">
        <v>98</v>
      </c>
      <c r="C27" t="s">
        <v>128</v>
      </c>
      <c r="D27">
        <v>2</v>
      </c>
      <c r="E27" t="s">
        <v>138</v>
      </c>
      <c r="F27">
        <v>3</v>
      </c>
      <c r="G27" t="s">
        <v>58</v>
      </c>
      <c r="H27" t="s">
        <v>58</v>
      </c>
      <c r="I27" t="s">
        <v>119</v>
      </c>
      <c r="J27" t="s">
        <v>139</v>
      </c>
      <c r="K27">
        <v>0</v>
      </c>
      <c r="L27" t="s">
        <v>77</v>
      </c>
    </row>
    <row r="28" spans="1:12">
      <c r="A28">
        <v>27</v>
      </c>
      <c r="B28" t="s">
        <v>131</v>
      </c>
      <c r="C28" t="s">
        <v>140</v>
      </c>
      <c r="D28">
        <v>2</v>
      </c>
      <c r="E28" t="s">
        <v>138</v>
      </c>
      <c r="F28">
        <v>3</v>
      </c>
      <c r="G28" t="s">
        <v>58</v>
      </c>
      <c r="H28" t="s">
        <v>58</v>
      </c>
      <c r="I28" t="s">
        <v>141</v>
      </c>
      <c r="J28" t="s">
        <v>142</v>
      </c>
      <c r="K28">
        <v>0</v>
      </c>
      <c r="L28" t="s">
        <v>77</v>
      </c>
    </row>
    <row r="29" spans="1:12">
      <c r="A29">
        <v>28</v>
      </c>
      <c r="B29" t="s">
        <v>131</v>
      </c>
      <c r="C29" t="s">
        <v>143</v>
      </c>
      <c r="D29">
        <v>3</v>
      </c>
      <c r="E29" t="s">
        <v>138</v>
      </c>
      <c r="F29">
        <v>3</v>
      </c>
      <c r="G29" t="s">
        <v>58</v>
      </c>
      <c r="H29" t="s">
        <v>58</v>
      </c>
      <c r="I29" t="s">
        <v>58</v>
      </c>
      <c r="J29" t="s">
        <v>58</v>
      </c>
      <c r="K29">
        <v>0</v>
      </c>
      <c r="L29" t="s">
        <v>77</v>
      </c>
    </row>
    <row r="30" spans="1:12">
      <c r="A30">
        <v>29</v>
      </c>
      <c r="B30" t="s">
        <v>133</v>
      </c>
      <c r="C30" t="s">
        <v>144</v>
      </c>
      <c r="D30">
        <v>3</v>
      </c>
      <c r="E30" t="s">
        <v>138</v>
      </c>
      <c r="F30">
        <v>3</v>
      </c>
      <c r="G30" t="s">
        <v>58</v>
      </c>
      <c r="H30" t="s">
        <v>58</v>
      </c>
      <c r="I30" t="s">
        <v>58</v>
      </c>
      <c r="J30" t="s">
        <v>58</v>
      </c>
      <c r="K30">
        <v>0</v>
      </c>
      <c r="L30" t="s">
        <v>77</v>
      </c>
    </row>
    <row r="31" spans="1:12">
      <c r="A31">
        <v>30</v>
      </c>
      <c r="B31" t="s">
        <v>133</v>
      </c>
      <c r="C31" t="s">
        <v>145</v>
      </c>
      <c r="D31">
        <v>3</v>
      </c>
      <c r="E31" t="s">
        <v>138</v>
      </c>
      <c r="F31">
        <v>3</v>
      </c>
      <c r="G31" t="s">
        <v>58</v>
      </c>
      <c r="H31" t="s">
        <v>58</v>
      </c>
      <c r="I31" t="s">
        <v>58</v>
      </c>
      <c r="J31" t="s">
        <v>58</v>
      </c>
      <c r="K31">
        <v>0</v>
      </c>
      <c r="L31" t="s">
        <v>77</v>
      </c>
    </row>
    <row r="32" spans="1:12">
      <c r="A32">
        <v>31</v>
      </c>
      <c r="B32" t="s">
        <v>131</v>
      </c>
      <c r="C32" t="s">
        <v>146</v>
      </c>
      <c r="D32">
        <v>1</v>
      </c>
      <c r="E32" t="s">
        <v>147</v>
      </c>
      <c r="F32">
        <v>3</v>
      </c>
      <c r="G32" t="s">
        <v>148</v>
      </c>
      <c r="H32" t="s">
        <v>149</v>
      </c>
      <c r="I32" t="s">
        <v>58</v>
      </c>
      <c r="J32" t="s">
        <v>58</v>
      </c>
      <c r="K32">
        <v>0</v>
      </c>
      <c r="L32" t="s">
        <v>77</v>
      </c>
    </row>
    <row r="33" spans="1:12">
      <c r="A33">
        <v>32</v>
      </c>
      <c r="B33" t="s">
        <v>131</v>
      </c>
      <c r="C33" t="s">
        <v>150</v>
      </c>
      <c r="D33">
        <v>1</v>
      </c>
      <c r="E33" t="s">
        <v>147</v>
      </c>
      <c r="F33">
        <v>3</v>
      </c>
      <c r="G33" t="s">
        <v>109</v>
      </c>
      <c r="H33" t="s">
        <v>151</v>
      </c>
      <c r="I33" t="s">
        <v>58</v>
      </c>
      <c r="J33" t="s">
        <v>58</v>
      </c>
      <c r="K33">
        <v>0</v>
      </c>
      <c r="L33" t="s">
        <v>77</v>
      </c>
    </row>
    <row r="34" spans="1:12">
      <c r="A34">
        <v>33</v>
      </c>
      <c r="B34" t="s">
        <v>131</v>
      </c>
      <c r="C34" t="s">
        <v>102</v>
      </c>
      <c r="D34">
        <v>1</v>
      </c>
      <c r="E34" t="s">
        <v>147</v>
      </c>
      <c r="F34">
        <v>3</v>
      </c>
      <c r="G34" t="s">
        <v>109</v>
      </c>
      <c r="H34" t="s">
        <v>117</v>
      </c>
      <c r="I34" t="s">
        <v>58</v>
      </c>
      <c r="J34" t="s">
        <v>58</v>
      </c>
      <c r="K34">
        <v>0</v>
      </c>
      <c r="L34" t="s">
        <v>77</v>
      </c>
    </row>
    <row r="35" spans="1:12">
      <c r="A35">
        <v>34</v>
      </c>
      <c r="B35" t="s">
        <v>98</v>
      </c>
      <c r="C35" t="s">
        <v>152</v>
      </c>
      <c r="D35">
        <v>2</v>
      </c>
      <c r="E35" t="s">
        <v>147</v>
      </c>
      <c r="F35">
        <v>3</v>
      </c>
      <c r="G35" t="s">
        <v>58</v>
      </c>
      <c r="H35" t="s">
        <v>58</v>
      </c>
      <c r="I35" t="s">
        <v>153</v>
      </c>
      <c r="J35" t="s">
        <v>154</v>
      </c>
      <c r="K35">
        <v>0</v>
      </c>
      <c r="L35" t="s">
        <v>77</v>
      </c>
    </row>
    <row r="36" spans="1:12">
      <c r="A36">
        <v>35</v>
      </c>
      <c r="B36" t="s">
        <v>133</v>
      </c>
      <c r="C36" t="s">
        <v>155</v>
      </c>
      <c r="D36">
        <v>2</v>
      </c>
      <c r="E36" t="s">
        <v>147</v>
      </c>
      <c r="F36">
        <v>3</v>
      </c>
      <c r="G36" t="s">
        <v>58</v>
      </c>
      <c r="H36" t="s">
        <v>58</v>
      </c>
      <c r="I36" t="s">
        <v>105</v>
      </c>
      <c r="J36" t="s">
        <v>156</v>
      </c>
      <c r="K36">
        <v>0</v>
      </c>
      <c r="L36" t="s">
        <v>77</v>
      </c>
    </row>
    <row r="37" spans="1:12">
      <c r="A37">
        <v>36</v>
      </c>
      <c r="B37" t="s">
        <v>107</v>
      </c>
      <c r="C37" t="s">
        <v>157</v>
      </c>
      <c r="D37">
        <v>3</v>
      </c>
      <c r="E37" t="s">
        <v>158</v>
      </c>
      <c r="F37">
        <v>3</v>
      </c>
      <c r="G37" t="s">
        <v>58</v>
      </c>
      <c r="H37" t="s">
        <v>58</v>
      </c>
      <c r="I37" t="s">
        <v>58</v>
      </c>
      <c r="J37" t="s">
        <v>58</v>
      </c>
      <c r="K37">
        <v>0</v>
      </c>
      <c r="L37" t="s">
        <v>77</v>
      </c>
    </row>
    <row r="38" spans="1:12">
      <c r="A38">
        <v>37</v>
      </c>
      <c r="B38" t="s">
        <v>98</v>
      </c>
      <c r="C38" t="s">
        <v>159</v>
      </c>
      <c r="D38">
        <v>3</v>
      </c>
      <c r="E38" t="s">
        <v>158</v>
      </c>
      <c r="F38">
        <v>3</v>
      </c>
      <c r="G38" t="s">
        <v>58</v>
      </c>
      <c r="H38" t="s">
        <v>58</v>
      </c>
      <c r="I38" t="s">
        <v>58</v>
      </c>
      <c r="J38" t="s">
        <v>58</v>
      </c>
      <c r="K38">
        <v>0</v>
      </c>
      <c r="L38" t="s">
        <v>77</v>
      </c>
    </row>
    <row r="39" spans="1:12">
      <c r="A39">
        <v>38</v>
      </c>
      <c r="B39" t="s">
        <v>131</v>
      </c>
      <c r="C39" t="s">
        <v>160</v>
      </c>
      <c r="D39">
        <v>0</v>
      </c>
      <c r="E39" t="s">
        <v>158</v>
      </c>
      <c r="F39">
        <v>3</v>
      </c>
      <c r="G39" t="s">
        <v>58</v>
      </c>
      <c r="H39" t="s">
        <v>58</v>
      </c>
      <c r="I39" t="s">
        <v>58</v>
      </c>
      <c r="J39" t="s">
        <v>58</v>
      </c>
      <c r="K39">
        <v>0</v>
      </c>
      <c r="L39" t="s">
        <v>77</v>
      </c>
    </row>
    <row r="40" spans="1:12">
      <c r="A40">
        <v>39</v>
      </c>
      <c r="B40" t="s">
        <v>131</v>
      </c>
      <c r="C40" t="s">
        <v>161</v>
      </c>
      <c r="D40">
        <v>0</v>
      </c>
      <c r="E40" t="s">
        <v>158</v>
      </c>
      <c r="F40">
        <v>3</v>
      </c>
      <c r="G40" t="s">
        <v>58</v>
      </c>
      <c r="H40" t="s">
        <v>58</v>
      </c>
      <c r="I40" t="s">
        <v>58</v>
      </c>
      <c r="J40" t="s">
        <v>58</v>
      </c>
      <c r="K40">
        <v>0</v>
      </c>
      <c r="L40" t="s">
        <v>77</v>
      </c>
    </row>
    <row r="41" spans="1:12">
      <c r="A41">
        <v>40</v>
      </c>
      <c r="B41" t="s">
        <v>131</v>
      </c>
      <c r="C41" t="s">
        <v>143</v>
      </c>
      <c r="D41">
        <v>1</v>
      </c>
      <c r="E41" t="s">
        <v>158</v>
      </c>
      <c r="F41">
        <v>3</v>
      </c>
      <c r="G41" t="s">
        <v>162</v>
      </c>
      <c r="H41" t="s">
        <v>163</v>
      </c>
      <c r="I41" t="s">
        <v>58</v>
      </c>
      <c r="J41" t="s">
        <v>58</v>
      </c>
      <c r="K41">
        <v>0</v>
      </c>
      <c r="L41" t="s">
        <v>77</v>
      </c>
    </row>
    <row r="42" spans="1:12">
      <c r="A42">
        <v>41</v>
      </c>
      <c r="B42" t="s">
        <v>133</v>
      </c>
      <c r="C42" t="s">
        <v>164</v>
      </c>
      <c r="D42">
        <v>1</v>
      </c>
      <c r="E42" t="s">
        <v>165</v>
      </c>
      <c r="F42">
        <v>3</v>
      </c>
      <c r="G42" t="s">
        <v>166</v>
      </c>
      <c r="H42" t="s">
        <v>167</v>
      </c>
      <c r="I42" t="s">
        <v>58</v>
      </c>
      <c r="J42" t="s">
        <v>58</v>
      </c>
      <c r="K42">
        <v>0</v>
      </c>
      <c r="L42" t="s">
        <v>77</v>
      </c>
    </row>
    <row r="43" spans="1:12">
      <c r="A43">
        <v>42</v>
      </c>
      <c r="B43" t="s">
        <v>131</v>
      </c>
      <c r="C43" t="s">
        <v>168</v>
      </c>
      <c r="D43">
        <v>2</v>
      </c>
      <c r="E43" t="s">
        <v>165</v>
      </c>
      <c r="F43">
        <v>3</v>
      </c>
      <c r="G43" t="s">
        <v>58</v>
      </c>
      <c r="H43" t="s">
        <v>58</v>
      </c>
      <c r="I43" t="s">
        <v>109</v>
      </c>
      <c r="J43" t="s">
        <v>169</v>
      </c>
      <c r="K43">
        <v>0</v>
      </c>
      <c r="L43" t="s">
        <v>77</v>
      </c>
    </row>
    <row r="44" spans="1:12">
      <c r="A44">
        <v>43</v>
      </c>
      <c r="B44" t="s">
        <v>131</v>
      </c>
      <c r="C44" t="s">
        <v>170</v>
      </c>
      <c r="D44">
        <v>2</v>
      </c>
      <c r="E44" t="s">
        <v>165</v>
      </c>
      <c r="F44">
        <v>3</v>
      </c>
      <c r="G44" t="s">
        <v>58</v>
      </c>
      <c r="H44" t="s">
        <v>58</v>
      </c>
      <c r="I44" t="s">
        <v>112</v>
      </c>
      <c r="J44" t="s">
        <v>171</v>
      </c>
      <c r="K44">
        <v>0</v>
      </c>
      <c r="L44" t="s">
        <v>77</v>
      </c>
    </row>
    <row r="45" spans="1:12">
      <c r="A45">
        <v>44</v>
      </c>
      <c r="B45" t="s">
        <v>131</v>
      </c>
      <c r="C45" t="s">
        <v>172</v>
      </c>
      <c r="D45">
        <v>4</v>
      </c>
      <c r="E45" t="s">
        <v>165</v>
      </c>
      <c r="F45">
        <v>3</v>
      </c>
      <c r="G45" t="s">
        <v>58</v>
      </c>
      <c r="H45" t="s">
        <v>58</v>
      </c>
      <c r="I45" t="s">
        <v>58</v>
      </c>
      <c r="J45" t="s">
        <v>58</v>
      </c>
      <c r="K45">
        <v>5</v>
      </c>
      <c r="L45" t="s">
        <v>77</v>
      </c>
    </row>
    <row r="46" spans="1:12">
      <c r="A46">
        <v>45</v>
      </c>
      <c r="B46" t="s">
        <v>131</v>
      </c>
      <c r="C46" t="s">
        <v>173</v>
      </c>
      <c r="D46">
        <v>4</v>
      </c>
      <c r="E46" t="s">
        <v>165</v>
      </c>
      <c r="F46">
        <v>3</v>
      </c>
      <c r="G46" t="s">
        <v>58</v>
      </c>
      <c r="H46" t="s">
        <v>58</v>
      </c>
      <c r="I46" t="s">
        <v>58</v>
      </c>
      <c r="J46" t="s">
        <v>58</v>
      </c>
      <c r="K46">
        <v>5</v>
      </c>
      <c r="L46" t="s">
        <v>77</v>
      </c>
    </row>
    <row r="47" spans="1:12">
      <c r="A47">
        <v>46</v>
      </c>
      <c r="B47" t="s">
        <v>131</v>
      </c>
      <c r="C47" t="s">
        <v>174</v>
      </c>
      <c r="D47">
        <v>3</v>
      </c>
      <c r="E47" t="s">
        <v>165</v>
      </c>
      <c r="F47">
        <v>3</v>
      </c>
      <c r="G47" t="s">
        <v>58</v>
      </c>
      <c r="H47" t="s">
        <v>58</v>
      </c>
      <c r="I47" t="s">
        <v>58</v>
      </c>
      <c r="J47" t="s">
        <v>58</v>
      </c>
      <c r="K47">
        <v>0</v>
      </c>
      <c r="L47" t="s">
        <v>77</v>
      </c>
    </row>
    <row r="48" spans="1:12">
      <c r="A48">
        <v>47</v>
      </c>
      <c r="B48" t="s">
        <v>131</v>
      </c>
      <c r="C48" t="s">
        <v>175</v>
      </c>
      <c r="D48">
        <v>3</v>
      </c>
      <c r="E48" t="s">
        <v>165</v>
      </c>
      <c r="F48">
        <v>3</v>
      </c>
      <c r="G48" t="s">
        <v>58</v>
      </c>
      <c r="H48" t="s">
        <v>58</v>
      </c>
      <c r="I48" t="s">
        <v>58</v>
      </c>
      <c r="J48" t="s">
        <v>58</v>
      </c>
      <c r="K48">
        <v>0</v>
      </c>
      <c r="L48" t="s">
        <v>77</v>
      </c>
    </row>
    <row r="49" spans="1:12">
      <c r="A49">
        <v>48</v>
      </c>
      <c r="B49" t="s">
        <v>131</v>
      </c>
      <c r="C49" t="s">
        <v>176</v>
      </c>
      <c r="D49">
        <v>2</v>
      </c>
      <c r="E49" t="s">
        <v>165</v>
      </c>
      <c r="F49">
        <v>3</v>
      </c>
      <c r="G49" t="s">
        <v>58</v>
      </c>
      <c r="H49" t="s">
        <v>58</v>
      </c>
      <c r="I49" t="s">
        <v>177</v>
      </c>
      <c r="J49" t="s">
        <v>178</v>
      </c>
      <c r="K49">
        <v>0</v>
      </c>
      <c r="L49" t="s">
        <v>77</v>
      </c>
    </row>
    <row r="50" spans="1:12">
      <c r="A50">
        <v>49</v>
      </c>
      <c r="B50" t="s">
        <v>133</v>
      </c>
      <c r="C50" t="s">
        <v>95</v>
      </c>
      <c r="D50">
        <v>1</v>
      </c>
      <c r="E50" t="s">
        <v>165</v>
      </c>
      <c r="F50">
        <v>3</v>
      </c>
      <c r="G50" t="s">
        <v>96</v>
      </c>
      <c r="H50" t="s">
        <v>179</v>
      </c>
      <c r="I50" t="s">
        <v>58</v>
      </c>
      <c r="J50" t="s">
        <v>58</v>
      </c>
      <c r="K50">
        <v>0</v>
      </c>
      <c r="L50" t="s">
        <v>77</v>
      </c>
    </row>
    <row r="51" spans="1:12">
      <c r="A51">
        <v>50</v>
      </c>
      <c r="B51" t="s">
        <v>180</v>
      </c>
      <c r="C51" t="s">
        <v>99</v>
      </c>
      <c r="D51">
        <v>1</v>
      </c>
      <c r="E51" t="s">
        <v>165</v>
      </c>
      <c r="F51">
        <v>3</v>
      </c>
      <c r="G51" t="s">
        <v>162</v>
      </c>
      <c r="H51" t="s">
        <v>167</v>
      </c>
      <c r="I51" t="s">
        <v>58</v>
      </c>
      <c r="J51" t="s">
        <v>58</v>
      </c>
      <c r="K51">
        <v>0</v>
      </c>
      <c r="L51" t="s">
        <v>77</v>
      </c>
    </row>
    <row r="52" spans="1:12">
      <c r="A52">
        <v>51</v>
      </c>
      <c r="B52" t="s">
        <v>131</v>
      </c>
      <c r="C52" t="s">
        <v>173</v>
      </c>
      <c r="D52">
        <v>1</v>
      </c>
      <c r="E52" t="s">
        <v>165</v>
      </c>
      <c r="F52">
        <v>3</v>
      </c>
      <c r="G52" t="s">
        <v>109</v>
      </c>
      <c r="H52" t="s">
        <v>181</v>
      </c>
      <c r="I52" t="s">
        <v>58</v>
      </c>
      <c r="J52" t="s">
        <v>58</v>
      </c>
      <c r="K52">
        <v>0</v>
      </c>
      <c r="L52" t="s">
        <v>77</v>
      </c>
    </row>
    <row r="53" spans="1:12">
      <c r="A53">
        <v>52</v>
      </c>
      <c r="B53" t="s">
        <v>131</v>
      </c>
      <c r="C53" t="s">
        <v>182</v>
      </c>
      <c r="D53">
        <v>2</v>
      </c>
      <c r="E53" t="s">
        <v>165</v>
      </c>
      <c r="F53">
        <v>3</v>
      </c>
      <c r="G53" t="s">
        <v>58</v>
      </c>
      <c r="H53" t="s">
        <v>58</v>
      </c>
      <c r="I53" t="s">
        <v>183</v>
      </c>
      <c r="J53" t="s">
        <v>184</v>
      </c>
      <c r="K53">
        <v>0</v>
      </c>
      <c r="L53" t="s">
        <v>77</v>
      </c>
    </row>
    <row r="54" spans="1:12">
      <c r="A54">
        <v>53</v>
      </c>
      <c r="B54" t="s">
        <v>131</v>
      </c>
      <c r="C54" t="s">
        <v>155</v>
      </c>
      <c r="D54">
        <v>2</v>
      </c>
      <c r="E54" t="s">
        <v>165</v>
      </c>
      <c r="F54">
        <v>3</v>
      </c>
      <c r="G54" t="s">
        <v>58</v>
      </c>
      <c r="H54" t="s">
        <v>58</v>
      </c>
      <c r="I54" t="s">
        <v>137</v>
      </c>
      <c r="J54" t="s">
        <v>185</v>
      </c>
      <c r="K54">
        <v>0</v>
      </c>
      <c r="L54" t="s">
        <v>77</v>
      </c>
    </row>
    <row r="55" spans="1:12">
      <c r="A55">
        <v>54</v>
      </c>
      <c r="B55" t="s">
        <v>131</v>
      </c>
      <c r="C55" t="s">
        <v>186</v>
      </c>
      <c r="D55">
        <v>4</v>
      </c>
      <c r="E55" t="s">
        <v>165</v>
      </c>
      <c r="F55">
        <v>3</v>
      </c>
      <c r="G55" t="s">
        <v>58</v>
      </c>
      <c r="H55" t="s">
        <v>58</v>
      </c>
      <c r="I55" t="s">
        <v>58</v>
      </c>
      <c r="J55" t="s">
        <v>58</v>
      </c>
      <c r="K55">
        <v>5</v>
      </c>
      <c r="L55" t="s">
        <v>77</v>
      </c>
    </row>
    <row r="56" spans="1:12">
      <c r="A56">
        <v>55</v>
      </c>
      <c r="B56" t="s">
        <v>131</v>
      </c>
      <c r="C56" t="s">
        <v>187</v>
      </c>
      <c r="D56">
        <v>4</v>
      </c>
      <c r="E56" t="s">
        <v>165</v>
      </c>
      <c r="F56">
        <v>3</v>
      </c>
      <c r="G56" t="s">
        <v>58</v>
      </c>
      <c r="H56" t="s">
        <v>58</v>
      </c>
      <c r="I56" t="s">
        <v>58</v>
      </c>
      <c r="J56" t="s">
        <v>58</v>
      </c>
      <c r="K56">
        <v>5</v>
      </c>
      <c r="L56" t="s">
        <v>77</v>
      </c>
    </row>
    <row r="57" spans="1:12">
      <c r="A57">
        <v>56</v>
      </c>
      <c r="B57" t="s">
        <v>131</v>
      </c>
      <c r="C57" t="s">
        <v>128</v>
      </c>
      <c r="D57">
        <v>2</v>
      </c>
      <c r="E57" t="s">
        <v>165</v>
      </c>
      <c r="F57">
        <v>3</v>
      </c>
      <c r="G57" t="s">
        <v>58</v>
      </c>
      <c r="H57" t="s">
        <v>58</v>
      </c>
      <c r="I57" t="s">
        <v>119</v>
      </c>
      <c r="J57" t="s">
        <v>188</v>
      </c>
      <c r="K57">
        <v>0</v>
      </c>
      <c r="L57" t="s">
        <v>77</v>
      </c>
    </row>
    <row r="58" spans="1:12">
      <c r="A58">
        <v>57</v>
      </c>
      <c r="B58" t="s">
        <v>131</v>
      </c>
      <c r="C58" t="s">
        <v>140</v>
      </c>
      <c r="D58">
        <v>2</v>
      </c>
      <c r="E58" t="s">
        <v>165</v>
      </c>
      <c r="F58">
        <v>3</v>
      </c>
      <c r="G58" t="s">
        <v>58</v>
      </c>
      <c r="H58" t="s">
        <v>58</v>
      </c>
      <c r="I58" t="s">
        <v>141</v>
      </c>
      <c r="J58" t="s">
        <v>189</v>
      </c>
      <c r="K58">
        <v>0</v>
      </c>
      <c r="L58" t="s">
        <v>77</v>
      </c>
    </row>
    <row r="59" spans="1:12">
      <c r="A59">
        <v>58</v>
      </c>
      <c r="B59" t="s">
        <v>133</v>
      </c>
      <c r="C59" t="s">
        <v>190</v>
      </c>
      <c r="D59">
        <v>0</v>
      </c>
      <c r="E59" t="s">
        <v>165</v>
      </c>
      <c r="F59">
        <v>3</v>
      </c>
      <c r="G59" t="s">
        <v>58</v>
      </c>
      <c r="H59" t="s">
        <v>58</v>
      </c>
      <c r="I59" t="s">
        <v>58</v>
      </c>
      <c r="J59" t="s">
        <v>58</v>
      </c>
      <c r="K59">
        <v>0</v>
      </c>
      <c r="L59" t="s">
        <v>77</v>
      </c>
    </row>
    <row r="60" spans="1:12">
      <c r="A60">
        <v>59</v>
      </c>
      <c r="B60" t="s">
        <v>131</v>
      </c>
      <c r="C60" t="s">
        <v>191</v>
      </c>
      <c r="D60">
        <v>0</v>
      </c>
      <c r="E60" t="s">
        <v>165</v>
      </c>
      <c r="F60">
        <v>3</v>
      </c>
      <c r="G60" t="s">
        <v>58</v>
      </c>
      <c r="H60" t="s">
        <v>58</v>
      </c>
      <c r="I60" t="s">
        <v>58</v>
      </c>
      <c r="J60" t="s">
        <v>58</v>
      </c>
      <c r="K60">
        <v>0</v>
      </c>
      <c r="L60" t="s">
        <v>77</v>
      </c>
    </row>
    <row r="61" spans="1:12">
      <c r="A61">
        <v>60</v>
      </c>
      <c r="B61" t="s">
        <v>192</v>
      </c>
      <c r="C61" t="s">
        <v>92</v>
      </c>
      <c r="D61">
        <v>2</v>
      </c>
      <c r="E61" t="s">
        <v>165</v>
      </c>
      <c r="F61">
        <v>3</v>
      </c>
      <c r="G61" t="s">
        <v>58</v>
      </c>
      <c r="H61" t="s">
        <v>58</v>
      </c>
      <c r="I61" t="s">
        <v>109</v>
      </c>
      <c r="J61" t="s">
        <v>156</v>
      </c>
      <c r="K61">
        <v>0</v>
      </c>
      <c r="L61" t="s">
        <v>77</v>
      </c>
    </row>
    <row r="62" spans="1:12">
      <c r="A62">
        <v>61</v>
      </c>
      <c r="B62" t="s">
        <v>192</v>
      </c>
      <c r="C62" t="s">
        <v>95</v>
      </c>
      <c r="D62">
        <v>2</v>
      </c>
      <c r="E62" t="s">
        <v>165</v>
      </c>
      <c r="F62">
        <v>3</v>
      </c>
      <c r="G62" t="s">
        <v>58</v>
      </c>
      <c r="H62" t="s">
        <v>58</v>
      </c>
      <c r="I62" t="s">
        <v>119</v>
      </c>
      <c r="J62" t="s">
        <v>154</v>
      </c>
      <c r="K62">
        <v>0</v>
      </c>
      <c r="L62" t="s">
        <v>77</v>
      </c>
    </row>
    <row r="63" spans="1:12">
      <c r="A63">
        <v>62</v>
      </c>
      <c r="B63" t="s">
        <v>98</v>
      </c>
      <c r="C63" t="s">
        <v>193</v>
      </c>
      <c r="D63">
        <v>2</v>
      </c>
      <c r="E63" t="s">
        <v>165</v>
      </c>
      <c r="F63">
        <v>3</v>
      </c>
      <c r="G63" t="s">
        <v>58</v>
      </c>
      <c r="H63" t="s">
        <v>58</v>
      </c>
      <c r="I63" t="s">
        <v>119</v>
      </c>
      <c r="J63" t="s">
        <v>194</v>
      </c>
      <c r="K63">
        <v>0</v>
      </c>
      <c r="L63" t="s">
        <v>77</v>
      </c>
    </row>
    <row r="64" spans="1:12">
      <c r="A64">
        <v>63</v>
      </c>
      <c r="B64" t="s">
        <v>107</v>
      </c>
      <c r="C64" t="s">
        <v>140</v>
      </c>
      <c r="D64">
        <v>1</v>
      </c>
      <c r="E64" t="s">
        <v>165</v>
      </c>
      <c r="F64">
        <v>3</v>
      </c>
      <c r="G64" t="s">
        <v>75</v>
      </c>
      <c r="H64" t="s">
        <v>76</v>
      </c>
      <c r="I64" t="s">
        <v>141</v>
      </c>
      <c r="J64" t="s">
        <v>195</v>
      </c>
      <c r="K64">
        <v>0</v>
      </c>
      <c r="L64" t="s">
        <v>77</v>
      </c>
    </row>
    <row r="65" spans="1:12">
      <c r="A65">
        <v>64</v>
      </c>
      <c r="B65" t="s">
        <v>196</v>
      </c>
      <c r="C65" t="s">
        <v>102</v>
      </c>
      <c r="D65">
        <v>1</v>
      </c>
      <c r="E65" t="s">
        <v>165</v>
      </c>
      <c r="F65">
        <v>3</v>
      </c>
      <c r="G65" t="s">
        <v>109</v>
      </c>
      <c r="H65" t="s">
        <v>197</v>
      </c>
      <c r="I65" t="s">
        <v>58</v>
      </c>
      <c r="J65" t="s">
        <v>58</v>
      </c>
      <c r="K65">
        <v>0</v>
      </c>
      <c r="L65" t="s">
        <v>77</v>
      </c>
    </row>
    <row r="66" spans="1:12">
      <c r="A66">
        <v>65</v>
      </c>
      <c r="B66" t="s">
        <v>133</v>
      </c>
      <c r="C66" t="s">
        <v>90</v>
      </c>
      <c r="D66">
        <v>1</v>
      </c>
      <c r="E66" t="s">
        <v>165</v>
      </c>
      <c r="F66">
        <v>3</v>
      </c>
      <c r="G66" t="s">
        <v>109</v>
      </c>
      <c r="H66" t="s">
        <v>117</v>
      </c>
      <c r="I66" t="s">
        <v>58</v>
      </c>
      <c r="J66" t="s">
        <v>58</v>
      </c>
      <c r="K66">
        <v>0</v>
      </c>
      <c r="L66" t="s">
        <v>77</v>
      </c>
    </row>
    <row r="67" spans="1:12">
      <c r="A67">
        <v>66</v>
      </c>
      <c r="B67" t="s">
        <v>133</v>
      </c>
      <c r="C67" t="s">
        <v>92</v>
      </c>
      <c r="D67">
        <v>3</v>
      </c>
      <c r="E67" t="s">
        <v>165</v>
      </c>
      <c r="F67">
        <v>3</v>
      </c>
      <c r="G67" t="s">
        <v>58</v>
      </c>
      <c r="H67" t="s">
        <v>58</v>
      </c>
      <c r="I67" t="s">
        <v>58</v>
      </c>
      <c r="J67" t="s">
        <v>58</v>
      </c>
      <c r="K67">
        <v>0</v>
      </c>
      <c r="L67" t="s">
        <v>77</v>
      </c>
    </row>
    <row r="68" spans="1:12">
      <c r="A68">
        <v>67</v>
      </c>
      <c r="B68" t="s">
        <v>198</v>
      </c>
      <c r="C68" t="s">
        <v>95</v>
      </c>
      <c r="D68">
        <v>3</v>
      </c>
      <c r="E68" t="s">
        <v>165</v>
      </c>
      <c r="F68">
        <v>3</v>
      </c>
      <c r="G68" t="s">
        <v>58</v>
      </c>
      <c r="H68" t="s">
        <v>58</v>
      </c>
      <c r="I68" t="s">
        <v>58</v>
      </c>
      <c r="J68" t="s">
        <v>58</v>
      </c>
      <c r="K68">
        <v>0</v>
      </c>
      <c r="L68" t="s">
        <v>77</v>
      </c>
    </row>
    <row r="69" spans="1:12">
      <c r="A69">
        <v>68</v>
      </c>
      <c r="B69" t="s">
        <v>133</v>
      </c>
      <c r="C69" t="s">
        <v>99</v>
      </c>
      <c r="D69">
        <v>4</v>
      </c>
      <c r="E69" t="s">
        <v>165</v>
      </c>
      <c r="F69">
        <v>3</v>
      </c>
      <c r="G69" t="s">
        <v>58</v>
      </c>
      <c r="H69" t="s">
        <v>58</v>
      </c>
      <c r="I69" t="s">
        <v>58</v>
      </c>
      <c r="J69" t="s">
        <v>58</v>
      </c>
      <c r="K69">
        <v>5</v>
      </c>
      <c r="L69" t="s">
        <v>77</v>
      </c>
    </row>
    <row r="70" spans="1:12">
      <c r="A70">
        <v>69</v>
      </c>
      <c r="B70" t="s">
        <v>98</v>
      </c>
      <c r="C70" t="s">
        <v>102</v>
      </c>
      <c r="D70">
        <v>4</v>
      </c>
      <c r="E70" t="s">
        <v>165</v>
      </c>
      <c r="F70">
        <v>3</v>
      </c>
      <c r="G70" t="s">
        <v>58</v>
      </c>
      <c r="H70" t="s">
        <v>58</v>
      </c>
      <c r="I70" t="s">
        <v>58</v>
      </c>
      <c r="J70" t="s">
        <v>58</v>
      </c>
      <c r="K70">
        <v>5</v>
      </c>
      <c r="L70" t="s">
        <v>77</v>
      </c>
    </row>
    <row r="71" spans="1:12">
      <c r="A71">
        <v>70</v>
      </c>
      <c r="B71" t="s">
        <v>131</v>
      </c>
      <c r="C71" t="s">
        <v>143</v>
      </c>
      <c r="D71">
        <v>2</v>
      </c>
      <c r="E71" t="s">
        <v>165</v>
      </c>
      <c r="F71">
        <v>3</v>
      </c>
      <c r="G71" t="s">
        <v>58</v>
      </c>
      <c r="H71" t="s">
        <v>58</v>
      </c>
      <c r="I71" t="s">
        <v>199</v>
      </c>
      <c r="J71" t="s">
        <v>200</v>
      </c>
      <c r="K71">
        <v>0</v>
      </c>
      <c r="L71" t="s">
        <v>77</v>
      </c>
    </row>
    <row r="72" spans="1:12">
      <c r="A72">
        <v>71</v>
      </c>
      <c r="B72" t="s">
        <v>192</v>
      </c>
      <c r="C72" t="s">
        <v>201</v>
      </c>
      <c r="D72">
        <v>2</v>
      </c>
      <c r="E72" t="s">
        <v>165</v>
      </c>
      <c r="F72">
        <v>3</v>
      </c>
      <c r="G72" t="s">
        <v>58</v>
      </c>
      <c r="H72" t="s">
        <v>58</v>
      </c>
      <c r="I72" t="s">
        <v>183</v>
      </c>
      <c r="J72" t="s">
        <v>202</v>
      </c>
      <c r="K72">
        <v>0</v>
      </c>
      <c r="L72" t="s">
        <v>77</v>
      </c>
    </row>
    <row r="73" spans="1:12">
      <c r="A73">
        <v>72</v>
      </c>
      <c r="B73" t="s">
        <v>192</v>
      </c>
      <c r="C73" t="s">
        <v>203</v>
      </c>
      <c r="D73">
        <v>2</v>
      </c>
      <c r="E73" t="s">
        <v>165</v>
      </c>
      <c r="F73">
        <v>3</v>
      </c>
      <c r="G73" t="s">
        <v>58</v>
      </c>
      <c r="H73" t="s">
        <v>58</v>
      </c>
      <c r="I73" t="s">
        <v>109</v>
      </c>
      <c r="J73" t="s">
        <v>194</v>
      </c>
      <c r="K73">
        <v>0</v>
      </c>
      <c r="L73" t="s">
        <v>77</v>
      </c>
    </row>
    <row r="74" spans="1:12">
      <c r="A74">
        <v>73</v>
      </c>
      <c r="B74" t="s">
        <v>131</v>
      </c>
      <c r="C74" t="s">
        <v>204</v>
      </c>
      <c r="D74">
        <v>2</v>
      </c>
      <c r="E74" t="s">
        <v>165</v>
      </c>
      <c r="F74">
        <v>3</v>
      </c>
      <c r="G74" t="s">
        <v>58</v>
      </c>
      <c r="H74" t="s">
        <v>58</v>
      </c>
      <c r="I74" t="s">
        <v>112</v>
      </c>
      <c r="J74" t="s">
        <v>205</v>
      </c>
      <c r="K74">
        <v>0</v>
      </c>
      <c r="L74" t="s">
        <v>77</v>
      </c>
    </row>
    <row r="75" spans="1:12">
      <c r="A75">
        <v>74</v>
      </c>
      <c r="B75" t="s">
        <v>131</v>
      </c>
      <c r="C75" t="s">
        <v>99</v>
      </c>
      <c r="D75">
        <v>1</v>
      </c>
      <c r="E75" t="s">
        <v>165</v>
      </c>
      <c r="F75">
        <v>3</v>
      </c>
      <c r="G75" t="s">
        <v>162</v>
      </c>
      <c r="H75" t="s">
        <v>167</v>
      </c>
      <c r="I75" t="s">
        <v>58</v>
      </c>
      <c r="J75" t="s">
        <v>58</v>
      </c>
      <c r="K75">
        <v>0</v>
      </c>
      <c r="L75" t="s">
        <v>77</v>
      </c>
    </row>
    <row r="76" spans="1:12">
      <c r="A76">
        <v>75</v>
      </c>
      <c r="B76" t="s">
        <v>131</v>
      </c>
      <c r="C76" t="s">
        <v>193</v>
      </c>
      <c r="D76">
        <v>1</v>
      </c>
      <c r="E76" t="s">
        <v>165</v>
      </c>
      <c r="F76">
        <v>3</v>
      </c>
      <c r="G76" t="s">
        <v>166</v>
      </c>
      <c r="H76" t="s">
        <v>167</v>
      </c>
      <c r="I76" t="s">
        <v>58</v>
      </c>
      <c r="J76" t="s">
        <v>58</v>
      </c>
      <c r="K76">
        <v>0</v>
      </c>
      <c r="L76" t="s">
        <v>77</v>
      </c>
    </row>
    <row r="77" spans="1:12">
      <c r="A77">
        <v>76</v>
      </c>
      <c r="B77" t="s">
        <v>131</v>
      </c>
      <c r="C77" t="s">
        <v>190</v>
      </c>
      <c r="D77">
        <v>3</v>
      </c>
      <c r="E77" t="s">
        <v>165</v>
      </c>
      <c r="F77">
        <v>3</v>
      </c>
      <c r="G77" t="s">
        <v>58</v>
      </c>
      <c r="H77" t="s">
        <v>58</v>
      </c>
      <c r="I77" t="s">
        <v>58</v>
      </c>
      <c r="J77" t="s">
        <v>58</v>
      </c>
      <c r="K77">
        <v>0</v>
      </c>
      <c r="L77" t="s">
        <v>77</v>
      </c>
    </row>
    <row r="78" spans="1:12">
      <c r="A78">
        <v>77</v>
      </c>
      <c r="B78" t="s">
        <v>131</v>
      </c>
      <c r="C78" t="s">
        <v>143</v>
      </c>
      <c r="D78">
        <v>3</v>
      </c>
      <c r="E78" t="s">
        <v>165</v>
      </c>
      <c r="F78">
        <v>3</v>
      </c>
      <c r="G78" t="s">
        <v>58</v>
      </c>
      <c r="H78" t="s">
        <v>58</v>
      </c>
      <c r="I78" t="s">
        <v>58</v>
      </c>
      <c r="J78" t="s">
        <v>58</v>
      </c>
      <c r="K78">
        <v>0</v>
      </c>
      <c r="L78" t="s">
        <v>77</v>
      </c>
    </row>
    <row r="79" spans="1:12">
      <c r="A79">
        <v>78</v>
      </c>
      <c r="B79" t="s">
        <v>131</v>
      </c>
      <c r="C79" t="s">
        <v>206</v>
      </c>
      <c r="D79">
        <v>4</v>
      </c>
      <c r="E79" t="s">
        <v>165</v>
      </c>
      <c r="F79">
        <v>3</v>
      </c>
      <c r="G79" t="s">
        <v>58</v>
      </c>
      <c r="H79" t="s">
        <v>58</v>
      </c>
      <c r="I79" t="s">
        <v>58</v>
      </c>
      <c r="J79" t="s">
        <v>58</v>
      </c>
      <c r="K79">
        <v>5</v>
      </c>
      <c r="L79" t="s">
        <v>77</v>
      </c>
    </row>
    <row r="80" spans="1:12">
      <c r="A80">
        <v>79</v>
      </c>
      <c r="B80" t="s">
        <v>131</v>
      </c>
      <c r="C80" t="s">
        <v>207</v>
      </c>
      <c r="D80">
        <v>4</v>
      </c>
      <c r="E80" t="s">
        <v>165</v>
      </c>
      <c r="F80">
        <v>3</v>
      </c>
      <c r="G80" t="s">
        <v>58</v>
      </c>
      <c r="H80" t="s">
        <v>58</v>
      </c>
      <c r="I80" t="s">
        <v>58</v>
      </c>
      <c r="J80" t="s">
        <v>58</v>
      </c>
      <c r="K80">
        <v>5</v>
      </c>
      <c r="L80" t="s">
        <v>77</v>
      </c>
    </row>
    <row r="81" spans="1:12">
      <c r="A81">
        <v>80</v>
      </c>
      <c r="B81" t="s">
        <v>192</v>
      </c>
      <c r="C81" t="s">
        <v>208</v>
      </c>
      <c r="D81">
        <v>2</v>
      </c>
      <c r="E81" t="s">
        <v>165</v>
      </c>
      <c r="F81">
        <v>3</v>
      </c>
      <c r="G81" t="s">
        <v>58</v>
      </c>
      <c r="H81" t="s">
        <v>58</v>
      </c>
      <c r="I81" t="s">
        <v>119</v>
      </c>
      <c r="J81" t="s">
        <v>209</v>
      </c>
      <c r="K81">
        <v>0</v>
      </c>
      <c r="L81" t="s">
        <v>77</v>
      </c>
    </row>
    <row r="82" spans="1:12">
      <c r="A82">
        <v>81</v>
      </c>
      <c r="B82" t="s">
        <v>192</v>
      </c>
      <c r="C82" t="s">
        <v>210</v>
      </c>
      <c r="D82">
        <v>2</v>
      </c>
      <c r="E82" t="s">
        <v>165</v>
      </c>
      <c r="F82">
        <v>3</v>
      </c>
      <c r="G82" t="s">
        <v>58</v>
      </c>
      <c r="H82" t="s">
        <v>58</v>
      </c>
      <c r="I82" t="s">
        <v>211</v>
      </c>
      <c r="J82" t="s">
        <v>212</v>
      </c>
      <c r="K82">
        <v>0</v>
      </c>
      <c r="L82" t="s">
        <v>77</v>
      </c>
    </row>
    <row r="83" spans="1:12">
      <c r="A83">
        <v>82</v>
      </c>
      <c r="B83" t="s">
        <v>131</v>
      </c>
      <c r="C83" t="s">
        <v>213</v>
      </c>
      <c r="D83">
        <v>2</v>
      </c>
      <c r="E83" t="s">
        <v>165</v>
      </c>
      <c r="F83">
        <v>3</v>
      </c>
      <c r="G83" t="s">
        <v>58</v>
      </c>
      <c r="H83" t="s">
        <v>58</v>
      </c>
      <c r="I83" t="s">
        <v>214</v>
      </c>
      <c r="J83" t="s">
        <v>209</v>
      </c>
      <c r="K83">
        <v>0</v>
      </c>
      <c r="L83" t="s">
        <v>77</v>
      </c>
    </row>
    <row r="84" spans="1:12">
      <c r="A84">
        <v>83</v>
      </c>
      <c r="B84" t="s">
        <v>131</v>
      </c>
      <c r="C84" t="s">
        <v>215</v>
      </c>
      <c r="D84">
        <v>2</v>
      </c>
      <c r="E84" t="s">
        <v>165</v>
      </c>
      <c r="F84">
        <v>3</v>
      </c>
      <c r="G84" t="s">
        <v>58</v>
      </c>
      <c r="H84" t="s">
        <v>58</v>
      </c>
      <c r="I84" t="s">
        <v>183</v>
      </c>
      <c r="J84" t="s">
        <v>184</v>
      </c>
      <c r="K84">
        <v>0</v>
      </c>
      <c r="L84" t="s">
        <v>77</v>
      </c>
    </row>
    <row r="85" spans="1:12">
      <c r="A85">
        <v>84</v>
      </c>
      <c r="B85" t="s">
        <v>131</v>
      </c>
      <c r="C85" t="s">
        <v>186</v>
      </c>
      <c r="D85">
        <v>1</v>
      </c>
      <c r="E85" t="s">
        <v>165</v>
      </c>
      <c r="F85">
        <v>3</v>
      </c>
      <c r="G85" t="s">
        <v>162</v>
      </c>
      <c r="H85" t="s">
        <v>167</v>
      </c>
      <c r="I85" t="s">
        <v>58</v>
      </c>
      <c r="J85" t="s">
        <v>58</v>
      </c>
      <c r="K85">
        <v>0</v>
      </c>
      <c r="L85" t="s">
        <v>77</v>
      </c>
    </row>
    <row r="86" spans="1:12">
      <c r="A86">
        <v>85</v>
      </c>
      <c r="B86" t="s">
        <v>131</v>
      </c>
      <c r="C86" t="s">
        <v>125</v>
      </c>
      <c r="D86">
        <v>1</v>
      </c>
      <c r="E86" t="s">
        <v>165</v>
      </c>
      <c r="F86">
        <v>3</v>
      </c>
      <c r="G86" t="s">
        <v>166</v>
      </c>
      <c r="H86" t="s">
        <v>167</v>
      </c>
      <c r="I86" t="s">
        <v>58</v>
      </c>
      <c r="J86" t="s">
        <v>58</v>
      </c>
      <c r="K86">
        <v>0</v>
      </c>
      <c r="L86" t="s">
        <v>77</v>
      </c>
    </row>
    <row r="87" spans="1:12">
      <c r="A87">
        <v>86</v>
      </c>
      <c r="B87" t="s">
        <v>131</v>
      </c>
      <c r="C87" t="s">
        <v>128</v>
      </c>
      <c r="D87">
        <v>3</v>
      </c>
      <c r="E87" t="s">
        <v>165</v>
      </c>
      <c r="F87">
        <v>3</v>
      </c>
      <c r="G87" t="s">
        <v>58</v>
      </c>
      <c r="H87" t="s">
        <v>58</v>
      </c>
      <c r="I87" t="s">
        <v>58</v>
      </c>
      <c r="J87" t="s">
        <v>58</v>
      </c>
      <c r="K87">
        <v>0</v>
      </c>
      <c r="L87" t="s">
        <v>77</v>
      </c>
    </row>
    <row r="88" spans="1:12">
      <c r="A88">
        <v>87</v>
      </c>
      <c r="B88" t="s">
        <v>131</v>
      </c>
      <c r="C88" t="s">
        <v>216</v>
      </c>
      <c r="D88">
        <v>3</v>
      </c>
      <c r="E88" t="s">
        <v>165</v>
      </c>
      <c r="F88">
        <v>3</v>
      </c>
      <c r="G88" t="s">
        <v>58</v>
      </c>
      <c r="H88" t="s">
        <v>58</v>
      </c>
      <c r="I88" t="s">
        <v>58</v>
      </c>
      <c r="J88" t="s">
        <v>58</v>
      </c>
      <c r="K88">
        <v>0</v>
      </c>
      <c r="L88" t="s">
        <v>77</v>
      </c>
    </row>
    <row r="89" spans="1:12">
      <c r="A89">
        <v>88</v>
      </c>
      <c r="B89" t="s">
        <v>131</v>
      </c>
      <c r="C89" t="s">
        <v>217</v>
      </c>
      <c r="D89">
        <v>4</v>
      </c>
      <c r="E89" t="s">
        <v>165</v>
      </c>
      <c r="F89">
        <v>3</v>
      </c>
      <c r="G89" t="s">
        <v>58</v>
      </c>
      <c r="H89" t="s">
        <v>58</v>
      </c>
      <c r="I89" t="s">
        <v>58</v>
      </c>
      <c r="J89" t="s">
        <v>58</v>
      </c>
      <c r="K89">
        <v>5</v>
      </c>
      <c r="L89" t="s">
        <v>77</v>
      </c>
    </row>
    <row r="90" spans="1:12">
      <c r="A90">
        <v>89</v>
      </c>
      <c r="B90" t="s">
        <v>131</v>
      </c>
      <c r="C90" t="s">
        <v>90</v>
      </c>
      <c r="D90">
        <v>4</v>
      </c>
      <c r="E90" t="s">
        <v>165</v>
      </c>
      <c r="F90">
        <v>3</v>
      </c>
      <c r="G90" t="s">
        <v>58</v>
      </c>
      <c r="H90" t="s">
        <v>58</v>
      </c>
      <c r="I90" t="s">
        <v>58</v>
      </c>
      <c r="J90" t="s">
        <v>58</v>
      </c>
      <c r="K90">
        <v>5</v>
      </c>
      <c r="L90" t="s">
        <v>77</v>
      </c>
    </row>
    <row r="91" spans="1:12">
      <c r="A91">
        <v>90</v>
      </c>
      <c r="B91" t="s">
        <v>192</v>
      </c>
      <c r="C91" t="s">
        <v>218</v>
      </c>
      <c r="D91">
        <v>0</v>
      </c>
      <c r="E91" t="s">
        <v>165</v>
      </c>
      <c r="F91">
        <v>3</v>
      </c>
      <c r="G91" t="s">
        <v>58</v>
      </c>
      <c r="H91" t="s">
        <v>58</v>
      </c>
      <c r="I91" t="s">
        <v>58</v>
      </c>
      <c r="J91" t="s">
        <v>58</v>
      </c>
      <c r="K91">
        <v>0</v>
      </c>
      <c r="L91" t="s">
        <v>77</v>
      </c>
    </row>
    <row r="92" spans="1:12">
      <c r="A92">
        <v>91</v>
      </c>
      <c r="B92" t="s">
        <v>192</v>
      </c>
      <c r="C92" t="s">
        <v>159</v>
      </c>
      <c r="D92">
        <v>0</v>
      </c>
      <c r="E92" t="s">
        <v>165</v>
      </c>
      <c r="F92">
        <v>3</v>
      </c>
      <c r="G92" t="s">
        <v>58</v>
      </c>
      <c r="H92" t="s">
        <v>58</v>
      </c>
      <c r="I92" t="s">
        <v>58</v>
      </c>
      <c r="J92" t="s">
        <v>58</v>
      </c>
      <c r="K92">
        <v>0</v>
      </c>
      <c r="L92" t="s">
        <v>77</v>
      </c>
    </row>
    <row r="93" spans="1:12">
      <c r="A93">
        <v>92</v>
      </c>
      <c r="B93" t="s">
        <v>131</v>
      </c>
      <c r="C93" t="s">
        <v>219</v>
      </c>
      <c r="D93">
        <v>2</v>
      </c>
      <c r="E93" t="s">
        <v>165</v>
      </c>
      <c r="F93">
        <v>3</v>
      </c>
      <c r="G93" t="s">
        <v>58</v>
      </c>
      <c r="H93" t="s">
        <v>58</v>
      </c>
      <c r="I93" t="s">
        <v>220</v>
      </c>
      <c r="J93" t="s">
        <v>221</v>
      </c>
      <c r="K93">
        <v>0</v>
      </c>
      <c r="L93" t="s">
        <v>77</v>
      </c>
    </row>
    <row r="94" spans="1:12">
      <c r="A94">
        <v>93</v>
      </c>
      <c r="B94" t="s">
        <v>131</v>
      </c>
      <c r="C94" t="s">
        <v>222</v>
      </c>
      <c r="D94">
        <v>2</v>
      </c>
      <c r="E94" t="s">
        <v>165</v>
      </c>
      <c r="F94">
        <v>3</v>
      </c>
      <c r="G94" t="s">
        <v>58</v>
      </c>
      <c r="H94" t="s">
        <v>58</v>
      </c>
      <c r="I94" t="s">
        <v>141</v>
      </c>
      <c r="J94" t="s">
        <v>223</v>
      </c>
      <c r="K94">
        <v>0</v>
      </c>
      <c r="L94" t="s">
        <v>77</v>
      </c>
    </row>
    <row r="95" spans="1:12">
      <c r="A95">
        <v>94</v>
      </c>
      <c r="B95" t="s">
        <v>131</v>
      </c>
      <c r="C95" t="s">
        <v>224</v>
      </c>
      <c r="D95">
        <v>1</v>
      </c>
      <c r="E95" t="s">
        <v>165</v>
      </c>
      <c r="F95">
        <v>3</v>
      </c>
      <c r="G95" t="s">
        <v>162</v>
      </c>
      <c r="H95" t="s">
        <v>167</v>
      </c>
      <c r="I95" t="s">
        <v>58</v>
      </c>
      <c r="J95" t="s">
        <v>58</v>
      </c>
      <c r="K95">
        <v>0</v>
      </c>
      <c r="L95" t="s">
        <v>77</v>
      </c>
    </row>
    <row r="96" spans="1:12">
      <c r="A96">
        <v>95</v>
      </c>
      <c r="B96" t="s">
        <v>131</v>
      </c>
      <c r="C96" t="s">
        <v>225</v>
      </c>
      <c r="D96">
        <v>1</v>
      </c>
      <c r="E96" t="s">
        <v>165</v>
      </c>
      <c r="F96">
        <v>3</v>
      </c>
      <c r="G96" t="s">
        <v>109</v>
      </c>
      <c r="H96" t="s">
        <v>151</v>
      </c>
      <c r="I96" t="s">
        <v>58</v>
      </c>
      <c r="J96" t="s">
        <v>58</v>
      </c>
      <c r="K96">
        <v>0</v>
      </c>
      <c r="L96" t="s">
        <v>77</v>
      </c>
    </row>
    <row r="97" spans="1:12">
      <c r="A97">
        <v>96</v>
      </c>
      <c r="B97" t="s">
        <v>131</v>
      </c>
      <c r="C97" t="s">
        <v>226</v>
      </c>
      <c r="D97">
        <v>3</v>
      </c>
      <c r="E97" t="s">
        <v>165</v>
      </c>
      <c r="F97">
        <v>3</v>
      </c>
      <c r="G97" t="s">
        <v>58</v>
      </c>
      <c r="H97" t="s">
        <v>58</v>
      </c>
      <c r="I97" t="s">
        <v>58</v>
      </c>
      <c r="J97" t="s">
        <v>58</v>
      </c>
      <c r="K97">
        <v>0</v>
      </c>
      <c r="L97" t="s">
        <v>77</v>
      </c>
    </row>
    <row r="98" spans="1:12">
      <c r="A98">
        <v>97</v>
      </c>
      <c r="B98" t="s">
        <v>131</v>
      </c>
      <c r="C98" t="s">
        <v>227</v>
      </c>
      <c r="D98">
        <v>3</v>
      </c>
      <c r="E98" t="s">
        <v>165</v>
      </c>
      <c r="F98">
        <v>3</v>
      </c>
      <c r="G98" t="s">
        <v>58</v>
      </c>
      <c r="H98" t="s">
        <v>58</v>
      </c>
      <c r="I98" t="s">
        <v>58</v>
      </c>
      <c r="J98" t="s">
        <v>58</v>
      </c>
      <c r="K98">
        <v>0</v>
      </c>
      <c r="L98" t="s">
        <v>77</v>
      </c>
    </row>
    <row r="99" spans="1:12">
      <c r="A99">
        <v>98</v>
      </c>
      <c r="B99" t="s">
        <v>131</v>
      </c>
      <c r="C99" t="s">
        <v>228</v>
      </c>
      <c r="D99">
        <v>4</v>
      </c>
      <c r="E99" t="s">
        <v>165</v>
      </c>
      <c r="F99">
        <v>3</v>
      </c>
      <c r="G99" t="s">
        <v>58</v>
      </c>
      <c r="H99" t="s">
        <v>58</v>
      </c>
      <c r="I99" t="s">
        <v>58</v>
      </c>
      <c r="J99" t="s">
        <v>58</v>
      </c>
      <c r="K99">
        <v>5</v>
      </c>
      <c r="L99" t="s">
        <v>77</v>
      </c>
    </row>
    <row r="100" spans="1:12">
      <c r="A100">
        <v>99</v>
      </c>
      <c r="B100" t="s">
        <v>131</v>
      </c>
      <c r="C100" t="s">
        <v>222</v>
      </c>
      <c r="D100">
        <v>4</v>
      </c>
      <c r="E100" t="s">
        <v>165</v>
      </c>
      <c r="F100">
        <v>3</v>
      </c>
      <c r="G100" t="s">
        <v>58</v>
      </c>
      <c r="H100" t="s">
        <v>58</v>
      </c>
      <c r="I100" t="s">
        <v>58</v>
      </c>
      <c r="J100" t="s">
        <v>58</v>
      </c>
      <c r="K100">
        <v>5</v>
      </c>
      <c r="L100" t="s">
        <v>77</v>
      </c>
    </row>
    <row r="101" spans="1:12">
      <c r="A101">
        <v>100</v>
      </c>
      <c r="B101" t="s">
        <v>133</v>
      </c>
      <c r="C101" t="s">
        <v>152</v>
      </c>
      <c r="D101">
        <v>0</v>
      </c>
      <c r="E101" t="s">
        <v>165</v>
      </c>
      <c r="F101">
        <v>3</v>
      </c>
      <c r="G101" t="s">
        <v>58</v>
      </c>
      <c r="H101" t="s">
        <v>58</v>
      </c>
      <c r="I101" t="s">
        <v>58</v>
      </c>
      <c r="J101" t="s">
        <v>58</v>
      </c>
      <c r="K101">
        <v>0</v>
      </c>
      <c r="L101" t="s">
        <v>77</v>
      </c>
    </row>
    <row r="102" spans="1:12">
      <c r="A102">
        <v>101</v>
      </c>
      <c r="B102" t="s">
        <v>229</v>
      </c>
      <c r="C102" t="s">
        <v>230</v>
      </c>
      <c r="D102">
        <v>2</v>
      </c>
      <c r="E102" t="s">
        <v>165</v>
      </c>
      <c r="F102">
        <v>3</v>
      </c>
      <c r="G102" t="s">
        <v>58</v>
      </c>
      <c r="H102" t="s">
        <v>58</v>
      </c>
      <c r="I102" t="s">
        <v>231</v>
      </c>
      <c r="J102" t="s">
        <v>156</v>
      </c>
      <c r="K102">
        <v>0</v>
      </c>
      <c r="L102" t="s">
        <v>77</v>
      </c>
    </row>
    <row r="103" spans="1:12">
      <c r="A103">
        <v>102</v>
      </c>
      <c r="B103" t="s">
        <v>229</v>
      </c>
      <c r="C103" t="s">
        <v>232</v>
      </c>
      <c r="D103">
        <v>2</v>
      </c>
      <c r="E103" t="s">
        <v>165</v>
      </c>
      <c r="F103">
        <v>3</v>
      </c>
      <c r="G103" t="s">
        <v>58</v>
      </c>
      <c r="H103" t="s">
        <v>58</v>
      </c>
      <c r="I103" t="s">
        <v>153</v>
      </c>
      <c r="J103" t="s">
        <v>233</v>
      </c>
      <c r="K103">
        <v>0</v>
      </c>
      <c r="L103" t="s">
        <v>77</v>
      </c>
    </row>
    <row r="104" spans="1:12">
      <c r="A104">
        <v>103</v>
      </c>
      <c r="B104" t="s">
        <v>131</v>
      </c>
      <c r="C104" t="s">
        <v>234</v>
      </c>
      <c r="D104">
        <v>2</v>
      </c>
      <c r="E104" t="s">
        <v>165</v>
      </c>
      <c r="F104">
        <v>3</v>
      </c>
      <c r="G104" t="s">
        <v>58</v>
      </c>
      <c r="H104" t="s">
        <v>58</v>
      </c>
      <c r="I104" t="s">
        <v>214</v>
      </c>
      <c r="J104" t="s">
        <v>235</v>
      </c>
      <c r="K104">
        <v>0</v>
      </c>
      <c r="L104" t="s">
        <v>77</v>
      </c>
    </row>
    <row r="105" spans="1:12">
      <c r="A105">
        <v>104</v>
      </c>
      <c r="B105" t="s">
        <v>131</v>
      </c>
      <c r="C105" t="s">
        <v>186</v>
      </c>
      <c r="D105">
        <v>1</v>
      </c>
      <c r="E105" t="s">
        <v>165</v>
      </c>
      <c r="F105">
        <v>3</v>
      </c>
      <c r="G105" t="s">
        <v>162</v>
      </c>
      <c r="H105" t="s">
        <v>167</v>
      </c>
      <c r="I105" t="s">
        <v>58</v>
      </c>
      <c r="J105" t="s">
        <v>58</v>
      </c>
      <c r="K105">
        <v>0</v>
      </c>
      <c r="L105" t="s">
        <v>77</v>
      </c>
    </row>
    <row r="106" spans="1:12">
      <c r="A106">
        <v>105</v>
      </c>
      <c r="B106" t="s">
        <v>131</v>
      </c>
      <c r="C106" t="s">
        <v>236</v>
      </c>
      <c r="D106">
        <v>1</v>
      </c>
      <c r="E106" t="s">
        <v>165</v>
      </c>
      <c r="F106">
        <v>3</v>
      </c>
      <c r="G106" t="s">
        <v>166</v>
      </c>
      <c r="H106" t="s">
        <v>167</v>
      </c>
      <c r="I106" t="s">
        <v>58</v>
      </c>
      <c r="J106" t="s">
        <v>58</v>
      </c>
      <c r="K106">
        <v>0</v>
      </c>
      <c r="L106" t="s">
        <v>77</v>
      </c>
    </row>
    <row r="107" spans="1:12">
      <c r="A107">
        <v>106</v>
      </c>
      <c r="B107" t="s">
        <v>229</v>
      </c>
      <c r="C107" t="s">
        <v>230</v>
      </c>
      <c r="D107">
        <v>3</v>
      </c>
      <c r="E107" t="s">
        <v>165</v>
      </c>
      <c r="F107">
        <v>3</v>
      </c>
      <c r="G107" t="s">
        <v>58</v>
      </c>
      <c r="H107" t="s">
        <v>58</v>
      </c>
      <c r="I107" t="s">
        <v>58</v>
      </c>
      <c r="J107" t="s">
        <v>58</v>
      </c>
      <c r="K107">
        <v>0</v>
      </c>
      <c r="L107" t="s">
        <v>77</v>
      </c>
    </row>
    <row r="108" spans="1:12">
      <c r="A108">
        <v>107</v>
      </c>
      <c r="B108" t="s">
        <v>229</v>
      </c>
      <c r="C108" t="s">
        <v>173</v>
      </c>
      <c r="D108">
        <v>3</v>
      </c>
      <c r="E108" t="s">
        <v>165</v>
      </c>
      <c r="F108">
        <v>3</v>
      </c>
      <c r="G108" t="s">
        <v>58</v>
      </c>
      <c r="H108" t="s">
        <v>58</v>
      </c>
      <c r="I108" t="s">
        <v>58</v>
      </c>
      <c r="J108" t="s">
        <v>58</v>
      </c>
      <c r="K108">
        <v>0</v>
      </c>
      <c r="L108" t="s">
        <v>77</v>
      </c>
    </row>
    <row r="109" spans="1:12">
      <c r="A109">
        <v>108</v>
      </c>
      <c r="B109" t="s">
        <v>131</v>
      </c>
      <c r="C109" t="s">
        <v>118</v>
      </c>
      <c r="D109">
        <v>4</v>
      </c>
      <c r="E109" t="s">
        <v>165</v>
      </c>
      <c r="F109">
        <v>3</v>
      </c>
      <c r="G109" t="s">
        <v>58</v>
      </c>
      <c r="H109" t="s">
        <v>58</v>
      </c>
      <c r="I109" t="s">
        <v>58</v>
      </c>
      <c r="J109" t="s">
        <v>58</v>
      </c>
      <c r="K109">
        <v>5</v>
      </c>
      <c r="L109" t="s">
        <v>77</v>
      </c>
    </row>
    <row r="110" spans="1:12">
      <c r="A110">
        <v>109</v>
      </c>
      <c r="B110" t="s">
        <v>131</v>
      </c>
      <c r="C110" t="s">
        <v>155</v>
      </c>
      <c r="D110">
        <v>4</v>
      </c>
      <c r="E110" t="s">
        <v>165</v>
      </c>
      <c r="F110">
        <v>3</v>
      </c>
      <c r="G110" t="s">
        <v>58</v>
      </c>
      <c r="H110" t="s">
        <v>58</v>
      </c>
      <c r="I110" t="s">
        <v>58</v>
      </c>
      <c r="J110" t="s">
        <v>58</v>
      </c>
      <c r="K110">
        <v>5</v>
      </c>
      <c r="L110" t="s">
        <v>77</v>
      </c>
    </row>
    <row r="111" spans="1:12">
      <c r="A111">
        <v>110</v>
      </c>
      <c r="B111" t="s">
        <v>229</v>
      </c>
      <c r="C111" t="s">
        <v>237</v>
      </c>
      <c r="D111">
        <v>0</v>
      </c>
      <c r="E111" t="s">
        <v>165</v>
      </c>
      <c r="F111">
        <v>3</v>
      </c>
      <c r="G111" t="s">
        <v>58</v>
      </c>
      <c r="H111" t="s">
        <v>58</v>
      </c>
      <c r="I111" t="s">
        <v>58</v>
      </c>
      <c r="J111" t="s">
        <v>58</v>
      </c>
      <c r="K111">
        <v>0</v>
      </c>
      <c r="L111" t="s">
        <v>77</v>
      </c>
    </row>
    <row r="112" spans="1:12">
      <c r="A112">
        <v>111</v>
      </c>
      <c r="B112" t="s">
        <v>229</v>
      </c>
      <c r="C112" t="s">
        <v>146</v>
      </c>
      <c r="D112">
        <v>2</v>
      </c>
      <c r="E112" t="s">
        <v>165</v>
      </c>
      <c r="F112">
        <v>3</v>
      </c>
      <c r="G112" t="s">
        <v>58</v>
      </c>
      <c r="H112" t="s">
        <v>58</v>
      </c>
      <c r="I112" t="s">
        <v>214</v>
      </c>
      <c r="J112" t="s">
        <v>238</v>
      </c>
      <c r="K112">
        <v>0</v>
      </c>
      <c r="L112" t="s">
        <v>77</v>
      </c>
    </row>
    <row r="113" spans="1:12">
      <c r="A113">
        <v>112</v>
      </c>
      <c r="B113" t="s">
        <v>131</v>
      </c>
      <c r="C113" t="s">
        <v>128</v>
      </c>
      <c r="D113">
        <v>2</v>
      </c>
      <c r="E113" t="s">
        <v>165</v>
      </c>
      <c r="F113">
        <v>3</v>
      </c>
      <c r="G113" t="s">
        <v>58</v>
      </c>
      <c r="H113" t="s">
        <v>58</v>
      </c>
      <c r="I113" t="s">
        <v>119</v>
      </c>
      <c r="J113" t="s">
        <v>239</v>
      </c>
      <c r="K113">
        <v>0</v>
      </c>
      <c r="L113" t="s">
        <v>77</v>
      </c>
    </row>
    <row r="114" spans="1:12">
      <c r="A114">
        <v>113</v>
      </c>
      <c r="B114" t="s">
        <v>131</v>
      </c>
      <c r="C114" t="s">
        <v>140</v>
      </c>
      <c r="D114">
        <v>2</v>
      </c>
      <c r="E114" t="s">
        <v>165</v>
      </c>
      <c r="F114">
        <v>3</v>
      </c>
      <c r="G114" t="s">
        <v>58</v>
      </c>
      <c r="H114" t="s">
        <v>58</v>
      </c>
      <c r="I114" t="s">
        <v>141</v>
      </c>
      <c r="J114" t="s">
        <v>240</v>
      </c>
      <c r="K114">
        <v>0</v>
      </c>
      <c r="L114" t="s">
        <v>77</v>
      </c>
    </row>
    <row r="115" spans="1:12">
      <c r="A115">
        <v>114</v>
      </c>
      <c r="B115" t="s">
        <v>229</v>
      </c>
      <c r="C115" t="s">
        <v>143</v>
      </c>
      <c r="D115">
        <v>1</v>
      </c>
      <c r="E115" t="s">
        <v>165</v>
      </c>
      <c r="F115">
        <v>3</v>
      </c>
      <c r="G115" t="s">
        <v>162</v>
      </c>
      <c r="H115" t="s">
        <v>167</v>
      </c>
      <c r="I115" t="s">
        <v>58</v>
      </c>
      <c r="J115" t="s">
        <v>58</v>
      </c>
      <c r="K115">
        <v>0</v>
      </c>
      <c r="L115" t="s">
        <v>77</v>
      </c>
    </row>
    <row r="116" spans="1:12">
      <c r="A116">
        <v>115</v>
      </c>
      <c r="B116" t="s">
        <v>229</v>
      </c>
      <c r="C116" t="s">
        <v>241</v>
      </c>
      <c r="D116">
        <v>1</v>
      </c>
      <c r="E116" t="s">
        <v>165</v>
      </c>
      <c r="F116">
        <v>3</v>
      </c>
      <c r="G116" t="s">
        <v>109</v>
      </c>
      <c r="H116" t="s">
        <v>151</v>
      </c>
      <c r="I116" t="s">
        <v>58</v>
      </c>
      <c r="J116" t="s">
        <v>58</v>
      </c>
      <c r="K116">
        <v>0</v>
      </c>
      <c r="L116" t="s">
        <v>77</v>
      </c>
    </row>
    <row r="117" spans="1:12">
      <c r="A117">
        <v>116</v>
      </c>
      <c r="B117" t="s">
        <v>131</v>
      </c>
      <c r="C117" t="s">
        <v>186</v>
      </c>
      <c r="D117">
        <v>3</v>
      </c>
      <c r="E117" t="s">
        <v>165</v>
      </c>
      <c r="F117">
        <v>3</v>
      </c>
      <c r="G117" t="s">
        <v>58</v>
      </c>
      <c r="H117" t="s">
        <v>58</v>
      </c>
      <c r="I117" t="s">
        <v>58</v>
      </c>
      <c r="J117" t="s">
        <v>58</v>
      </c>
      <c r="K117">
        <v>0</v>
      </c>
      <c r="L117" t="s">
        <v>77</v>
      </c>
    </row>
    <row r="118" spans="1:12">
      <c r="A118">
        <v>117</v>
      </c>
      <c r="B118" t="s">
        <v>131</v>
      </c>
      <c r="C118" t="s">
        <v>242</v>
      </c>
      <c r="D118">
        <v>3</v>
      </c>
      <c r="E118" t="s">
        <v>165</v>
      </c>
      <c r="F118">
        <v>3</v>
      </c>
      <c r="G118" t="s">
        <v>58</v>
      </c>
      <c r="H118" t="s">
        <v>58</v>
      </c>
      <c r="I118" t="s">
        <v>58</v>
      </c>
      <c r="J118" t="s">
        <v>58</v>
      </c>
      <c r="K118">
        <v>0</v>
      </c>
      <c r="L118" t="s">
        <v>77</v>
      </c>
    </row>
    <row r="119" spans="1:12">
      <c r="A119">
        <v>118</v>
      </c>
      <c r="B119" t="s">
        <v>131</v>
      </c>
      <c r="C119" t="s">
        <v>228</v>
      </c>
      <c r="D119">
        <v>4</v>
      </c>
      <c r="E119" t="s">
        <v>165</v>
      </c>
      <c r="F119">
        <v>3</v>
      </c>
      <c r="G119" t="s">
        <v>58</v>
      </c>
      <c r="H119" t="s">
        <v>58</v>
      </c>
      <c r="I119" t="s">
        <v>58</v>
      </c>
      <c r="J119" t="s">
        <v>58</v>
      </c>
      <c r="K119">
        <v>5</v>
      </c>
      <c r="L119" t="s">
        <v>77</v>
      </c>
    </row>
    <row r="120" spans="1:12">
      <c r="A120">
        <v>119</v>
      </c>
      <c r="B120" t="s">
        <v>131</v>
      </c>
      <c r="C120" t="s">
        <v>243</v>
      </c>
      <c r="D120">
        <v>4</v>
      </c>
      <c r="E120" t="s">
        <v>165</v>
      </c>
      <c r="F120">
        <v>3</v>
      </c>
      <c r="G120" t="s">
        <v>58</v>
      </c>
      <c r="H120" t="s">
        <v>58</v>
      </c>
      <c r="I120" t="s">
        <v>58</v>
      </c>
      <c r="J120" t="s">
        <v>58</v>
      </c>
      <c r="K120">
        <v>5</v>
      </c>
      <c r="L120" t="s">
        <v>77</v>
      </c>
    </row>
    <row r="121" spans="1:12">
      <c r="A121">
        <v>120</v>
      </c>
      <c r="B121" t="s">
        <v>229</v>
      </c>
      <c r="C121" t="s">
        <v>190</v>
      </c>
      <c r="D121">
        <v>0</v>
      </c>
      <c r="E121" t="s">
        <v>165</v>
      </c>
      <c r="F121">
        <v>3</v>
      </c>
      <c r="G121" t="s">
        <v>58</v>
      </c>
      <c r="H121" t="s">
        <v>58</v>
      </c>
      <c r="I121" t="s">
        <v>58</v>
      </c>
      <c r="J121" t="s">
        <v>58</v>
      </c>
      <c r="K121">
        <v>0</v>
      </c>
      <c r="L121" t="s">
        <v>77</v>
      </c>
    </row>
    <row r="122" spans="1:12">
      <c r="A122">
        <v>121</v>
      </c>
      <c r="B122" t="s">
        <v>229</v>
      </c>
      <c r="C122" t="s">
        <v>230</v>
      </c>
      <c r="D122">
        <v>0</v>
      </c>
      <c r="E122" t="s">
        <v>165</v>
      </c>
      <c r="F122">
        <v>3</v>
      </c>
      <c r="G122" t="s">
        <v>58</v>
      </c>
      <c r="H122" t="s">
        <v>58</v>
      </c>
      <c r="I122" t="s">
        <v>58</v>
      </c>
      <c r="J122" t="s">
        <v>58</v>
      </c>
      <c r="K122">
        <v>0</v>
      </c>
      <c r="L122" t="s">
        <v>77</v>
      </c>
    </row>
    <row r="123" spans="1:12">
      <c r="A123">
        <v>122</v>
      </c>
      <c r="B123" t="s">
        <v>131</v>
      </c>
      <c r="C123" t="s">
        <v>152</v>
      </c>
      <c r="D123">
        <v>2</v>
      </c>
      <c r="E123" t="s">
        <v>165</v>
      </c>
      <c r="F123">
        <v>3</v>
      </c>
      <c r="G123" t="s">
        <v>58</v>
      </c>
      <c r="H123" t="s">
        <v>58</v>
      </c>
      <c r="I123" t="s">
        <v>153</v>
      </c>
      <c r="J123" t="s">
        <v>233</v>
      </c>
      <c r="K123">
        <v>0</v>
      </c>
      <c r="L123" t="s">
        <v>77</v>
      </c>
    </row>
    <row r="124" spans="1:12">
      <c r="A124">
        <v>123</v>
      </c>
      <c r="B124" t="s">
        <v>131</v>
      </c>
      <c r="C124" t="s">
        <v>241</v>
      </c>
      <c r="D124">
        <v>2</v>
      </c>
      <c r="E124" t="s">
        <v>165</v>
      </c>
      <c r="F124">
        <v>3</v>
      </c>
      <c r="G124" t="s">
        <v>58</v>
      </c>
      <c r="H124" t="s">
        <v>58</v>
      </c>
      <c r="I124" t="s">
        <v>105</v>
      </c>
      <c r="J124" t="s">
        <v>244</v>
      </c>
      <c r="K124">
        <v>0</v>
      </c>
      <c r="L124" t="s">
        <v>77</v>
      </c>
    </row>
    <row r="125" spans="1:12">
      <c r="A125">
        <v>124</v>
      </c>
      <c r="B125" t="s">
        <v>131</v>
      </c>
      <c r="C125" t="s">
        <v>206</v>
      </c>
      <c r="D125">
        <v>1</v>
      </c>
      <c r="E125" t="s">
        <v>165</v>
      </c>
      <c r="F125">
        <v>3</v>
      </c>
      <c r="G125" t="s">
        <v>162</v>
      </c>
      <c r="H125" t="s">
        <v>167</v>
      </c>
      <c r="I125" t="s">
        <v>58</v>
      </c>
      <c r="J125" t="s">
        <v>58</v>
      </c>
      <c r="K125">
        <v>0</v>
      </c>
      <c r="L125" t="s">
        <v>77</v>
      </c>
    </row>
    <row r="126" spans="1:12">
      <c r="A126">
        <v>125</v>
      </c>
      <c r="B126" t="s">
        <v>131</v>
      </c>
      <c r="C126" t="s">
        <v>236</v>
      </c>
      <c r="D126">
        <v>1</v>
      </c>
      <c r="E126" t="s">
        <v>165</v>
      </c>
      <c r="F126">
        <v>3</v>
      </c>
      <c r="G126" t="s">
        <v>166</v>
      </c>
      <c r="H126" t="s">
        <v>167</v>
      </c>
      <c r="I126" t="s">
        <v>58</v>
      </c>
      <c r="J126" t="s">
        <v>58</v>
      </c>
      <c r="K126">
        <v>0</v>
      </c>
      <c r="L126" t="s">
        <v>77</v>
      </c>
    </row>
    <row r="127" spans="1:12">
      <c r="A127">
        <v>126</v>
      </c>
      <c r="B127" t="s">
        <v>245</v>
      </c>
      <c r="C127" t="s">
        <v>99</v>
      </c>
      <c r="D127">
        <v>3</v>
      </c>
      <c r="E127" t="s">
        <v>165</v>
      </c>
      <c r="F127">
        <v>3</v>
      </c>
      <c r="G127" t="s">
        <v>58</v>
      </c>
      <c r="H127" t="s">
        <v>58</v>
      </c>
      <c r="I127" t="s">
        <v>58</v>
      </c>
      <c r="J127" t="s">
        <v>58</v>
      </c>
      <c r="K127">
        <v>0</v>
      </c>
      <c r="L127" t="s">
        <v>77</v>
      </c>
    </row>
    <row r="128" spans="1:12">
      <c r="A128">
        <v>127</v>
      </c>
      <c r="B128" t="s">
        <v>245</v>
      </c>
      <c r="C128" t="s">
        <v>246</v>
      </c>
      <c r="D128">
        <v>3</v>
      </c>
      <c r="E128" t="s">
        <v>165</v>
      </c>
      <c r="F128">
        <v>3</v>
      </c>
      <c r="G128" t="s">
        <v>58</v>
      </c>
      <c r="H128" t="s">
        <v>58</v>
      </c>
      <c r="I128" t="s">
        <v>58</v>
      </c>
      <c r="J128" t="s">
        <v>58</v>
      </c>
      <c r="K128">
        <v>0</v>
      </c>
      <c r="L128" t="s">
        <v>77</v>
      </c>
    </row>
    <row r="129" spans="1:12">
      <c r="A129">
        <v>128</v>
      </c>
      <c r="B129" t="s">
        <v>131</v>
      </c>
      <c r="C129" t="s">
        <v>247</v>
      </c>
      <c r="D129">
        <v>4</v>
      </c>
      <c r="E129" t="s">
        <v>165</v>
      </c>
      <c r="F129">
        <v>3</v>
      </c>
      <c r="G129" t="s">
        <v>58</v>
      </c>
      <c r="H129" t="s">
        <v>58</v>
      </c>
      <c r="I129" t="s">
        <v>58</v>
      </c>
      <c r="J129" t="s">
        <v>58</v>
      </c>
      <c r="K129">
        <v>5</v>
      </c>
      <c r="L129" t="s">
        <v>77</v>
      </c>
    </row>
    <row r="130" spans="1:12">
      <c r="A130">
        <v>129</v>
      </c>
      <c r="B130" t="s">
        <v>131</v>
      </c>
      <c r="C130" t="s">
        <v>193</v>
      </c>
      <c r="D130">
        <v>4</v>
      </c>
      <c r="E130" t="s">
        <v>165</v>
      </c>
      <c r="F130">
        <v>3</v>
      </c>
      <c r="G130" t="s">
        <v>58</v>
      </c>
      <c r="H130" t="s">
        <v>58</v>
      </c>
      <c r="I130" t="s">
        <v>58</v>
      </c>
      <c r="J130" t="s">
        <v>58</v>
      </c>
      <c r="K130">
        <v>5</v>
      </c>
      <c r="L130" t="s">
        <v>77</v>
      </c>
    </row>
    <row r="131" spans="1:12">
      <c r="A131">
        <v>130</v>
      </c>
      <c r="B131" t="s">
        <v>248</v>
      </c>
      <c r="C131" t="s">
        <v>145</v>
      </c>
      <c r="D131">
        <v>2</v>
      </c>
      <c r="E131" t="s">
        <v>165</v>
      </c>
      <c r="F131">
        <v>3</v>
      </c>
      <c r="G131" t="s">
        <v>58</v>
      </c>
      <c r="H131" t="s">
        <v>58</v>
      </c>
      <c r="I131" t="s">
        <v>211</v>
      </c>
      <c r="J131" t="s">
        <v>249</v>
      </c>
      <c r="K131">
        <v>0</v>
      </c>
      <c r="L131" t="s">
        <v>77</v>
      </c>
    </row>
    <row r="132" spans="1:12">
      <c r="A132">
        <v>131</v>
      </c>
      <c r="B132" t="s">
        <v>245</v>
      </c>
      <c r="C132" t="s">
        <v>242</v>
      </c>
      <c r="D132">
        <v>0</v>
      </c>
      <c r="E132" t="s">
        <v>165</v>
      </c>
      <c r="F132">
        <v>3</v>
      </c>
      <c r="G132" t="s">
        <v>58</v>
      </c>
      <c r="H132" t="s">
        <v>58</v>
      </c>
      <c r="I132" t="s">
        <v>58</v>
      </c>
      <c r="J132" t="s">
        <v>58</v>
      </c>
      <c r="K132">
        <v>0</v>
      </c>
      <c r="L132" t="s">
        <v>77</v>
      </c>
    </row>
    <row r="133" spans="1:12">
      <c r="A133">
        <v>132</v>
      </c>
      <c r="B133" t="s">
        <v>131</v>
      </c>
      <c r="C133" t="s">
        <v>128</v>
      </c>
      <c r="D133">
        <v>2</v>
      </c>
      <c r="E133" t="s">
        <v>165</v>
      </c>
      <c r="F133">
        <v>3</v>
      </c>
      <c r="G133" t="s">
        <v>58</v>
      </c>
      <c r="H133" t="s">
        <v>58</v>
      </c>
      <c r="I133" t="s">
        <v>119</v>
      </c>
      <c r="J133" t="s">
        <v>239</v>
      </c>
      <c r="K133">
        <v>0</v>
      </c>
      <c r="L133" t="s">
        <v>77</v>
      </c>
    </row>
    <row r="134" spans="1:12">
      <c r="A134">
        <v>133</v>
      </c>
      <c r="B134" t="s">
        <v>131</v>
      </c>
      <c r="C134" t="s">
        <v>140</v>
      </c>
      <c r="D134">
        <v>2</v>
      </c>
      <c r="E134" t="s">
        <v>165</v>
      </c>
      <c r="F134">
        <v>3</v>
      </c>
      <c r="G134" t="s">
        <v>58</v>
      </c>
      <c r="H134" t="s">
        <v>58</v>
      </c>
      <c r="I134" t="s">
        <v>141</v>
      </c>
      <c r="J134" t="s">
        <v>240</v>
      </c>
      <c r="K134">
        <v>0</v>
      </c>
      <c r="L134" t="s">
        <v>77</v>
      </c>
    </row>
    <row r="135" spans="1:12">
      <c r="A135">
        <v>134</v>
      </c>
      <c r="B135" t="s">
        <v>131</v>
      </c>
      <c r="C135" t="s">
        <v>243</v>
      </c>
      <c r="D135">
        <v>1</v>
      </c>
      <c r="E135" t="s">
        <v>165</v>
      </c>
      <c r="F135">
        <v>3</v>
      </c>
      <c r="G135" t="s">
        <v>162</v>
      </c>
      <c r="H135" t="s">
        <v>167</v>
      </c>
      <c r="I135" t="s">
        <v>58</v>
      </c>
      <c r="J135" t="s">
        <v>58</v>
      </c>
      <c r="K135">
        <v>0</v>
      </c>
      <c r="L135" t="s">
        <v>77</v>
      </c>
    </row>
    <row r="136" spans="1:12">
      <c r="A136">
        <v>135</v>
      </c>
      <c r="B136" t="s">
        <v>131</v>
      </c>
      <c r="C136" t="s">
        <v>241</v>
      </c>
      <c r="D136">
        <v>1</v>
      </c>
      <c r="E136" t="s">
        <v>165</v>
      </c>
      <c r="F136">
        <v>3</v>
      </c>
      <c r="G136" t="s">
        <v>109</v>
      </c>
      <c r="H136" t="s">
        <v>151</v>
      </c>
      <c r="I136" t="s">
        <v>58</v>
      </c>
      <c r="J136" t="s">
        <v>58</v>
      </c>
      <c r="K136">
        <v>0</v>
      </c>
      <c r="L136" t="s">
        <v>77</v>
      </c>
    </row>
    <row r="137" spans="1:12">
      <c r="A137">
        <v>136</v>
      </c>
      <c r="B137" t="s">
        <v>245</v>
      </c>
      <c r="C137" t="s">
        <v>250</v>
      </c>
      <c r="D137">
        <v>3</v>
      </c>
      <c r="E137" t="s">
        <v>165</v>
      </c>
      <c r="F137">
        <v>3</v>
      </c>
      <c r="G137" t="s">
        <v>58</v>
      </c>
      <c r="H137" t="s">
        <v>58</v>
      </c>
      <c r="I137" t="s">
        <v>58</v>
      </c>
      <c r="J137" t="s">
        <v>58</v>
      </c>
      <c r="K137">
        <v>0</v>
      </c>
      <c r="L137" t="s">
        <v>77</v>
      </c>
    </row>
    <row r="138" spans="1:12">
      <c r="A138">
        <v>137</v>
      </c>
      <c r="B138" t="s">
        <v>245</v>
      </c>
      <c r="C138" t="s">
        <v>251</v>
      </c>
      <c r="D138">
        <v>3</v>
      </c>
      <c r="E138" t="s">
        <v>165</v>
      </c>
      <c r="F138">
        <v>3</v>
      </c>
      <c r="G138" t="s">
        <v>58</v>
      </c>
      <c r="H138" t="s">
        <v>58</v>
      </c>
      <c r="I138" t="s">
        <v>58</v>
      </c>
      <c r="J138" t="s">
        <v>58</v>
      </c>
      <c r="K138">
        <v>0</v>
      </c>
      <c r="L138" t="s">
        <v>77</v>
      </c>
    </row>
    <row r="139" spans="1:12">
      <c r="A139">
        <v>138</v>
      </c>
      <c r="B139" t="s">
        <v>131</v>
      </c>
      <c r="C139" t="s">
        <v>219</v>
      </c>
      <c r="D139">
        <v>4</v>
      </c>
      <c r="E139" t="s">
        <v>165</v>
      </c>
      <c r="F139">
        <v>3</v>
      </c>
      <c r="G139" t="s">
        <v>58</v>
      </c>
      <c r="H139" t="s">
        <v>58</v>
      </c>
      <c r="I139" t="s">
        <v>58</v>
      </c>
      <c r="J139" t="s">
        <v>58</v>
      </c>
      <c r="K139">
        <v>5</v>
      </c>
      <c r="L139" t="s">
        <v>77</v>
      </c>
    </row>
    <row r="140" spans="1:12">
      <c r="A140">
        <v>139</v>
      </c>
      <c r="B140" t="s">
        <v>131</v>
      </c>
      <c r="C140" t="s">
        <v>190</v>
      </c>
      <c r="D140">
        <v>4</v>
      </c>
      <c r="E140" t="s">
        <v>165</v>
      </c>
      <c r="F140">
        <v>3</v>
      </c>
      <c r="G140" t="s">
        <v>58</v>
      </c>
      <c r="H140" t="s">
        <v>58</v>
      </c>
      <c r="I140" t="s">
        <v>58</v>
      </c>
      <c r="J140" t="s">
        <v>58</v>
      </c>
      <c r="K140">
        <v>5</v>
      </c>
      <c r="L140" t="s">
        <v>77</v>
      </c>
    </row>
    <row r="141" spans="1:12">
      <c r="A141">
        <v>140</v>
      </c>
      <c r="B141" t="s">
        <v>180</v>
      </c>
      <c r="C141" t="s">
        <v>252</v>
      </c>
      <c r="D141">
        <v>0</v>
      </c>
      <c r="E141" t="s">
        <v>165</v>
      </c>
      <c r="F141">
        <v>3</v>
      </c>
      <c r="G141" t="s">
        <v>58</v>
      </c>
      <c r="H141" t="s">
        <v>58</v>
      </c>
      <c r="I141" t="s">
        <v>58</v>
      </c>
      <c r="J141" t="s">
        <v>58</v>
      </c>
      <c r="K141">
        <v>0</v>
      </c>
      <c r="L141" t="s">
        <v>77</v>
      </c>
    </row>
    <row r="142" spans="1:12">
      <c r="A142">
        <v>141</v>
      </c>
      <c r="B142" t="s">
        <v>131</v>
      </c>
      <c r="C142" t="s">
        <v>253</v>
      </c>
      <c r="D142">
        <v>2</v>
      </c>
      <c r="E142" t="s">
        <v>165</v>
      </c>
      <c r="F142">
        <v>3</v>
      </c>
      <c r="G142" t="s">
        <v>58</v>
      </c>
      <c r="H142" t="s">
        <v>58</v>
      </c>
      <c r="I142" t="s">
        <v>105</v>
      </c>
      <c r="J142" t="s">
        <v>244</v>
      </c>
      <c r="K142">
        <v>0</v>
      </c>
      <c r="L142" t="s">
        <v>77</v>
      </c>
    </row>
    <row r="143" spans="1:12">
      <c r="A143">
        <v>142</v>
      </c>
      <c r="B143" t="s">
        <v>131</v>
      </c>
      <c r="C143" t="s">
        <v>92</v>
      </c>
      <c r="D143">
        <v>1</v>
      </c>
      <c r="E143" t="s">
        <v>165</v>
      </c>
      <c r="F143">
        <v>3</v>
      </c>
      <c r="G143" t="s">
        <v>162</v>
      </c>
      <c r="H143" t="s">
        <v>167</v>
      </c>
      <c r="I143" t="s">
        <v>58</v>
      </c>
      <c r="J143" t="s">
        <v>58</v>
      </c>
      <c r="K143">
        <v>0</v>
      </c>
      <c r="L143" t="s">
        <v>77</v>
      </c>
    </row>
    <row r="144" spans="1:12">
      <c r="A144">
        <v>143</v>
      </c>
      <c r="B144" t="s">
        <v>131</v>
      </c>
      <c r="C144" t="s">
        <v>95</v>
      </c>
      <c r="D144">
        <v>1</v>
      </c>
      <c r="E144" t="s">
        <v>165</v>
      </c>
      <c r="F144">
        <v>3</v>
      </c>
      <c r="G144" t="s">
        <v>166</v>
      </c>
      <c r="H144" t="s">
        <v>167</v>
      </c>
      <c r="I144" t="s">
        <v>58</v>
      </c>
      <c r="J144" t="s">
        <v>58</v>
      </c>
      <c r="K144">
        <v>0</v>
      </c>
      <c r="L144" t="s">
        <v>77</v>
      </c>
    </row>
    <row r="145" spans="1:12">
      <c r="A145">
        <v>144</v>
      </c>
      <c r="B145" t="s">
        <v>245</v>
      </c>
      <c r="C145" t="s">
        <v>99</v>
      </c>
      <c r="D145">
        <v>3</v>
      </c>
      <c r="E145" t="s">
        <v>165</v>
      </c>
      <c r="F145">
        <v>3</v>
      </c>
      <c r="G145" t="s">
        <v>58</v>
      </c>
      <c r="H145" t="s">
        <v>58</v>
      </c>
      <c r="I145" t="s">
        <v>58</v>
      </c>
      <c r="J145" t="s">
        <v>58</v>
      </c>
      <c r="K145">
        <v>0</v>
      </c>
      <c r="L145" t="s">
        <v>77</v>
      </c>
    </row>
    <row r="146" spans="1:12">
      <c r="A146">
        <v>145</v>
      </c>
      <c r="B146" t="s">
        <v>245</v>
      </c>
      <c r="C146" t="s">
        <v>102</v>
      </c>
      <c r="D146">
        <v>3</v>
      </c>
      <c r="E146" t="s">
        <v>165</v>
      </c>
      <c r="F146">
        <v>3</v>
      </c>
      <c r="G146" t="s">
        <v>58</v>
      </c>
      <c r="H146" t="s">
        <v>58</v>
      </c>
      <c r="I146" t="s">
        <v>58</v>
      </c>
      <c r="J146" t="s">
        <v>58</v>
      </c>
      <c r="K146">
        <v>0</v>
      </c>
      <c r="L146" t="s">
        <v>77</v>
      </c>
    </row>
    <row r="147" spans="1:12">
      <c r="A147">
        <v>146</v>
      </c>
      <c r="B147" t="s">
        <v>131</v>
      </c>
      <c r="C147" t="s">
        <v>247</v>
      </c>
      <c r="D147">
        <v>4</v>
      </c>
      <c r="E147" t="s">
        <v>165</v>
      </c>
      <c r="F147">
        <v>3</v>
      </c>
      <c r="G147" t="s">
        <v>58</v>
      </c>
      <c r="H147" t="s">
        <v>58</v>
      </c>
      <c r="I147" t="s">
        <v>58</v>
      </c>
      <c r="J147" t="s">
        <v>58</v>
      </c>
      <c r="K147">
        <v>5</v>
      </c>
      <c r="L147" t="s">
        <v>77</v>
      </c>
    </row>
    <row r="148" spans="1:12">
      <c r="A148">
        <v>147</v>
      </c>
      <c r="B148" t="s">
        <v>131</v>
      </c>
      <c r="C148" t="s">
        <v>90</v>
      </c>
      <c r="D148">
        <v>4</v>
      </c>
      <c r="E148" t="s">
        <v>165</v>
      </c>
      <c r="F148">
        <v>3</v>
      </c>
      <c r="G148" t="s">
        <v>58</v>
      </c>
      <c r="H148" t="s">
        <v>58</v>
      </c>
      <c r="I148" t="s">
        <v>58</v>
      </c>
      <c r="J148" t="s">
        <v>58</v>
      </c>
      <c r="K148">
        <v>5</v>
      </c>
      <c r="L148" t="s">
        <v>77</v>
      </c>
    </row>
    <row r="149" spans="1:12">
      <c r="A149">
        <v>148</v>
      </c>
      <c r="B149" t="s">
        <v>131</v>
      </c>
      <c r="C149" t="s">
        <v>92</v>
      </c>
      <c r="D149">
        <v>5</v>
      </c>
      <c r="E149" t="s">
        <v>165</v>
      </c>
      <c r="F149">
        <v>3</v>
      </c>
      <c r="G149" t="s">
        <v>58</v>
      </c>
      <c r="H149" t="s">
        <v>58</v>
      </c>
      <c r="I149" t="s">
        <v>58</v>
      </c>
      <c r="J149" t="s">
        <v>58</v>
      </c>
      <c r="K149">
        <v>0</v>
      </c>
      <c r="L149" t="s">
        <v>77</v>
      </c>
    </row>
    <row r="150" spans="1:12">
      <c r="A150">
        <v>149</v>
      </c>
      <c r="B150" t="s">
        <v>245</v>
      </c>
      <c r="C150" t="s">
        <v>95</v>
      </c>
      <c r="D150">
        <v>5</v>
      </c>
      <c r="E150" t="s">
        <v>165</v>
      </c>
      <c r="F150">
        <v>3</v>
      </c>
      <c r="G150" t="s">
        <v>58</v>
      </c>
      <c r="H150" t="s">
        <v>58</v>
      </c>
      <c r="I150" t="s">
        <v>58</v>
      </c>
      <c r="J150" t="s">
        <v>58</v>
      </c>
      <c r="K150">
        <v>0</v>
      </c>
      <c r="L150" t="s">
        <v>77</v>
      </c>
    </row>
    <row r="151" spans="1:12">
      <c r="A151">
        <v>150</v>
      </c>
      <c r="B151" t="s">
        <v>245</v>
      </c>
      <c r="C151" t="s">
        <v>95</v>
      </c>
      <c r="D151">
        <v>5</v>
      </c>
      <c r="E151" t="s">
        <v>165</v>
      </c>
      <c r="F151">
        <v>3</v>
      </c>
      <c r="G151" t="s">
        <v>58</v>
      </c>
      <c r="H151" t="s">
        <v>58</v>
      </c>
      <c r="I151" t="s">
        <v>58</v>
      </c>
      <c r="J151" t="s">
        <v>58</v>
      </c>
      <c r="K151">
        <v>0</v>
      </c>
      <c r="L151" t="s">
        <v>77</v>
      </c>
    </row>
    <row r="152" spans="1:12">
      <c r="A152">
        <v>151</v>
      </c>
      <c r="B152" t="s">
        <v>131</v>
      </c>
      <c r="C152" t="s">
        <v>128</v>
      </c>
      <c r="D152">
        <v>2</v>
      </c>
      <c r="E152" t="s">
        <v>165</v>
      </c>
      <c r="F152">
        <v>3</v>
      </c>
      <c r="G152" t="s">
        <v>58</v>
      </c>
      <c r="H152" t="s">
        <v>58</v>
      </c>
      <c r="I152" t="s">
        <v>119</v>
      </c>
      <c r="J152" t="s">
        <v>239</v>
      </c>
      <c r="K152">
        <v>0</v>
      </c>
      <c r="L152" t="s">
        <v>77</v>
      </c>
    </row>
    <row r="153" spans="1:12">
      <c r="A153">
        <v>152</v>
      </c>
      <c r="B153" t="s">
        <v>131</v>
      </c>
      <c r="C153" t="s">
        <v>140</v>
      </c>
      <c r="D153">
        <v>2</v>
      </c>
      <c r="E153" t="s">
        <v>165</v>
      </c>
      <c r="F153">
        <v>3</v>
      </c>
      <c r="G153" t="s">
        <v>58</v>
      </c>
      <c r="H153" t="s">
        <v>58</v>
      </c>
      <c r="I153" t="s">
        <v>141</v>
      </c>
      <c r="J153" t="s">
        <v>240</v>
      </c>
      <c r="K153">
        <v>0</v>
      </c>
      <c r="L153" t="s">
        <v>77</v>
      </c>
    </row>
    <row r="154" spans="1:12">
      <c r="A154">
        <v>153</v>
      </c>
      <c r="B154" t="s">
        <v>131</v>
      </c>
      <c r="C154" t="s">
        <v>247</v>
      </c>
      <c r="D154">
        <v>1</v>
      </c>
      <c r="E154" t="s">
        <v>165</v>
      </c>
      <c r="F154">
        <v>3</v>
      </c>
      <c r="G154" t="s">
        <v>162</v>
      </c>
      <c r="H154" t="s">
        <v>167</v>
      </c>
      <c r="I154" t="s">
        <v>58</v>
      </c>
      <c r="J154" t="s">
        <v>58</v>
      </c>
      <c r="K154">
        <v>0</v>
      </c>
      <c r="L154" t="s">
        <v>77</v>
      </c>
    </row>
    <row r="155" spans="1:12">
      <c r="A155">
        <v>154</v>
      </c>
      <c r="B155" t="s">
        <v>131</v>
      </c>
      <c r="C155" t="s">
        <v>90</v>
      </c>
      <c r="D155">
        <v>1</v>
      </c>
      <c r="E155" t="s">
        <v>165</v>
      </c>
      <c r="F155">
        <v>3</v>
      </c>
      <c r="G155" t="s">
        <v>109</v>
      </c>
      <c r="H155" t="s">
        <v>151</v>
      </c>
      <c r="I155" t="s">
        <v>58</v>
      </c>
      <c r="J155" t="s">
        <v>58</v>
      </c>
      <c r="K155">
        <v>0</v>
      </c>
      <c r="L155" t="s">
        <v>77</v>
      </c>
    </row>
    <row r="156" spans="1:12">
      <c r="A156">
        <v>155</v>
      </c>
      <c r="B156" t="s">
        <v>245</v>
      </c>
      <c r="C156" t="s">
        <v>92</v>
      </c>
      <c r="D156">
        <v>3</v>
      </c>
      <c r="E156" t="s">
        <v>165</v>
      </c>
      <c r="F156">
        <v>3</v>
      </c>
      <c r="G156" t="s">
        <v>58</v>
      </c>
      <c r="H156" t="s">
        <v>58</v>
      </c>
      <c r="I156" t="s">
        <v>58</v>
      </c>
      <c r="J156" t="s">
        <v>58</v>
      </c>
      <c r="K156">
        <v>0</v>
      </c>
      <c r="L156" t="s">
        <v>77</v>
      </c>
    </row>
    <row r="157" spans="1:12">
      <c r="A157">
        <v>156</v>
      </c>
      <c r="B157" t="s">
        <v>245</v>
      </c>
      <c r="C157" t="s">
        <v>95</v>
      </c>
      <c r="D157">
        <v>3</v>
      </c>
      <c r="E157" t="s">
        <v>165</v>
      </c>
      <c r="F157">
        <v>3</v>
      </c>
      <c r="G157" t="s">
        <v>58</v>
      </c>
      <c r="H157" t="s">
        <v>58</v>
      </c>
      <c r="I157" t="s">
        <v>58</v>
      </c>
      <c r="J157" t="s">
        <v>58</v>
      </c>
      <c r="K157">
        <v>0</v>
      </c>
      <c r="L157" t="s">
        <v>77</v>
      </c>
    </row>
    <row r="158" spans="1:12">
      <c r="A158">
        <v>157</v>
      </c>
      <c r="B158" t="s">
        <v>131</v>
      </c>
      <c r="C158" t="s">
        <v>99</v>
      </c>
      <c r="D158">
        <v>4</v>
      </c>
      <c r="E158" t="s">
        <v>165</v>
      </c>
      <c r="F158">
        <v>3</v>
      </c>
      <c r="G158" t="s">
        <v>58</v>
      </c>
      <c r="H158" t="s">
        <v>58</v>
      </c>
      <c r="I158" t="s">
        <v>58</v>
      </c>
      <c r="J158" t="s">
        <v>58</v>
      </c>
      <c r="K158">
        <v>5</v>
      </c>
      <c r="L158" t="s">
        <v>77</v>
      </c>
    </row>
    <row r="159" spans="1:12">
      <c r="A159">
        <v>158</v>
      </c>
      <c r="B159" t="s">
        <v>131</v>
      </c>
      <c r="C159" t="s">
        <v>102</v>
      </c>
      <c r="D159">
        <v>4</v>
      </c>
      <c r="E159" t="s">
        <v>165</v>
      </c>
      <c r="F159">
        <v>3</v>
      </c>
      <c r="G159" t="s">
        <v>58</v>
      </c>
      <c r="H159" t="s">
        <v>58</v>
      </c>
      <c r="I159" t="s">
        <v>58</v>
      </c>
      <c r="J159" t="s">
        <v>58</v>
      </c>
      <c r="K159">
        <v>5</v>
      </c>
      <c r="L159" t="s">
        <v>77</v>
      </c>
    </row>
    <row r="160" spans="1:12">
      <c r="A160">
        <v>159</v>
      </c>
      <c r="B160" t="s">
        <v>180</v>
      </c>
      <c r="C160" t="s">
        <v>247</v>
      </c>
      <c r="D160">
        <v>0</v>
      </c>
      <c r="E160" t="s">
        <v>165</v>
      </c>
      <c r="F160">
        <v>3</v>
      </c>
      <c r="G160" t="s">
        <v>58</v>
      </c>
      <c r="H160" t="s">
        <v>58</v>
      </c>
      <c r="I160" t="s">
        <v>58</v>
      </c>
      <c r="J160" t="s">
        <v>58</v>
      </c>
      <c r="K160">
        <v>0</v>
      </c>
      <c r="L160" t="s">
        <v>77</v>
      </c>
    </row>
    <row r="161" spans="1:12">
      <c r="A161">
        <v>160</v>
      </c>
      <c r="B161" t="s">
        <v>131</v>
      </c>
      <c r="C161" t="s">
        <v>253</v>
      </c>
      <c r="D161">
        <v>2</v>
      </c>
      <c r="E161" t="s">
        <v>165</v>
      </c>
      <c r="F161">
        <v>3</v>
      </c>
      <c r="G161" t="s">
        <v>58</v>
      </c>
      <c r="H161" t="s">
        <v>58</v>
      </c>
      <c r="I161" t="s">
        <v>105</v>
      </c>
      <c r="J161" t="s">
        <v>244</v>
      </c>
      <c r="K161">
        <v>0</v>
      </c>
      <c r="L161" t="s">
        <v>77</v>
      </c>
    </row>
    <row r="162" spans="1:12">
      <c r="A162">
        <v>161</v>
      </c>
      <c r="B162" t="s">
        <v>131</v>
      </c>
      <c r="C162" t="s">
        <v>92</v>
      </c>
      <c r="D162">
        <v>1</v>
      </c>
      <c r="E162" t="s">
        <v>165</v>
      </c>
      <c r="F162">
        <v>3</v>
      </c>
      <c r="G162" t="s">
        <v>162</v>
      </c>
      <c r="H162" t="s">
        <v>167</v>
      </c>
      <c r="I162" t="s">
        <v>58</v>
      </c>
      <c r="J162" t="s">
        <v>58</v>
      </c>
      <c r="K162">
        <v>0</v>
      </c>
      <c r="L162" t="s">
        <v>77</v>
      </c>
    </row>
    <row r="163" spans="1:12">
      <c r="A163">
        <v>162</v>
      </c>
      <c r="B163" t="s">
        <v>131</v>
      </c>
      <c r="C163" t="s">
        <v>95</v>
      </c>
      <c r="D163">
        <v>1</v>
      </c>
      <c r="E163" t="s">
        <v>165</v>
      </c>
      <c r="F163">
        <v>3</v>
      </c>
      <c r="G163" t="s">
        <v>166</v>
      </c>
      <c r="H163" t="s">
        <v>167</v>
      </c>
      <c r="I163" t="s">
        <v>58</v>
      </c>
      <c r="J163" t="s">
        <v>58</v>
      </c>
      <c r="K163">
        <v>0</v>
      </c>
      <c r="L163" t="s">
        <v>77</v>
      </c>
    </row>
    <row r="164" spans="1:12">
      <c r="A164">
        <v>163</v>
      </c>
      <c r="B164" t="s">
        <v>245</v>
      </c>
      <c r="C164" t="s">
        <v>99</v>
      </c>
      <c r="D164">
        <v>3</v>
      </c>
      <c r="E164" t="s">
        <v>165</v>
      </c>
      <c r="F164">
        <v>3</v>
      </c>
      <c r="G164" t="s">
        <v>58</v>
      </c>
      <c r="H164" t="s">
        <v>58</v>
      </c>
      <c r="I164" t="s">
        <v>58</v>
      </c>
      <c r="J164" t="s">
        <v>58</v>
      </c>
      <c r="K164">
        <v>0</v>
      </c>
      <c r="L164" t="s">
        <v>77</v>
      </c>
    </row>
    <row r="165" spans="1:12">
      <c r="A165">
        <v>164</v>
      </c>
      <c r="B165" t="s">
        <v>245</v>
      </c>
      <c r="C165" t="s">
        <v>102</v>
      </c>
      <c r="D165">
        <v>3</v>
      </c>
      <c r="E165" t="s">
        <v>165</v>
      </c>
      <c r="F165">
        <v>3</v>
      </c>
      <c r="G165" t="s">
        <v>58</v>
      </c>
      <c r="H165" t="s">
        <v>58</v>
      </c>
      <c r="I165" t="s">
        <v>58</v>
      </c>
      <c r="J165" t="s">
        <v>58</v>
      </c>
      <c r="K165">
        <v>0</v>
      </c>
      <c r="L165" t="s">
        <v>77</v>
      </c>
    </row>
    <row r="166" spans="1:12">
      <c r="A166">
        <v>165</v>
      </c>
      <c r="B166" t="s">
        <v>245</v>
      </c>
      <c r="C166" t="s">
        <v>90</v>
      </c>
      <c r="D166">
        <v>1</v>
      </c>
      <c r="E166" t="s">
        <v>165</v>
      </c>
      <c r="F166">
        <v>3</v>
      </c>
      <c r="G166" t="s">
        <v>109</v>
      </c>
      <c r="H166" t="s">
        <v>151</v>
      </c>
      <c r="I166" t="s">
        <v>58</v>
      </c>
      <c r="J166" t="s">
        <v>58</v>
      </c>
      <c r="K166">
        <v>0</v>
      </c>
      <c r="L166" t="s">
        <v>77</v>
      </c>
    </row>
    <row r="167" spans="1:12">
      <c r="A167">
        <v>166</v>
      </c>
      <c r="B167" t="s">
        <v>131</v>
      </c>
      <c r="C167" t="s">
        <v>92</v>
      </c>
      <c r="D167">
        <v>3</v>
      </c>
      <c r="E167" t="s">
        <v>165</v>
      </c>
      <c r="F167">
        <v>3</v>
      </c>
      <c r="G167" t="s">
        <v>58</v>
      </c>
      <c r="H167" t="s">
        <v>58</v>
      </c>
      <c r="I167" t="s">
        <v>58</v>
      </c>
      <c r="J167" t="s">
        <v>58</v>
      </c>
      <c r="K167">
        <v>0</v>
      </c>
      <c r="L167" t="s">
        <v>77</v>
      </c>
    </row>
    <row r="168" spans="1:12">
      <c r="A168">
        <v>167</v>
      </c>
      <c r="B168" t="s">
        <v>131</v>
      </c>
      <c r="C168" t="s">
        <v>95</v>
      </c>
      <c r="D168">
        <v>3</v>
      </c>
      <c r="E168" t="s">
        <v>165</v>
      </c>
      <c r="F168">
        <v>3</v>
      </c>
      <c r="G168" t="s">
        <v>58</v>
      </c>
      <c r="H168" t="s">
        <v>58</v>
      </c>
      <c r="I168" t="s">
        <v>58</v>
      </c>
      <c r="J168" t="s">
        <v>58</v>
      </c>
      <c r="K168">
        <v>0</v>
      </c>
      <c r="L168" t="s">
        <v>77</v>
      </c>
    </row>
    <row r="169" spans="1:12">
      <c r="A169">
        <v>168</v>
      </c>
      <c r="B169" t="s">
        <v>131</v>
      </c>
      <c r="C169" t="s">
        <v>99</v>
      </c>
      <c r="D169">
        <v>4</v>
      </c>
      <c r="E169" t="s">
        <v>165</v>
      </c>
      <c r="F169">
        <v>3</v>
      </c>
      <c r="G169" t="s">
        <v>58</v>
      </c>
      <c r="H169" t="s">
        <v>58</v>
      </c>
      <c r="I169" t="s">
        <v>58</v>
      </c>
      <c r="J169" t="s">
        <v>58</v>
      </c>
      <c r="K169">
        <v>5</v>
      </c>
      <c r="L169" t="s">
        <v>77</v>
      </c>
    </row>
    <row r="170" spans="1:12">
      <c r="A170">
        <v>169</v>
      </c>
      <c r="B170" t="s">
        <v>131</v>
      </c>
      <c r="C170" t="s">
        <v>102</v>
      </c>
      <c r="D170">
        <v>4</v>
      </c>
      <c r="E170" t="s">
        <v>165</v>
      </c>
      <c r="F170">
        <v>3</v>
      </c>
      <c r="G170" t="s">
        <v>58</v>
      </c>
      <c r="H170" t="s">
        <v>58</v>
      </c>
      <c r="I170" t="s">
        <v>58</v>
      </c>
      <c r="J170" t="s">
        <v>58</v>
      </c>
      <c r="K170">
        <v>5</v>
      </c>
      <c r="L170" t="s">
        <v>77</v>
      </c>
    </row>
    <row r="171" spans="1:12">
      <c r="A171">
        <v>170</v>
      </c>
      <c r="B171" t="s">
        <v>180</v>
      </c>
      <c r="C171" t="s">
        <v>247</v>
      </c>
      <c r="D171">
        <v>0</v>
      </c>
      <c r="E171" t="s">
        <v>165</v>
      </c>
      <c r="F171">
        <v>3</v>
      </c>
      <c r="G171" t="s">
        <v>58</v>
      </c>
      <c r="H171" t="s">
        <v>58</v>
      </c>
      <c r="I171" t="s">
        <v>58</v>
      </c>
      <c r="J171" t="s">
        <v>58</v>
      </c>
      <c r="K171">
        <v>0</v>
      </c>
      <c r="L171" t="s">
        <v>77</v>
      </c>
    </row>
    <row r="172" spans="1:12">
      <c r="A172">
        <v>171</v>
      </c>
      <c r="B172" t="s">
        <v>131</v>
      </c>
      <c r="C172" t="s">
        <v>102</v>
      </c>
      <c r="D172">
        <v>5</v>
      </c>
      <c r="E172" t="s">
        <v>165</v>
      </c>
      <c r="F172">
        <v>3</v>
      </c>
      <c r="G172" t="s">
        <v>58</v>
      </c>
      <c r="H172" t="s">
        <v>58</v>
      </c>
      <c r="I172" t="s">
        <v>58</v>
      </c>
      <c r="J172" t="s">
        <v>58</v>
      </c>
      <c r="K172">
        <v>0</v>
      </c>
      <c r="L172" t="s">
        <v>77</v>
      </c>
    </row>
    <row r="173" spans="1:12">
      <c r="A173">
        <v>172</v>
      </c>
      <c r="B173" t="s">
        <v>131</v>
      </c>
      <c r="C173" t="s">
        <v>247</v>
      </c>
      <c r="D173">
        <v>2</v>
      </c>
      <c r="E173" t="s">
        <v>165</v>
      </c>
      <c r="F173">
        <v>3</v>
      </c>
      <c r="G173" t="s">
        <v>58</v>
      </c>
      <c r="H173" t="s">
        <v>58</v>
      </c>
      <c r="I173" t="s">
        <v>153</v>
      </c>
      <c r="J173" t="s">
        <v>233</v>
      </c>
      <c r="K173">
        <v>0</v>
      </c>
      <c r="L173" t="s">
        <v>77</v>
      </c>
    </row>
    <row r="174" spans="1:12">
      <c r="A174">
        <v>173</v>
      </c>
      <c r="B174" t="s">
        <v>131</v>
      </c>
      <c r="C174" t="s">
        <v>90</v>
      </c>
      <c r="D174">
        <v>2</v>
      </c>
      <c r="E174" t="s">
        <v>165</v>
      </c>
      <c r="F174">
        <v>3</v>
      </c>
      <c r="G174" t="s">
        <v>58</v>
      </c>
      <c r="H174" t="s">
        <v>58</v>
      </c>
      <c r="I174" t="s">
        <v>105</v>
      </c>
      <c r="J174" t="s">
        <v>244</v>
      </c>
      <c r="K174">
        <v>0</v>
      </c>
      <c r="L174" t="s">
        <v>77</v>
      </c>
    </row>
    <row r="175" spans="1:12">
      <c r="A175">
        <v>174</v>
      </c>
      <c r="B175" t="s">
        <v>131</v>
      </c>
      <c r="C175" t="s">
        <v>92</v>
      </c>
      <c r="D175">
        <v>1</v>
      </c>
      <c r="E175" t="s">
        <v>165</v>
      </c>
      <c r="F175">
        <v>3</v>
      </c>
      <c r="G175" t="s">
        <v>162</v>
      </c>
      <c r="H175" t="s">
        <v>167</v>
      </c>
      <c r="I175" t="s">
        <v>58</v>
      </c>
      <c r="J175" t="s">
        <v>58</v>
      </c>
      <c r="K175">
        <v>0</v>
      </c>
      <c r="L175" t="s">
        <v>77</v>
      </c>
    </row>
    <row r="176" spans="1:12">
      <c r="A176">
        <v>175</v>
      </c>
      <c r="B176" t="s">
        <v>131</v>
      </c>
      <c r="C176" t="s">
        <v>95</v>
      </c>
      <c r="D176">
        <v>1</v>
      </c>
      <c r="E176" t="s">
        <v>165</v>
      </c>
      <c r="F176">
        <v>3</v>
      </c>
      <c r="G176" t="s">
        <v>166</v>
      </c>
      <c r="H176" t="s">
        <v>167</v>
      </c>
      <c r="I176" t="s">
        <v>58</v>
      </c>
      <c r="J176" t="s">
        <v>58</v>
      </c>
      <c r="K176">
        <v>0</v>
      </c>
      <c r="L176" t="s">
        <v>77</v>
      </c>
    </row>
    <row r="177" spans="1:12">
      <c r="A177">
        <v>176</v>
      </c>
      <c r="B177" t="s">
        <v>245</v>
      </c>
      <c r="C177" t="s">
        <v>99</v>
      </c>
      <c r="D177">
        <v>3</v>
      </c>
      <c r="E177" t="s">
        <v>165</v>
      </c>
      <c r="F177">
        <v>3</v>
      </c>
      <c r="G177" t="s">
        <v>58</v>
      </c>
      <c r="H177" t="s">
        <v>58</v>
      </c>
      <c r="I177" t="s">
        <v>58</v>
      </c>
      <c r="J177" t="s">
        <v>58</v>
      </c>
      <c r="K177">
        <v>0</v>
      </c>
      <c r="L177" t="s">
        <v>77</v>
      </c>
    </row>
    <row r="178" spans="1:12">
      <c r="A178">
        <v>177</v>
      </c>
      <c r="B178" t="s">
        <v>245</v>
      </c>
      <c r="C178" t="s">
        <v>102</v>
      </c>
      <c r="D178">
        <v>5</v>
      </c>
      <c r="E178" t="s">
        <v>165</v>
      </c>
      <c r="F178">
        <v>3</v>
      </c>
      <c r="G178" t="s">
        <v>58</v>
      </c>
      <c r="H178" t="s">
        <v>58</v>
      </c>
      <c r="I178" t="s">
        <v>58</v>
      </c>
      <c r="J178" t="s">
        <v>58</v>
      </c>
      <c r="K178">
        <v>0</v>
      </c>
      <c r="L178" t="s">
        <v>77</v>
      </c>
    </row>
    <row r="179" spans="1:12">
      <c r="A179">
        <v>178</v>
      </c>
      <c r="B179" t="s">
        <v>245</v>
      </c>
      <c r="C179" t="s">
        <v>247</v>
      </c>
      <c r="D179">
        <v>2</v>
      </c>
      <c r="E179" t="s">
        <v>165</v>
      </c>
      <c r="F179">
        <v>3</v>
      </c>
      <c r="G179" t="s">
        <v>58</v>
      </c>
      <c r="H179" t="s">
        <v>58</v>
      </c>
      <c r="I179" t="s">
        <v>153</v>
      </c>
      <c r="J179" t="s">
        <v>233</v>
      </c>
      <c r="K179">
        <v>0</v>
      </c>
      <c r="L179" t="s">
        <v>77</v>
      </c>
    </row>
    <row r="180" spans="1:12">
      <c r="A180">
        <v>179</v>
      </c>
      <c r="B180" t="s">
        <v>131</v>
      </c>
      <c r="C180" t="s">
        <v>90</v>
      </c>
      <c r="D180">
        <v>2</v>
      </c>
      <c r="E180" t="s">
        <v>165</v>
      </c>
      <c r="F180">
        <v>3</v>
      </c>
      <c r="G180" t="s">
        <v>58</v>
      </c>
      <c r="H180" t="s">
        <v>58</v>
      </c>
      <c r="I180" t="s">
        <v>105</v>
      </c>
      <c r="J180" t="s">
        <v>244</v>
      </c>
      <c r="K180">
        <v>0</v>
      </c>
      <c r="L180" t="s">
        <v>77</v>
      </c>
    </row>
    <row r="181" spans="1:12">
      <c r="A181">
        <v>180</v>
      </c>
      <c r="B181" t="s">
        <v>131</v>
      </c>
      <c r="C181" t="s">
        <v>92</v>
      </c>
      <c r="D181">
        <v>1</v>
      </c>
      <c r="E181" t="s">
        <v>165</v>
      </c>
      <c r="F181">
        <v>3</v>
      </c>
      <c r="G181" t="s">
        <v>162</v>
      </c>
      <c r="H181" t="s">
        <v>167</v>
      </c>
      <c r="I181" t="s">
        <v>58</v>
      </c>
      <c r="J181" t="s">
        <v>58</v>
      </c>
      <c r="K181">
        <v>0</v>
      </c>
      <c r="L181" t="s">
        <v>77</v>
      </c>
    </row>
    <row r="182" spans="1:12">
      <c r="A182">
        <v>181</v>
      </c>
      <c r="B182" t="s">
        <v>131</v>
      </c>
      <c r="C182" t="s">
        <v>95</v>
      </c>
      <c r="D182">
        <v>1</v>
      </c>
      <c r="E182" t="s">
        <v>165</v>
      </c>
      <c r="F182">
        <v>3</v>
      </c>
      <c r="G182" t="s">
        <v>166</v>
      </c>
      <c r="H182" t="s">
        <v>167</v>
      </c>
      <c r="I182" t="s">
        <v>58</v>
      </c>
      <c r="J182" t="s">
        <v>58</v>
      </c>
      <c r="K182">
        <v>0</v>
      </c>
      <c r="L182" t="s">
        <v>77</v>
      </c>
    </row>
    <row r="183" spans="1:12">
      <c r="A183">
        <v>182</v>
      </c>
      <c r="B183" t="s">
        <v>245</v>
      </c>
      <c r="C183" t="s">
        <v>99</v>
      </c>
      <c r="D183">
        <v>3</v>
      </c>
      <c r="E183" t="s">
        <v>165</v>
      </c>
      <c r="F183">
        <v>3</v>
      </c>
      <c r="G183" t="s">
        <v>58</v>
      </c>
      <c r="H183" t="s">
        <v>58</v>
      </c>
      <c r="I183" t="s">
        <v>58</v>
      </c>
      <c r="J183" t="s">
        <v>58</v>
      </c>
      <c r="K183">
        <v>0</v>
      </c>
      <c r="L183" t="s">
        <v>77</v>
      </c>
    </row>
    <row r="184" spans="1:12">
      <c r="A184">
        <v>183</v>
      </c>
      <c r="B184" t="s">
        <v>245</v>
      </c>
      <c r="C184" t="s">
        <v>102</v>
      </c>
      <c r="D184">
        <v>3</v>
      </c>
      <c r="E184" t="s">
        <v>165</v>
      </c>
      <c r="F184">
        <v>3</v>
      </c>
      <c r="G184" t="s">
        <v>58</v>
      </c>
      <c r="H184" t="s">
        <v>58</v>
      </c>
      <c r="I184" t="s">
        <v>58</v>
      </c>
      <c r="J184" t="s">
        <v>58</v>
      </c>
      <c r="K184">
        <v>0</v>
      </c>
      <c r="L184" t="s">
        <v>77</v>
      </c>
    </row>
    <row r="185" spans="1:12">
      <c r="A185">
        <v>184</v>
      </c>
      <c r="B185" t="s">
        <v>131</v>
      </c>
      <c r="C185" t="s">
        <v>247</v>
      </c>
      <c r="D185">
        <v>4</v>
      </c>
      <c r="E185" t="s">
        <v>165</v>
      </c>
      <c r="F185">
        <v>3</v>
      </c>
      <c r="G185" t="s">
        <v>58</v>
      </c>
      <c r="H185" t="s">
        <v>58</v>
      </c>
      <c r="I185" t="s">
        <v>58</v>
      </c>
      <c r="J185" t="s">
        <v>58</v>
      </c>
      <c r="K185">
        <v>5</v>
      </c>
      <c r="L185" t="s">
        <v>77</v>
      </c>
    </row>
    <row r="186" spans="1:12">
      <c r="A186">
        <v>185</v>
      </c>
      <c r="B186" t="s">
        <v>131</v>
      </c>
      <c r="C186" t="s">
        <v>90</v>
      </c>
      <c r="D186">
        <v>4</v>
      </c>
      <c r="E186" t="s">
        <v>165</v>
      </c>
      <c r="F186">
        <v>3</v>
      </c>
      <c r="G186" t="s">
        <v>58</v>
      </c>
      <c r="H186" t="s">
        <v>58</v>
      </c>
      <c r="I186" t="s">
        <v>58</v>
      </c>
      <c r="J186" t="s">
        <v>58</v>
      </c>
      <c r="K186">
        <v>5</v>
      </c>
      <c r="L186" t="s">
        <v>77</v>
      </c>
    </row>
    <row r="187" spans="1:12">
      <c r="A187">
        <v>186</v>
      </c>
      <c r="B187" t="s">
        <v>131</v>
      </c>
      <c r="C187" t="s">
        <v>92</v>
      </c>
      <c r="D187">
        <v>5</v>
      </c>
      <c r="E187" t="s">
        <v>165</v>
      </c>
      <c r="F187">
        <v>3</v>
      </c>
      <c r="G187" t="s">
        <v>58</v>
      </c>
      <c r="H187" t="s">
        <v>58</v>
      </c>
      <c r="I187" t="s">
        <v>58</v>
      </c>
      <c r="J187" t="s">
        <v>58</v>
      </c>
      <c r="K187">
        <v>0</v>
      </c>
      <c r="L187" t="s">
        <v>77</v>
      </c>
    </row>
    <row r="188" spans="1:12">
      <c r="A188">
        <v>187</v>
      </c>
      <c r="B188" t="s">
        <v>131</v>
      </c>
      <c r="C188" t="s">
        <v>95</v>
      </c>
      <c r="D188">
        <v>5</v>
      </c>
      <c r="E188" t="s">
        <v>165</v>
      </c>
      <c r="F188">
        <v>3</v>
      </c>
      <c r="G188" t="s">
        <v>58</v>
      </c>
      <c r="H188" t="s">
        <v>58</v>
      </c>
      <c r="I188" t="s">
        <v>58</v>
      </c>
      <c r="J188" t="s">
        <v>58</v>
      </c>
      <c r="K188">
        <v>0</v>
      </c>
      <c r="L188" t="s">
        <v>77</v>
      </c>
    </row>
    <row r="189" spans="1:12">
      <c r="A189">
        <v>188</v>
      </c>
      <c r="B189" t="s">
        <v>131</v>
      </c>
      <c r="C189" t="s">
        <v>99</v>
      </c>
      <c r="D189">
        <v>2</v>
      </c>
      <c r="E189" t="s">
        <v>165</v>
      </c>
      <c r="F189">
        <v>3</v>
      </c>
      <c r="G189" t="s">
        <v>58</v>
      </c>
      <c r="H189" t="s">
        <v>58</v>
      </c>
      <c r="I189" t="s">
        <v>119</v>
      </c>
      <c r="J189" t="s">
        <v>239</v>
      </c>
      <c r="K189">
        <v>0</v>
      </c>
      <c r="L189" t="s">
        <v>77</v>
      </c>
    </row>
    <row r="190" spans="1:12">
      <c r="A190">
        <v>189</v>
      </c>
      <c r="B190" t="s">
        <v>131</v>
      </c>
      <c r="C190" t="s">
        <v>102</v>
      </c>
      <c r="D190">
        <v>2</v>
      </c>
      <c r="E190" t="s">
        <v>165</v>
      </c>
      <c r="F190">
        <v>3</v>
      </c>
      <c r="G190" t="s">
        <v>58</v>
      </c>
      <c r="H190" t="s">
        <v>58</v>
      </c>
      <c r="I190" t="s">
        <v>141</v>
      </c>
      <c r="J190" t="s">
        <v>240</v>
      </c>
      <c r="K190">
        <v>0</v>
      </c>
      <c r="L190" t="s">
        <v>77</v>
      </c>
    </row>
    <row r="191" spans="1:12">
      <c r="A191">
        <v>190</v>
      </c>
      <c r="B191" t="s">
        <v>245</v>
      </c>
      <c r="C191" t="s">
        <v>247</v>
      </c>
      <c r="D191">
        <v>1</v>
      </c>
      <c r="E191" t="s">
        <v>165</v>
      </c>
      <c r="F191">
        <v>3</v>
      </c>
      <c r="G191" t="s">
        <v>162</v>
      </c>
      <c r="H191" t="s">
        <v>167</v>
      </c>
      <c r="I191" t="s">
        <v>58</v>
      </c>
      <c r="J191" t="s">
        <v>58</v>
      </c>
      <c r="K191">
        <v>0</v>
      </c>
      <c r="L191" t="s">
        <v>77</v>
      </c>
    </row>
    <row r="192" spans="1:12">
      <c r="A192">
        <v>191</v>
      </c>
      <c r="B192" t="s">
        <v>245</v>
      </c>
      <c r="C192" t="s">
        <v>90</v>
      </c>
      <c r="D192">
        <v>1</v>
      </c>
      <c r="E192" t="s">
        <v>165</v>
      </c>
      <c r="F192">
        <v>3</v>
      </c>
      <c r="G192" t="s">
        <v>109</v>
      </c>
      <c r="H192" t="s">
        <v>151</v>
      </c>
      <c r="I192" t="s">
        <v>58</v>
      </c>
      <c r="J192" t="s">
        <v>58</v>
      </c>
      <c r="K192">
        <v>0</v>
      </c>
      <c r="L192" t="s">
        <v>77</v>
      </c>
    </row>
    <row r="193" spans="1:12">
      <c r="A193">
        <v>192</v>
      </c>
      <c r="B193" t="s">
        <v>131</v>
      </c>
      <c r="C193" t="s">
        <v>92</v>
      </c>
      <c r="D193">
        <v>3</v>
      </c>
      <c r="E193" t="s">
        <v>165</v>
      </c>
      <c r="F193">
        <v>3</v>
      </c>
      <c r="G193" t="s">
        <v>58</v>
      </c>
      <c r="H193" t="s">
        <v>58</v>
      </c>
      <c r="I193" t="s">
        <v>58</v>
      </c>
      <c r="J193" t="s">
        <v>58</v>
      </c>
      <c r="K193">
        <v>0</v>
      </c>
      <c r="L193" t="s">
        <v>77</v>
      </c>
    </row>
    <row r="194" spans="1:12">
      <c r="A194">
        <v>193</v>
      </c>
      <c r="B194" t="s">
        <v>131</v>
      </c>
      <c r="C194" t="s">
        <v>95</v>
      </c>
      <c r="D194">
        <v>3</v>
      </c>
      <c r="E194" t="s">
        <v>165</v>
      </c>
      <c r="F194">
        <v>3</v>
      </c>
      <c r="G194" t="s">
        <v>58</v>
      </c>
      <c r="H194" t="s">
        <v>58</v>
      </c>
      <c r="I194" t="s">
        <v>58</v>
      </c>
      <c r="J194" t="s">
        <v>58</v>
      </c>
      <c r="K194">
        <v>0</v>
      </c>
      <c r="L194" t="s">
        <v>77</v>
      </c>
    </row>
    <row r="195" spans="1:12">
      <c r="A195">
        <v>194</v>
      </c>
      <c r="B195" t="s">
        <v>131</v>
      </c>
      <c r="C195" t="s">
        <v>99</v>
      </c>
      <c r="D195">
        <v>4</v>
      </c>
      <c r="E195" t="s">
        <v>165</v>
      </c>
      <c r="F195">
        <v>3</v>
      </c>
      <c r="G195" t="s">
        <v>58</v>
      </c>
      <c r="H195" t="s">
        <v>58</v>
      </c>
      <c r="I195" t="s">
        <v>58</v>
      </c>
      <c r="J195" t="s">
        <v>58</v>
      </c>
      <c r="K195">
        <v>5</v>
      </c>
      <c r="L195" t="s">
        <v>77</v>
      </c>
    </row>
    <row r="196" spans="1:12">
      <c r="A196">
        <v>195</v>
      </c>
      <c r="B196" t="s">
        <v>131</v>
      </c>
      <c r="C196" t="s">
        <v>102</v>
      </c>
      <c r="D196">
        <v>4</v>
      </c>
      <c r="E196" t="s">
        <v>165</v>
      </c>
      <c r="F196">
        <v>3</v>
      </c>
      <c r="G196" t="s">
        <v>58</v>
      </c>
      <c r="H196" t="s">
        <v>58</v>
      </c>
      <c r="I196" t="s">
        <v>58</v>
      </c>
      <c r="J196" t="s">
        <v>58</v>
      </c>
      <c r="K196">
        <v>5</v>
      </c>
      <c r="L196" t="s">
        <v>77</v>
      </c>
    </row>
    <row r="197" spans="1:12">
      <c r="A197">
        <v>196</v>
      </c>
      <c r="B197" t="s">
        <v>180</v>
      </c>
      <c r="C197" t="s">
        <v>247</v>
      </c>
      <c r="D197">
        <v>0</v>
      </c>
      <c r="E197" t="s">
        <v>165</v>
      </c>
      <c r="F197">
        <v>3</v>
      </c>
      <c r="G197" t="s">
        <v>58</v>
      </c>
      <c r="H197" t="s">
        <v>58</v>
      </c>
      <c r="I197" t="s">
        <v>58</v>
      </c>
      <c r="J197" t="s">
        <v>58</v>
      </c>
      <c r="K197">
        <v>0</v>
      </c>
      <c r="L197" t="s">
        <v>77</v>
      </c>
    </row>
    <row r="198" spans="1:12">
      <c r="A198">
        <v>197</v>
      </c>
      <c r="B198" t="s">
        <v>131</v>
      </c>
      <c r="C198" t="s">
        <v>102</v>
      </c>
      <c r="D198">
        <v>5</v>
      </c>
      <c r="E198" t="s">
        <v>165</v>
      </c>
      <c r="F198">
        <v>3</v>
      </c>
      <c r="G198" t="s">
        <v>58</v>
      </c>
      <c r="H198" t="s">
        <v>58</v>
      </c>
      <c r="I198" t="s">
        <v>58</v>
      </c>
      <c r="J198" t="s">
        <v>58</v>
      </c>
      <c r="K198">
        <v>0</v>
      </c>
      <c r="L198" t="s">
        <v>77</v>
      </c>
    </row>
    <row r="199" spans="1:12">
      <c r="A199">
        <v>198</v>
      </c>
      <c r="B199" t="s">
        <v>131</v>
      </c>
      <c r="C199" t="s">
        <v>247</v>
      </c>
      <c r="D199">
        <v>2</v>
      </c>
      <c r="E199" t="s">
        <v>165</v>
      </c>
      <c r="F199">
        <v>3</v>
      </c>
      <c r="G199" t="s">
        <v>58</v>
      </c>
      <c r="H199" t="s">
        <v>58</v>
      </c>
      <c r="I199" t="s">
        <v>153</v>
      </c>
      <c r="J199" t="s">
        <v>233</v>
      </c>
      <c r="K199">
        <v>0</v>
      </c>
      <c r="L199" t="s">
        <v>77</v>
      </c>
    </row>
    <row r="200" spans="1:12">
      <c r="A200">
        <v>199</v>
      </c>
      <c r="B200" t="s">
        <v>131</v>
      </c>
      <c r="C200" t="s">
        <v>90</v>
      </c>
      <c r="D200">
        <v>2</v>
      </c>
      <c r="E200" t="s">
        <v>165</v>
      </c>
      <c r="F200">
        <v>3</v>
      </c>
      <c r="G200" t="s">
        <v>58</v>
      </c>
      <c r="H200" t="s">
        <v>58</v>
      </c>
      <c r="I200" t="s">
        <v>105</v>
      </c>
      <c r="J200" t="s">
        <v>244</v>
      </c>
      <c r="K200">
        <v>0</v>
      </c>
      <c r="L200" t="s">
        <v>77</v>
      </c>
    </row>
    <row r="201" spans="1:12">
      <c r="A201">
        <v>200</v>
      </c>
      <c r="B201" t="s">
        <v>131</v>
      </c>
      <c r="C201" t="s">
        <v>92</v>
      </c>
      <c r="D201">
        <v>1</v>
      </c>
      <c r="E201" t="s">
        <v>165</v>
      </c>
      <c r="F201">
        <v>3</v>
      </c>
      <c r="G201" t="s">
        <v>162</v>
      </c>
      <c r="H201" t="s">
        <v>167</v>
      </c>
      <c r="I201" t="s">
        <v>58</v>
      </c>
      <c r="J201" t="s">
        <v>58</v>
      </c>
      <c r="K201">
        <v>0</v>
      </c>
      <c r="L201" t="s">
        <v>77</v>
      </c>
    </row>
    <row r="202" spans="1:12">
      <c r="A202">
        <v>201</v>
      </c>
      <c r="B202" t="s">
        <v>131</v>
      </c>
      <c r="C202" t="s">
        <v>95</v>
      </c>
      <c r="D202">
        <v>1</v>
      </c>
      <c r="E202" t="s">
        <v>165</v>
      </c>
      <c r="F202">
        <v>3</v>
      </c>
      <c r="G202" t="s">
        <v>166</v>
      </c>
      <c r="H202" t="s">
        <v>167</v>
      </c>
      <c r="I202" t="s">
        <v>58</v>
      </c>
      <c r="J202" t="s">
        <v>58</v>
      </c>
      <c r="K202">
        <v>0</v>
      </c>
      <c r="L202" t="s">
        <v>77</v>
      </c>
    </row>
    <row r="203" spans="1:12">
      <c r="A203">
        <v>202</v>
      </c>
      <c r="B203" t="s">
        <v>245</v>
      </c>
      <c r="C203" t="s">
        <v>99</v>
      </c>
      <c r="D203">
        <v>3</v>
      </c>
      <c r="E203" t="s">
        <v>165</v>
      </c>
      <c r="F203">
        <v>3</v>
      </c>
      <c r="G203" t="s">
        <v>58</v>
      </c>
      <c r="H203" t="s">
        <v>58</v>
      </c>
      <c r="I203" t="s">
        <v>58</v>
      </c>
      <c r="J203" t="s">
        <v>58</v>
      </c>
      <c r="K203">
        <v>0</v>
      </c>
      <c r="L203" t="s">
        <v>77</v>
      </c>
    </row>
    <row r="204" spans="1:12">
      <c r="A204">
        <v>203</v>
      </c>
      <c r="B204" t="s">
        <v>245</v>
      </c>
      <c r="C204" t="s">
        <v>102</v>
      </c>
      <c r="D204">
        <v>3</v>
      </c>
      <c r="E204" t="s">
        <v>165</v>
      </c>
      <c r="F204">
        <v>3</v>
      </c>
      <c r="G204" t="s">
        <v>58</v>
      </c>
      <c r="H204" t="s">
        <v>58</v>
      </c>
      <c r="I204" t="s">
        <v>58</v>
      </c>
      <c r="J204" t="s">
        <v>58</v>
      </c>
      <c r="K204">
        <v>0</v>
      </c>
      <c r="L204" t="s">
        <v>77</v>
      </c>
    </row>
    <row r="205" spans="1:12">
      <c r="A205">
        <v>204</v>
      </c>
      <c r="B205" t="s">
        <v>131</v>
      </c>
      <c r="C205" t="s">
        <v>247</v>
      </c>
      <c r="D205">
        <v>4</v>
      </c>
      <c r="E205" t="s">
        <v>165</v>
      </c>
      <c r="F205">
        <v>3</v>
      </c>
      <c r="G205" t="s">
        <v>58</v>
      </c>
      <c r="H205" t="s">
        <v>58</v>
      </c>
      <c r="I205" t="s">
        <v>58</v>
      </c>
      <c r="J205" t="s">
        <v>58</v>
      </c>
      <c r="K205">
        <v>5</v>
      </c>
      <c r="L205" t="s">
        <v>77</v>
      </c>
    </row>
    <row r="206" spans="1:12">
      <c r="A206">
        <v>205</v>
      </c>
      <c r="B206" t="s">
        <v>131</v>
      </c>
      <c r="C206" t="s">
        <v>90</v>
      </c>
      <c r="D206">
        <v>4</v>
      </c>
      <c r="E206" t="s">
        <v>165</v>
      </c>
      <c r="F206">
        <v>3</v>
      </c>
      <c r="G206" t="s">
        <v>58</v>
      </c>
      <c r="H206" t="s">
        <v>58</v>
      </c>
      <c r="I206" t="s">
        <v>58</v>
      </c>
      <c r="J206" t="s">
        <v>58</v>
      </c>
      <c r="K206">
        <v>5</v>
      </c>
      <c r="L206" t="s">
        <v>77</v>
      </c>
    </row>
    <row r="207" spans="1:12">
      <c r="A207">
        <v>206</v>
      </c>
      <c r="B207" t="s">
        <v>131</v>
      </c>
      <c r="C207" t="s">
        <v>92</v>
      </c>
      <c r="D207">
        <v>5</v>
      </c>
      <c r="E207" t="s">
        <v>165</v>
      </c>
      <c r="F207">
        <v>3</v>
      </c>
      <c r="G207" t="s">
        <v>58</v>
      </c>
      <c r="H207" t="s">
        <v>58</v>
      </c>
      <c r="I207" t="s">
        <v>58</v>
      </c>
      <c r="J207" t="s">
        <v>58</v>
      </c>
      <c r="K207">
        <v>0</v>
      </c>
      <c r="L207" t="s">
        <v>77</v>
      </c>
    </row>
    <row r="208" spans="1:12">
      <c r="A208">
        <v>207</v>
      </c>
      <c r="B208" t="s">
        <v>245</v>
      </c>
      <c r="C208" t="s">
        <v>95</v>
      </c>
      <c r="D208">
        <v>5</v>
      </c>
      <c r="E208" t="s">
        <v>165</v>
      </c>
      <c r="F208">
        <v>3</v>
      </c>
      <c r="G208" t="s">
        <v>58</v>
      </c>
      <c r="H208" t="s">
        <v>58</v>
      </c>
      <c r="I208" t="s">
        <v>58</v>
      </c>
      <c r="J208" t="s">
        <v>58</v>
      </c>
      <c r="K208">
        <v>0</v>
      </c>
      <c r="L208" t="s">
        <v>77</v>
      </c>
    </row>
    <row r="209" spans="1:12">
      <c r="A209">
        <v>208</v>
      </c>
      <c r="B209" t="s">
        <v>131</v>
      </c>
      <c r="C209" t="s">
        <v>99</v>
      </c>
      <c r="D209">
        <v>2</v>
      </c>
      <c r="E209" t="s">
        <v>165</v>
      </c>
      <c r="F209">
        <v>3</v>
      </c>
      <c r="G209" t="s">
        <v>58</v>
      </c>
      <c r="H209" t="s">
        <v>58</v>
      </c>
      <c r="I209" t="s">
        <v>119</v>
      </c>
      <c r="J209" t="s">
        <v>239</v>
      </c>
      <c r="K209">
        <v>0</v>
      </c>
      <c r="L209" t="s">
        <v>77</v>
      </c>
    </row>
    <row r="210" spans="1:12">
      <c r="A210">
        <v>209</v>
      </c>
      <c r="B210" t="s">
        <v>131</v>
      </c>
      <c r="C210" t="s">
        <v>102</v>
      </c>
      <c r="D210">
        <v>2</v>
      </c>
      <c r="E210" t="s">
        <v>165</v>
      </c>
      <c r="F210">
        <v>3</v>
      </c>
      <c r="G210" t="s">
        <v>58</v>
      </c>
      <c r="H210" t="s">
        <v>58</v>
      </c>
      <c r="I210" t="s">
        <v>141</v>
      </c>
      <c r="J210" t="s">
        <v>240</v>
      </c>
      <c r="K210">
        <v>0</v>
      </c>
      <c r="L210" t="s">
        <v>77</v>
      </c>
    </row>
    <row r="211" spans="1:12">
      <c r="A211">
        <v>210</v>
      </c>
      <c r="B211" t="s">
        <v>131</v>
      </c>
      <c r="C211" t="s">
        <v>247</v>
      </c>
      <c r="D211">
        <v>1</v>
      </c>
      <c r="E211" t="s">
        <v>165</v>
      </c>
      <c r="F211">
        <v>3</v>
      </c>
      <c r="G211" t="s">
        <v>162</v>
      </c>
      <c r="H211" t="s">
        <v>167</v>
      </c>
      <c r="I211" t="s">
        <v>58</v>
      </c>
      <c r="J211" t="s">
        <v>58</v>
      </c>
      <c r="K211">
        <v>0</v>
      </c>
      <c r="L211" t="s">
        <v>77</v>
      </c>
    </row>
    <row r="212" spans="1:12">
      <c r="A212">
        <v>211</v>
      </c>
      <c r="B212" t="s">
        <v>131</v>
      </c>
      <c r="C212" t="s">
        <v>90</v>
      </c>
      <c r="D212">
        <v>1</v>
      </c>
      <c r="E212" t="s">
        <v>165</v>
      </c>
      <c r="F212">
        <v>3</v>
      </c>
      <c r="G212" t="s">
        <v>109</v>
      </c>
      <c r="H212" t="s">
        <v>151</v>
      </c>
      <c r="I212" t="s">
        <v>58</v>
      </c>
      <c r="J212" t="s">
        <v>58</v>
      </c>
      <c r="K212">
        <v>0</v>
      </c>
      <c r="L212" t="s">
        <v>77</v>
      </c>
    </row>
    <row r="213" spans="1:12">
      <c r="A213">
        <v>212</v>
      </c>
      <c r="B213" t="s">
        <v>245</v>
      </c>
      <c r="C213" t="s">
        <v>92</v>
      </c>
      <c r="D213">
        <v>3</v>
      </c>
      <c r="E213" t="s">
        <v>165</v>
      </c>
      <c r="F213">
        <v>3</v>
      </c>
      <c r="G213" t="s">
        <v>58</v>
      </c>
      <c r="H213" t="s">
        <v>58</v>
      </c>
      <c r="I213" t="s">
        <v>58</v>
      </c>
      <c r="J213" t="s">
        <v>58</v>
      </c>
      <c r="K213">
        <v>0</v>
      </c>
      <c r="L213" t="s">
        <v>77</v>
      </c>
    </row>
    <row r="214" spans="1:12">
      <c r="A214">
        <v>213</v>
      </c>
      <c r="B214" t="s">
        <v>245</v>
      </c>
      <c r="C214" t="s">
        <v>95</v>
      </c>
      <c r="D214">
        <v>3</v>
      </c>
      <c r="E214" t="s">
        <v>165</v>
      </c>
      <c r="F214">
        <v>3</v>
      </c>
      <c r="G214" t="s">
        <v>58</v>
      </c>
      <c r="H214" t="s">
        <v>58</v>
      </c>
      <c r="I214" t="s">
        <v>58</v>
      </c>
      <c r="J214" t="s">
        <v>58</v>
      </c>
      <c r="K214">
        <v>0</v>
      </c>
      <c r="L214" t="s">
        <v>77</v>
      </c>
    </row>
    <row r="215" spans="1:12">
      <c r="A215">
        <v>214</v>
      </c>
      <c r="B215" t="s">
        <v>131</v>
      </c>
      <c r="C215" t="s">
        <v>99</v>
      </c>
      <c r="D215">
        <v>4</v>
      </c>
      <c r="E215" t="s">
        <v>165</v>
      </c>
      <c r="F215">
        <v>3</v>
      </c>
      <c r="G215" t="s">
        <v>58</v>
      </c>
      <c r="H215" t="s">
        <v>58</v>
      </c>
      <c r="I215" t="s">
        <v>58</v>
      </c>
      <c r="J215" t="s">
        <v>58</v>
      </c>
      <c r="K215">
        <v>5</v>
      </c>
      <c r="L215" t="s">
        <v>77</v>
      </c>
    </row>
    <row r="216" spans="1:12">
      <c r="A216">
        <v>215</v>
      </c>
      <c r="B216" t="s">
        <v>131</v>
      </c>
      <c r="C216" t="s">
        <v>102</v>
      </c>
      <c r="D216">
        <v>4</v>
      </c>
      <c r="E216" t="s">
        <v>165</v>
      </c>
      <c r="F216">
        <v>3</v>
      </c>
      <c r="G216" t="s">
        <v>58</v>
      </c>
      <c r="H216" t="s">
        <v>58</v>
      </c>
      <c r="I216" t="s">
        <v>58</v>
      </c>
      <c r="J216" t="s">
        <v>58</v>
      </c>
      <c r="K216">
        <v>5</v>
      </c>
      <c r="L216" t="s">
        <v>77</v>
      </c>
    </row>
    <row r="217" spans="1:12">
      <c r="A217">
        <v>216</v>
      </c>
      <c r="B217" t="s">
        <v>180</v>
      </c>
      <c r="C217" t="s">
        <v>247</v>
      </c>
      <c r="D217">
        <v>0</v>
      </c>
      <c r="E217" t="s">
        <v>165</v>
      </c>
      <c r="F217">
        <v>3</v>
      </c>
      <c r="G217" t="s">
        <v>58</v>
      </c>
      <c r="H217" t="s">
        <v>58</v>
      </c>
      <c r="I217" t="s">
        <v>58</v>
      </c>
      <c r="J217" t="s">
        <v>58</v>
      </c>
      <c r="K217">
        <v>0</v>
      </c>
      <c r="L217" t="s">
        <v>77</v>
      </c>
    </row>
    <row r="218" spans="1:12">
      <c r="A218">
        <v>217</v>
      </c>
      <c r="B218" t="s">
        <v>131</v>
      </c>
      <c r="C218" t="s">
        <v>90</v>
      </c>
      <c r="D218">
        <v>2</v>
      </c>
      <c r="E218" t="s">
        <v>165</v>
      </c>
      <c r="F218">
        <v>3</v>
      </c>
      <c r="G218" t="s">
        <v>58</v>
      </c>
      <c r="H218" t="s">
        <v>58</v>
      </c>
      <c r="I218" t="s">
        <v>105</v>
      </c>
      <c r="J218" t="s">
        <v>244</v>
      </c>
      <c r="K218">
        <v>0</v>
      </c>
      <c r="L218" t="s">
        <v>77</v>
      </c>
    </row>
    <row r="219" spans="1:12">
      <c r="A219">
        <v>218</v>
      </c>
      <c r="B219" t="s">
        <v>131</v>
      </c>
      <c r="C219" t="s">
        <v>92</v>
      </c>
      <c r="D219">
        <v>1</v>
      </c>
      <c r="E219" t="s">
        <v>165</v>
      </c>
      <c r="F219">
        <v>3</v>
      </c>
      <c r="G219" t="s">
        <v>162</v>
      </c>
      <c r="H219" t="s">
        <v>167</v>
      </c>
      <c r="I219" t="s">
        <v>58</v>
      </c>
      <c r="J219" t="s">
        <v>58</v>
      </c>
      <c r="K219">
        <v>0</v>
      </c>
      <c r="L219" t="s">
        <v>77</v>
      </c>
    </row>
    <row r="220" spans="1:12">
      <c r="A220">
        <v>219</v>
      </c>
      <c r="B220" t="s">
        <v>131</v>
      </c>
      <c r="C220" t="s">
        <v>95</v>
      </c>
      <c r="D220">
        <v>1</v>
      </c>
      <c r="E220" t="s">
        <v>165</v>
      </c>
      <c r="F220">
        <v>3</v>
      </c>
      <c r="G220" t="s">
        <v>166</v>
      </c>
      <c r="H220" t="s">
        <v>167</v>
      </c>
      <c r="I220" t="s">
        <v>58</v>
      </c>
      <c r="J220" t="s">
        <v>58</v>
      </c>
      <c r="K220">
        <v>0</v>
      </c>
      <c r="L220" t="s">
        <v>77</v>
      </c>
    </row>
    <row r="221" spans="1:12">
      <c r="A221">
        <v>220</v>
      </c>
      <c r="B221" t="s">
        <v>245</v>
      </c>
      <c r="C221" t="s">
        <v>99</v>
      </c>
      <c r="D221">
        <v>3</v>
      </c>
      <c r="E221" t="s">
        <v>165</v>
      </c>
      <c r="F221">
        <v>3</v>
      </c>
      <c r="G221" t="s">
        <v>58</v>
      </c>
      <c r="H221" t="s">
        <v>58</v>
      </c>
      <c r="I221" t="s">
        <v>58</v>
      </c>
      <c r="J221" t="s">
        <v>58</v>
      </c>
      <c r="K221">
        <v>0</v>
      </c>
      <c r="L221" t="s">
        <v>77</v>
      </c>
    </row>
    <row r="222" spans="1:12">
      <c r="A222">
        <v>221</v>
      </c>
      <c r="B222" t="s">
        <v>245</v>
      </c>
      <c r="C222" t="s">
        <v>102</v>
      </c>
      <c r="D222">
        <v>3</v>
      </c>
      <c r="E222" t="s">
        <v>165</v>
      </c>
      <c r="F222">
        <v>3</v>
      </c>
      <c r="G222" t="s">
        <v>58</v>
      </c>
      <c r="H222" t="s">
        <v>58</v>
      </c>
      <c r="I222" t="s">
        <v>58</v>
      </c>
      <c r="J222" t="s">
        <v>58</v>
      </c>
      <c r="K222">
        <v>0</v>
      </c>
      <c r="L222" t="s">
        <v>77</v>
      </c>
    </row>
    <row r="223" spans="1:12">
      <c r="A223">
        <v>222</v>
      </c>
      <c r="B223" t="s">
        <v>131</v>
      </c>
      <c r="C223" t="s">
        <v>247</v>
      </c>
      <c r="D223">
        <v>4</v>
      </c>
      <c r="E223" t="s">
        <v>165</v>
      </c>
      <c r="F223">
        <v>3</v>
      </c>
      <c r="G223" t="s">
        <v>58</v>
      </c>
      <c r="H223" t="s">
        <v>58</v>
      </c>
      <c r="I223" t="s">
        <v>58</v>
      </c>
      <c r="J223" t="s">
        <v>58</v>
      </c>
      <c r="K223">
        <v>5</v>
      </c>
      <c r="L223" t="s">
        <v>77</v>
      </c>
    </row>
    <row r="224" spans="1:12">
      <c r="A224">
        <v>223</v>
      </c>
      <c r="B224" t="s">
        <v>131</v>
      </c>
      <c r="C224" t="s">
        <v>90</v>
      </c>
      <c r="D224">
        <v>4</v>
      </c>
      <c r="E224" t="s">
        <v>165</v>
      </c>
      <c r="F224">
        <v>3</v>
      </c>
      <c r="G224" t="s">
        <v>58</v>
      </c>
      <c r="H224" t="s">
        <v>58</v>
      </c>
      <c r="I224" t="s">
        <v>58</v>
      </c>
      <c r="J224" t="s">
        <v>58</v>
      </c>
      <c r="K224">
        <v>5</v>
      </c>
      <c r="L224" t="s">
        <v>77</v>
      </c>
    </row>
    <row r="225" spans="1:12">
      <c r="A225">
        <v>224</v>
      </c>
      <c r="B225" t="s">
        <v>131</v>
      </c>
      <c r="C225" t="s">
        <v>92</v>
      </c>
      <c r="D225">
        <v>5</v>
      </c>
      <c r="E225" t="s">
        <v>165</v>
      </c>
      <c r="F225">
        <v>3</v>
      </c>
      <c r="G225" t="s">
        <v>58</v>
      </c>
      <c r="H225" t="s">
        <v>58</v>
      </c>
      <c r="I225" t="s">
        <v>58</v>
      </c>
      <c r="J225" t="s">
        <v>58</v>
      </c>
      <c r="K225">
        <v>0</v>
      </c>
      <c r="L225" t="s">
        <v>77</v>
      </c>
    </row>
    <row r="226" spans="1:12">
      <c r="A226">
        <v>225</v>
      </c>
      <c r="B226" t="s">
        <v>245</v>
      </c>
      <c r="C226" t="s">
        <v>95</v>
      </c>
      <c r="D226">
        <v>5</v>
      </c>
      <c r="E226" t="s">
        <v>165</v>
      </c>
      <c r="F226">
        <v>3</v>
      </c>
      <c r="G226" t="s">
        <v>58</v>
      </c>
      <c r="H226" t="s">
        <v>58</v>
      </c>
      <c r="I226" t="s">
        <v>58</v>
      </c>
      <c r="J226" t="s">
        <v>58</v>
      </c>
      <c r="K226">
        <v>0</v>
      </c>
      <c r="L226" t="s">
        <v>77</v>
      </c>
    </row>
    <row r="227" spans="1:12">
      <c r="A227">
        <v>226</v>
      </c>
      <c r="B227" t="s">
        <v>245</v>
      </c>
      <c r="C227" t="s">
        <v>95</v>
      </c>
      <c r="D227">
        <v>5</v>
      </c>
      <c r="E227" t="s">
        <v>165</v>
      </c>
      <c r="F227">
        <v>3</v>
      </c>
      <c r="G227" t="s">
        <v>58</v>
      </c>
      <c r="H227" t="s">
        <v>58</v>
      </c>
      <c r="I227" t="s">
        <v>58</v>
      </c>
      <c r="J227" t="s">
        <v>58</v>
      </c>
      <c r="K227">
        <v>0</v>
      </c>
      <c r="L227" t="s">
        <v>77</v>
      </c>
    </row>
    <row r="228" spans="1:12">
      <c r="A228">
        <v>227</v>
      </c>
      <c r="B228" t="s">
        <v>131</v>
      </c>
      <c r="C228" t="s">
        <v>99</v>
      </c>
      <c r="D228">
        <v>2</v>
      </c>
      <c r="E228" t="s">
        <v>165</v>
      </c>
      <c r="F228">
        <v>3</v>
      </c>
      <c r="G228" t="s">
        <v>58</v>
      </c>
      <c r="H228" t="s">
        <v>58</v>
      </c>
      <c r="I228" t="s">
        <v>119</v>
      </c>
      <c r="J228" t="s">
        <v>239</v>
      </c>
      <c r="K228">
        <v>0</v>
      </c>
      <c r="L228" t="s">
        <v>77</v>
      </c>
    </row>
    <row r="229" spans="1:12">
      <c r="A229">
        <v>228</v>
      </c>
      <c r="B229" t="s">
        <v>131</v>
      </c>
      <c r="C229" t="s">
        <v>102</v>
      </c>
      <c r="D229">
        <v>2</v>
      </c>
      <c r="E229" t="s">
        <v>165</v>
      </c>
      <c r="F229">
        <v>3</v>
      </c>
      <c r="G229" t="s">
        <v>58</v>
      </c>
      <c r="H229" t="s">
        <v>58</v>
      </c>
      <c r="I229" t="s">
        <v>141</v>
      </c>
      <c r="J229" t="s">
        <v>240</v>
      </c>
      <c r="K229">
        <v>0</v>
      </c>
      <c r="L229" t="s">
        <v>77</v>
      </c>
    </row>
    <row r="230" spans="1:12">
      <c r="A230">
        <v>229</v>
      </c>
      <c r="B230" t="s">
        <v>131</v>
      </c>
      <c r="C230" t="s">
        <v>247</v>
      </c>
      <c r="D230">
        <v>1</v>
      </c>
      <c r="E230" t="s">
        <v>165</v>
      </c>
      <c r="F230">
        <v>3</v>
      </c>
      <c r="G230" t="s">
        <v>162</v>
      </c>
      <c r="H230" t="s">
        <v>167</v>
      </c>
      <c r="I230" t="s">
        <v>58</v>
      </c>
      <c r="J230" t="s">
        <v>58</v>
      </c>
      <c r="K230">
        <v>0</v>
      </c>
      <c r="L230" t="s">
        <v>77</v>
      </c>
    </row>
    <row r="231" spans="1:12">
      <c r="A231">
        <v>230</v>
      </c>
      <c r="B231" t="s">
        <v>131</v>
      </c>
      <c r="C231" t="s">
        <v>90</v>
      </c>
      <c r="D231">
        <v>1</v>
      </c>
      <c r="E231" t="s">
        <v>165</v>
      </c>
      <c r="F231">
        <v>3</v>
      </c>
      <c r="G231" t="s">
        <v>109</v>
      </c>
      <c r="H231" t="s">
        <v>151</v>
      </c>
      <c r="I231" t="s">
        <v>58</v>
      </c>
      <c r="J231" t="s">
        <v>58</v>
      </c>
      <c r="K231">
        <v>0</v>
      </c>
      <c r="L231" t="s">
        <v>77</v>
      </c>
    </row>
    <row r="232" spans="1:12">
      <c r="A232">
        <v>231</v>
      </c>
      <c r="B232" t="s">
        <v>245</v>
      </c>
      <c r="C232" t="s">
        <v>92</v>
      </c>
      <c r="D232">
        <v>3</v>
      </c>
      <c r="E232" t="s">
        <v>165</v>
      </c>
      <c r="F232">
        <v>3</v>
      </c>
      <c r="G232" t="s">
        <v>58</v>
      </c>
      <c r="H232" t="s">
        <v>58</v>
      </c>
      <c r="I232" t="s">
        <v>58</v>
      </c>
      <c r="J232" t="s">
        <v>58</v>
      </c>
      <c r="K232">
        <v>0</v>
      </c>
      <c r="L232" t="s">
        <v>77</v>
      </c>
    </row>
    <row r="233" spans="1:12">
      <c r="A233">
        <v>232</v>
      </c>
      <c r="B233" t="s">
        <v>245</v>
      </c>
      <c r="C233" t="s">
        <v>95</v>
      </c>
      <c r="D233">
        <v>3</v>
      </c>
      <c r="E233" t="s">
        <v>165</v>
      </c>
      <c r="F233">
        <v>3</v>
      </c>
      <c r="G233" t="s">
        <v>58</v>
      </c>
      <c r="H233" t="s">
        <v>58</v>
      </c>
      <c r="I233" t="s">
        <v>58</v>
      </c>
      <c r="J233" t="s">
        <v>58</v>
      </c>
      <c r="K233">
        <v>0</v>
      </c>
      <c r="L233" t="s">
        <v>77</v>
      </c>
    </row>
    <row r="234" spans="1:12">
      <c r="A234">
        <v>233</v>
      </c>
      <c r="B234" t="s">
        <v>131</v>
      </c>
      <c r="C234" t="s">
        <v>99</v>
      </c>
      <c r="D234">
        <v>4</v>
      </c>
      <c r="E234" t="s">
        <v>165</v>
      </c>
      <c r="F234">
        <v>3</v>
      </c>
      <c r="G234" t="s">
        <v>58</v>
      </c>
      <c r="H234" t="s">
        <v>58</v>
      </c>
      <c r="I234" t="s">
        <v>58</v>
      </c>
      <c r="J234" t="s">
        <v>58</v>
      </c>
      <c r="K234">
        <v>5</v>
      </c>
      <c r="L234" t="s">
        <v>77</v>
      </c>
    </row>
    <row r="235" spans="1:12">
      <c r="A235">
        <v>234</v>
      </c>
      <c r="B235" t="s">
        <v>131</v>
      </c>
      <c r="C235" t="s">
        <v>102</v>
      </c>
      <c r="D235">
        <v>4</v>
      </c>
      <c r="E235" t="s">
        <v>165</v>
      </c>
      <c r="F235">
        <v>3</v>
      </c>
      <c r="G235" t="s">
        <v>58</v>
      </c>
      <c r="H235" t="s">
        <v>58</v>
      </c>
      <c r="I235" t="s">
        <v>58</v>
      </c>
      <c r="J235" t="s">
        <v>58</v>
      </c>
      <c r="K235">
        <v>5</v>
      </c>
      <c r="L235" t="s">
        <v>77</v>
      </c>
    </row>
    <row r="236" spans="1:12">
      <c r="A236">
        <v>235</v>
      </c>
      <c r="B236" t="s">
        <v>180</v>
      </c>
      <c r="C236" t="s">
        <v>247</v>
      </c>
      <c r="D236">
        <v>0</v>
      </c>
      <c r="E236" t="s">
        <v>165</v>
      </c>
      <c r="F236">
        <v>3</v>
      </c>
      <c r="G236" t="s">
        <v>58</v>
      </c>
      <c r="H236" t="s">
        <v>58</v>
      </c>
      <c r="I236" t="s">
        <v>58</v>
      </c>
      <c r="J236" t="s">
        <v>58</v>
      </c>
      <c r="K236">
        <v>0</v>
      </c>
      <c r="L236" t="s">
        <v>77</v>
      </c>
    </row>
    <row r="237" spans="1:12">
      <c r="A237">
        <v>236</v>
      </c>
      <c r="B237" t="s">
        <v>131</v>
      </c>
      <c r="C237" t="s">
        <v>90</v>
      </c>
      <c r="D237">
        <v>2</v>
      </c>
      <c r="E237" t="s">
        <v>165</v>
      </c>
      <c r="F237">
        <v>3</v>
      </c>
      <c r="G237" t="s">
        <v>58</v>
      </c>
      <c r="H237" t="s">
        <v>58</v>
      </c>
      <c r="I237" t="s">
        <v>105</v>
      </c>
      <c r="J237" t="s">
        <v>244</v>
      </c>
      <c r="K237">
        <v>0</v>
      </c>
      <c r="L237" t="s">
        <v>77</v>
      </c>
    </row>
    <row r="238" spans="1:12">
      <c r="A238">
        <v>237</v>
      </c>
      <c r="B238" t="s">
        <v>131</v>
      </c>
      <c r="C238" t="s">
        <v>92</v>
      </c>
      <c r="D238">
        <v>1</v>
      </c>
      <c r="E238" t="s">
        <v>165</v>
      </c>
      <c r="F238">
        <v>3</v>
      </c>
      <c r="G238" t="s">
        <v>162</v>
      </c>
      <c r="H238" t="s">
        <v>167</v>
      </c>
      <c r="I238" t="s">
        <v>58</v>
      </c>
      <c r="J238" t="s">
        <v>58</v>
      </c>
      <c r="K238">
        <v>0</v>
      </c>
      <c r="L238" t="s">
        <v>77</v>
      </c>
    </row>
    <row r="239" spans="1:12">
      <c r="A239">
        <v>238</v>
      </c>
      <c r="B239" t="s">
        <v>131</v>
      </c>
      <c r="C239" t="s">
        <v>95</v>
      </c>
      <c r="D239">
        <v>1</v>
      </c>
      <c r="E239" t="s">
        <v>165</v>
      </c>
      <c r="F239">
        <v>3</v>
      </c>
      <c r="G239" t="s">
        <v>166</v>
      </c>
      <c r="H239" t="s">
        <v>167</v>
      </c>
      <c r="I239" t="s">
        <v>58</v>
      </c>
      <c r="J239" t="s">
        <v>58</v>
      </c>
      <c r="K239">
        <v>0</v>
      </c>
      <c r="L239" t="s">
        <v>77</v>
      </c>
    </row>
    <row r="240" spans="1:12">
      <c r="A240">
        <v>239</v>
      </c>
      <c r="B240" t="s">
        <v>245</v>
      </c>
      <c r="C240" t="s">
        <v>99</v>
      </c>
      <c r="D240">
        <v>3</v>
      </c>
      <c r="E240" t="s">
        <v>165</v>
      </c>
      <c r="F240">
        <v>3</v>
      </c>
      <c r="G240" t="s">
        <v>58</v>
      </c>
      <c r="H240" t="s">
        <v>58</v>
      </c>
      <c r="I240" t="s">
        <v>58</v>
      </c>
      <c r="J240" t="s">
        <v>58</v>
      </c>
      <c r="K240">
        <v>0</v>
      </c>
      <c r="L240" t="s">
        <v>77</v>
      </c>
    </row>
    <row r="241" spans="1:12">
      <c r="A241">
        <v>240</v>
      </c>
      <c r="B241" t="s">
        <v>245</v>
      </c>
      <c r="C241" t="s">
        <v>102</v>
      </c>
      <c r="D241">
        <v>3</v>
      </c>
      <c r="E241" t="s">
        <v>165</v>
      </c>
      <c r="F241">
        <v>3</v>
      </c>
      <c r="G241" t="s">
        <v>58</v>
      </c>
      <c r="H241" t="s">
        <v>58</v>
      </c>
      <c r="I241" t="s">
        <v>58</v>
      </c>
      <c r="J241" t="s">
        <v>58</v>
      </c>
      <c r="K241">
        <v>0</v>
      </c>
      <c r="L241" t="s">
        <v>77</v>
      </c>
    </row>
    <row r="242" spans="1:12">
      <c r="A242">
        <v>241</v>
      </c>
      <c r="B242" t="s">
        <v>245</v>
      </c>
      <c r="C242" t="s">
        <v>90</v>
      </c>
      <c r="D242">
        <v>1</v>
      </c>
      <c r="E242" t="s">
        <v>165</v>
      </c>
      <c r="F242">
        <v>3</v>
      </c>
      <c r="G242" t="s">
        <v>109</v>
      </c>
      <c r="H242" t="s">
        <v>151</v>
      </c>
      <c r="I242" t="s">
        <v>58</v>
      </c>
      <c r="J242" t="s">
        <v>58</v>
      </c>
      <c r="K242">
        <v>0</v>
      </c>
      <c r="L242" t="s">
        <v>77</v>
      </c>
    </row>
    <row r="243" spans="1:12">
      <c r="A243">
        <v>242</v>
      </c>
      <c r="B243" t="s">
        <v>131</v>
      </c>
      <c r="C243" t="s">
        <v>92</v>
      </c>
      <c r="D243">
        <v>3</v>
      </c>
      <c r="E243" t="s">
        <v>165</v>
      </c>
      <c r="F243">
        <v>3</v>
      </c>
      <c r="G243" t="s">
        <v>58</v>
      </c>
      <c r="H243" t="s">
        <v>58</v>
      </c>
      <c r="I243" t="s">
        <v>58</v>
      </c>
      <c r="J243" t="s">
        <v>58</v>
      </c>
      <c r="K243">
        <v>0</v>
      </c>
      <c r="L243" t="s">
        <v>77</v>
      </c>
    </row>
    <row r="244" spans="1:12">
      <c r="A244">
        <v>243</v>
      </c>
      <c r="B244" t="s">
        <v>131</v>
      </c>
      <c r="C244" t="s">
        <v>95</v>
      </c>
      <c r="D244">
        <v>3</v>
      </c>
      <c r="E244" t="s">
        <v>165</v>
      </c>
      <c r="F244">
        <v>3</v>
      </c>
      <c r="G244" t="s">
        <v>58</v>
      </c>
      <c r="H244" t="s">
        <v>58</v>
      </c>
      <c r="I244" t="s">
        <v>58</v>
      </c>
      <c r="J244" t="s">
        <v>58</v>
      </c>
      <c r="K244">
        <v>0</v>
      </c>
      <c r="L244" t="s">
        <v>77</v>
      </c>
    </row>
    <row r="245" spans="1:12">
      <c r="A245">
        <v>244</v>
      </c>
      <c r="B245" t="s">
        <v>131</v>
      </c>
      <c r="C245" t="s">
        <v>99</v>
      </c>
      <c r="D245">
        <v>4</v>
      </c>
      <c r="E245" t="s">
        <v>165</v>
      </c>
      <c r="F245">
        <v>3</v>
      </c>
      <c r="G245" t="s">
        <v>58</v>
      </c>
      <c r="H245" t="s">
        <v>58</v>
      </c>
      <c r="I245" t="s">
        <v>58</v>
      </c>
      <c r="J245" t="s">
        <v>58</v>
      </c>
      <c r="K245">
        <v>5</v>
      </c>
      <c r="L245" t="s">
        <v>77</v>
      </c>
    </row>
    <row r="246" spans="1:12">
      <c r="A246">
        <v>245</v>
      </c>
      <c r="B246" t="s">
        <v>131</v>
      </c>
      <c r="C246" t="s">
        <v>102</v>
      </c>
      <c r="D246">
        <v>4</v>
      </c>
      <c r="E246" t="s">
        <v>165</v>
      </c>
      <c r="F246">
        <v>3</v>
      </c>
      <c r="G246" t="s">
        <v>58</v>
      </c>
      <c r="H246" t="s">
        <v>58</v>
      </c>
      <c r="I246" t="s">
        <v>58</v>
      </c>
      <c r="J246" t="s">
        <v>58</v>
      </c>
      <c r="K246">
        <v>5</v>
      </c>
      <c r="L246" t="s">
        <v>77</v>
      </c>
    </row>
    <row r="247" spans="1:12">
      <c r="A247">
        <v>246</v>
      </c>
      <c r="B247" t="s">
        <v>180</v>
      </c>
      <c r="C247" t="s">
        <v>247</v>
      </c>
      <c r="D247">
        <v>0</v>
      </c>
      <c r="E247" t="s">
        <v>165</v>
      </c>
      <c r="F247">
        <v>3</v>
      </c>
      <c r="G247" t="s">
        <v>58</v>
      </c>
      <c r="H247" t="s">
        <v>58</v>
      </c>
      <c r="I247" t="s">
        <v>58</v>
      </c>
      <c r="J247" t="s">
        <v>58</v>
      </c>
      <c r="K247">
        <v>0</v>
      </c>
      <c r="L247" t="s">
        <v>77</v>
      </c>
    </row>
    <row r="248" spans="1:12">
      <c r="A248">
        <v>247</v>
      </c>
      <c r="B248" t="s">
        <v>131</v>
      </c>
      <c r="C248" t="s">
        <v>102</v>
      </c>
      <c r="D248">
        <v>5</v>
      </c>
      <c r="E248" t="s">
        <v>165</v>
      </c>
      <c r="F248">
        <v>3</v>
      </c>
      <c r="G248" t="s">
        <v>58</v>
      </c>
      <c r="H248" t="s">
        <v>58</v>
      </c>
      <c r="I248" t="s">
        <v>58</v>
      </c>
      <c r="J248" t="s">
        <v>58</v>
      </c>
      <c r="K248">
        <v>0</v>
      </c>
      <c r="L248" t="s">
        <v>77</v>
      </c>
    </row>
    <row r="249" spans="1:12">
      <c r="A249">
        <v>248</v>
      </c>
      <c r="B249" t="s">
        <v>131</v>
      </c>
      <c r="C249" t="s">
        <v>247</v>
      </c>
      <c r="D249">
        <v>2</v>
      </c>
      <c r="E249" t="s">
        <v>165</v>
      </c>
      <c r="F249">
        <v>3</v>
      </c>
      <c r="G249" t="s">
        <v>58</v>
      </c>
      <c r="H249" t="s">
        <v>58</v>
      </c>
      <c r="I249" t="s">
        <v>153</v>
      </c>
      <c r="J249" t="s">
        <v>233</v>
      </c>
      <c r="K249">
        <v>0</v>
      </c>
      <c r="L249" t="s">
        <v>77</v>
      </c>
    </row>
    <row r="250" spans="1:12">
      <c r="A250">
        <v>249</v>
      </c>
      <c r="B250" t="s">
        <v>131</v>
      </c>
      <c r="C250" t="s">
        <v>90</v>
      </c>
      <c r="D250">
        <v>2</v>
      </c>
      <c r="E250" t="s">
        <v>165</v>
      </c>
      <c r="F250">
        <v>3</v>
      </c>
      <c r="G250" t="s">
        <v>58</v>
      </c>
      <c r="H250" t="s">
        <v>58</v>
      </c>
      <c r="I250" t="s">
        <v>105</v>
      </c>
      <c r="J250" t="s">
        <v>244</v>
      </c>
      <c r="K250">
        <v>0</v>
      </c>
      <c r="L250" t="s">
        <v>77</v>
      </c>
    </row>
    <row r="251" spans="1:12">
      <c r="A251">
        <v>250</v>
      </c>
      <c r="B251" t="s">
        <v>131</v>
      </c>
      <c r="C251" t="s">
        <v>92</v>
      </c>
      <c r="D251">
        <v>1</v>
      </c>
      <c r="E251" t="s">
        <v>165</v>
      </c>
      <c r="F251">
        <v>3</v>
      </c>
      <c r="G251" t="s">
        <v>162</v>
      </c>
      <c r="H251" t="s">
        <v>167</v>
      </c>
      <c r="I251" t="s">
        <v>58</v>
      </c>
      <c r="J251" t="s">
        <v>58</v>
      </c>
      <c r="K251">
        <v>0</v>
      </c>
      <c r="L251" t="s">
        <v>77</v>
      </c>
    </row>
    <row r="252" spans="1:12">
      <c r="A252">
        <v>251</v>
      </c>
      <c r="B252" t="s">
        <v>131</v>
      </c>
      <c r="C252" t="s">
        <v>95</v>
      </c>
      <c r="D252">
        <v>1</v>
      </c>
      <c r="E252" t="s">
        <v>165</v>
      </c>
      <c r="F252">
        <v>3</v>
      </c>
      <c r="G252" t="s">
        <v>166</v>
      </c>
      <c r="H252" t="s">
        <v>167</v>
      </c>
      <c r="I252" t="s">
        <v>58</v>
      </c>
      <c r="J252" t="s">
        <v>58</v>
      </c>
      <c r="K252">
        <v>0</v>
      </c>
      <c r="L252" t="s">
        <v>77</v>
      </c>
    </row>
    <row r="253" spans="1:12">
      <c r="A253">
        <v>252</v>
      </c>
      <c r="B253" t="s">
        <v>245</v>
      </c>
      <c r="C253" t="s">
        <v>99</v>
      </c>
      <c r="D253">
        <v>3</v>
      </c>
      <c r="E253" t="s">
        <v>165</v>
      </c>
      <c r="F253">
        <v>3</v>
      </c>
      <c r="G253" t="s">
        <v>58</v>
      </c>
      <c r="H253" t="s">
        <v>58</v>
      </c>
      <c r="I253" t="s">
        <v>58</v>
      </c>
      <c r="J253" t="s">
        <v>58</v>
      </c>
      <c r="K253">
        <v>0</v>
      </c>
      <c r="L253" t="s">
        <v>77</v>
      </c>
    </row>
    <row r="254" spans="1:12">
      <c r="A254">
        <v>253</v>
      </c>
      <c r="B254" t="s">
        <v>245</v>
      </c>
      <c r="C254" t="s">
        <v>102</v>
      </c>
      <c r="D254">
        <v>5</v>
      </c>
      <c r="E254" t="s">
        <v>165</v>
      </c>
      <c r="F254">
        <v>3</v>
      </c>
      <c r="G254" t="s">
        <v>58</v>
      </c>
      <c r="H254" t="s">
        <v>58</v>
      </c>
      <c r="I254" t="s">
        <v>58</v>
      </c>
      <c r="J254" t="s">
        <v>58</v>
      </c>
      <c r="K254">
        <v>0</v>
      </c>
      <c r="L254" t="s">
        <v>77</v>
      </c>
    </row>
    <row r="255" spans="1:12">
      <c r="A255">
        <v>254</v>
      </c>
      <c r="B255" t="s">
        <v>245</v>
      </c>
      <c r="C255" t="s">
        <v>247</v>
      </c>
      <c r="D255">
        <v>2</v>
      </c>
      <c r="E255" t="s">
        <v>165</v>
      </c>
      <c r="F255">
        <v>3</v>
      </c>
      <c r="G255" t="s">
        <v>58</v>
      </c>
      <c r="H255" t="s">
        <v>58</v>
      </c>
      <c r="I255" t="s">
        <v>153</v>
      </c>
      <c r="J255" t="s">
        <v>233</v>
      </c>
      <c r="K255">
        <v>0</v>
      </c>
      <c r="L255" t="s">
        <v>77</v>
      </c>
    </row>
    <row r="256" spans="1:12">
      <c r="A256">
        <v>255</v>
      </c>
      <c r="B256" t="s">
        <v>131</v>
      </c>
      <c r="C256" t="s">
        <v>90</v>
      </c>
      <c r="D256">
        <v>2</v>
      </c>
      <c r="E256" t="s">
        <v>165</v>
      </c>
      <c r="F256">
        <v>3</v>
      </c>
      <c r="G256" t="s">
        <v>58</v>
      </c>
      <c r="H256" t="s">
        <v>58</v>
      </c>
      <c r="I256" t="s">
        <v>105</v>
      </c>
      <c r="J256" t="s">
        <v>244</v>
      </c>
      <c r="K256">
        <v>0</v>
      </c>
      <c r="L256" t="s">
        <v>77</v>
      </c>
    </row>
    <row r="257" spans="1:12">
      <c r="A257">
        <v>256</v>
      </c>
      <c r="B257" t="s">
        <v>131</v>
      </c>
      <c r="C257" t="s">
        <v>92</v>
      </c>
      <c r="D257">
        <v>1</v>
      </c>
      <c r="E257" t="s">
        <v>165</v>
      </c>
      <c r="F257">
        <v>3</v>
      </c>
      <c r="G257" t="s">
        <v>162</v>
      </c>
      <c r="H257" t="s">
        <v>167</v>
      </c>
      <c r="I257" t="s">
        <v>58</v>
      </c>
      <c r="J257" t="s">
        <v>58</v>
      </c>
      <c r="K257">
        <v>0</v>
      </c>
      <c r="L257" t="s">
        <v>77</v>
      </c>
    </row>
    <row r="258" spans="1:12">
      <c r="A258">
        <v>257</v>
      </c>
      <c r="B258" t="s">
        <v>131</v>
      </c>
      <c r="C258" t="s">
        <v>95</v>
      </c>
      <c r="D258">
        <v>1</v>
      </c>
      <c r="E258" t="s">
        <v>165</v>
      </c>
      <c r="F258">
        <v>3</v>
      </c>
      <c r="G258" t="s">
        <v>166</v>
      </c>
      <c r="H258" t="s">
        <v>167</v>
      </c>
      <c r="I258" t="s">
        <v>58</v>
      </c>
      <c r="J258" t="s">
        <v>58</v>
      </c>
      <c r="K258">
        <v>0</v>
      </c>
      <c r="L258" t="s">
        <v>77</v>
      </c>
    </row>
    <row r="259" spans="1:12">
      <c r="A259">
        <v>258</v>
      </c>
      <c r="B259" t="s">
        <v>245</v>
      </c>
      <c r="C259" t="s">
        <v>99</v>
      </c>
      <c r="D259">
        <v>3</v>
      </c>
      <c r="E259" t="s">
        <v>165</v>
      </c>
      <c r="F259">
        <v>3</v>
      </c>
      <c r="G259" t="s">
        <v>58</v>
      </c>
      <c r="H259" t="s">
        <v>58</v>
      </c>
      <c r="I259" t="s">
        <v>58</v>
      </c>
      <c r="J259" t="s">
        <v>58</v>
      </c>
      <c r="K259">
        <v>0</v>
      </c>
      <c r="L259" t="s">
        <v>77</v>
      </c>
    </row>
    <row r="260" spans="1:12">
      <c r="A260">
        <v>259</v>
      </c>
      <c r="B260" t="s">
        <v>245</v>
      </c>
      <c r="C260" t="s">
        <v>102</v>
      </c>
      <c r="D260">
        <v>3</v>
      </c>
      <c r="E260" t="s">
        <v>165</v>
      </c>
      <c r="F260">
        <v>3</v>
      </c>
      <c r="G260" t="s">
        <v>58</v>
      </c>
      <c r="H260" t="s">
        <v>58</v>
      </c>
      <c r="I260" t="s">
        <v>58</v>
      </c>
      <c r="J260" t="s">
        <v>58</v>
      </c>
      <c r="K260">
        <v>0</v>
      </c>
      <c r="L260" t="s">
        <v>77</v>
      </c>
    </row>
    <row r="261" spans="1:12">
      <c r="A261">
        <v>260</v>
      </c>
      <c r="B261" t="s">
        <v>131</v>
      </c>
      <c r="C261" t="s">
        <v>247</v>
      </c>
      <c r="D261">
        <v>4</v>
      </c>
      <c r="E261" t="s">
        <v>165</v>
      </c>
      <c r="F261">
        <v>3</v>
      </c>
      <c r="G261" t="s">
        <v>58</v>
      </c>
      <c r="H261" t="s">
        <v>58</v>
      </c>
      <c r="I261" t="s">
        <v>58</v>
      </c>
      <c r="J261" t="s">
        <v>58</v>
      </c>
      <c r="K261">
        <v>5</v>
      </c>
      <c r="L261" t="s">
        <v>77</v>
      </c>
    </row>
    <row r="262" spans="1:12">
      <c r="A262">
        <v>261</v>
      </c>
      <c r="B262" t="s">
        <v>131</v>
      </c>
      <c r="C262" t="s">
        <v>90</v>
      </c>
      <c r="D262">
        <v>4</v>
      </c>
      <c r="E262" t="s">
        <v>165</v>
      </c>
      <c r="F262">
        <v>3</v>
      </c>
      <c r="G262" t="s">
        <v>58</v>
      </c>
      <c r="H262" t="s">
        <v>58</v>
      </c>
      <c r="I262" t="s">
        <v>58</v>
      </c>
      <c r="J262" t="s">
        <v>58</v>
      </c>
      <c r="K262">
        <v>5</v>
      </c>
      <c r="L262" t="s">
        <v>77</v>
      </c>
    </row>
    <row r="263" spans="1:12">
      <c r="A263">
        <v>262</v>
      </c>
      <c r="B263" t="s">
        <v>131</v>
      </c>
      <c r="C263" t="s">
        <v>92</v>
      </c>
      <c r="D263">
        <v>5</v>
      </c>
      <c r="E263" t="s">
        <v>165</v>
      </c>
      <c r="F263">
        <v>3</v>
      </c>
      <c r="G263" t="s">
        <v>58</v>
      </c>
      <c r="H263" t="s">
        <v>58</v>
      </c>
      <c r="I263" t="s">
        <v>58</v>
      </c>
      <c r="J263" t="s">
        <v>58</v>
      </c>
      <c r="K263">
        <v>0</v>
      </c>
      <c r="L263" t="s">
        <v>77</v>
      </c>
    </row>
    <row r="264" spans="1:12">
      <c r="A264">
        <v>263</v>
      </c>
      <c r="B264" t="s">
        <v>131</v>
      </c>
      <c r="C264" t="s">
        <v>95</v>
      </c>
      <c r="D264">
        <v>5</v>
      </c>
      <c r="E264" t="s">
        <v>165</v>
      </c>
      <c r="F264">
        <v>3</v>
      </c>
      <c r="G264" t="s">
        <v>58</v>
      </c>
      <c r="H264" t="s">
        <v>58</v>
      </c>
      <c r="I264" t="s">
        <v>58</v>
      </c>
      <c r="J264" t="s">
        <v>58</v>
      </c>
      <c r="K264">
        <v>0</v>
      </c>
      <c r="L264" t="s">
        <v>77</v>
      </c>
    </row>
    <row r="265" spans="1:12">
      <c r="A265">
        <v>264</v>
      </c>
      <c r="B265" t="s">
        <v>131</v>
      </c>
      <c r="C265" t="s">
        <v>99</v>
      </c>
      <c r="D265">
        <v>2</v>
      </c>
      <c r="E265" t="s">
        <v>165</v>
      </c>
      <c r="F265">
        <v>3</v>
      </c>
      <c r="G265" t="s">
        <v>58</v>
      </c>
      <c r="H265" t="s">
        <v>58</v>
      </c>
      <c r="I265" t="s">
        <v>119</v>
      </c>
      <c r="J265" t="s">
        <v>239</v>
      </c>
      <c r="K265">
        <v>0</v>
      </c>
      <c r="L265" t="s">
        <v>77</v>
      </c>
    </row>
    <row r="266" spans="1:12">
      <c r="A266">
        <v>265</v>
      </c>
      <c r="B266" t="s">
        <v>131</v>
      </c>
      <c r="C266" t="s">
        <v>102</v>
      </c>
      <c r="D266">
        <v>2</v>
      </c>
      <c r="E266" t="s">
        <v>165</v>
      </c>
      <c r="F266">
        <v>3</v>
      </c>
      <c r="G266" t="s">
        <v>58</v>
      </c>
      <c r="H266" t="s">
        <v>58</v>
      </c>
      <c r="I266" t="s">
        <v>141</v>
      </c>
      <c r="J266" t="s">
        <v>240</v>
      </c>
      <c r="K266">
        <v>0</v>
      </c>
      <c r="L266" t="s">
        <v>77</v>
      </c>
    </row>
    <row r="267" spans="1:12">
      <c r="A267">
        <v>266</v>
      </c>
      <c r="B267" t="s">
        <v>245</v>
      </c>
      <c r="C267" t="s">
        <v>247</v>
      </c>
      <c r="D267">
        <v>1</v>
      </c>
      <c r="E267" t="s">
        <v>165</v>
      </c>
      <c r="F267">
        <v>3</v>
      </c>
      <c r="G267" t="s">
        <v>162</v>
      </c>
      <c r="H267" t="s">
        <v>167</v>
      </c>
      <c r="I267" t="s">
        <v>58</v>
      </c>
      <c r="J267" t="s">
        <v>58</v>
      </c>
      <c r="K267">
        <v>0</v>
      </c>
      <c r="L267" t="s">
        <v>77</v>
      </c>
    </row>
    <row r="268" spans="1:12">
      <c r="A268">
        <v>267</v>
      </c>
      <c r="B268" t="s">
        <v>245</v>
      </c>
      <c r="C268" t="s">
        <v>90</v>
      </c>
      <c r="D268">
        <v>1</v>
      </c>
      <c r="E268" t="s">
        <v>165</v>
      </c>
      <c r="F268">
        <v>3</v>
      </c>
      <c r="G268" t="s">
        <v>109</v>
      </c>
      <c r="H268" t="s">
        <v>151</v>
      </c>
      <c r="I268" t="s">
        <v>58</v>
      </c>
      <c r="J268" t="s">
        <v>58</v>
      </c>
      <c r="K268">
        <v>0</v>
      </c>
      <c r="L268" t="s">
        <v>77</v>
      </c>
    </row>
    <row r="269" spans="1:12">
      <c r="A269">
        <v>268</v>
      </c>
      <c r="B269" t="s">
        <v>131</v>
      </c>
      <c r="C269" t="s">
        <v>92</v>
      </c>
      <c r="D269">
        <v>3</v>
      </c>
      <c r="E269" t="s">
        <v>165</v>
      </c>
      <c r="F269">
        <v>3</v>
      </c>
      <c r="G269" t="s">
        <v>58</v>
      </c>
      <c r="H269" t="s">
        <v>58</v>
      </c>
      <c r="I269" t="s">
        <v>58</v>
      </c>
      <c r="J269" t="s">
        <v>58</v>
      </c>
      <c r="K269">
        <v>0</v>
      </c>
      <c r="L269" t="s">
        <v>77</v>
      </c>
    </row>
    <row r="270" spans="1:12">
      <c r="A270">
        <v>269</v>
      </c>
      <c r="B270" t="s">
        <v>131</v>
      </c>
      <c r="C270" t="s">
        <v>95</v>
      </c>
      <c r="D270">
        <v>3</v>
      </c>
      <c r="E270" t="s">
        <v>165</v>
      </c>
      <c r="F270">
        <v>3</v>
      </c>
      <c r="G270" t="s">
        <v>58</v>
      </c>
      <c r="H270" t="s">
        <v>58</v>
      </c>
      <c r="I270" t="s">
        <v>58</v>
      </c>
      <c r="J270" t="s">
        <v>58</v>
      </c>
      <c r="K270">
        <v>0</v>
      </c>
      <c r="L270" t="s">
        <v>77</v>
      </c>
    </row>
    <row r="271" spans="1:12">
      <c r="A271">
        <v>270</v>
      </c>
      <c r="B271" t="s">
        <v>131</v>
      </c>
      <c r="C271" t="s">
        <v>99</v>
      </c>
      <c r="D271">
        <v>4</v>
      </c>
      <c r="E271" t="s">
        <v>165</v>
      </c>
      <c r="F271">
        <v>3</v>
      </c>
      <c r="G271" t="s">
        <v>58</v>
      </c>
      <c r="H271" t="s">
        <v>58</v>
      </c>
      <c r="I271" t="s">
        <v>58</v>
      </c>
      <c r="J271" t="s">
        <v>58</v>
      </c>
      <c r="K271">
        <v>5</v>
      </c>
      <c r="L271" t="s">
        <v>77</v>
      </c>
    </row>
    <row r="272" spans="1:12">
      <c r="A272">
        <v>271</v>
      </c>
      <c r="B272" t="s">
        <v>131</v>
      </c>
      <c r="C272" t="s">
        <v>102</v>
      </c>
      <c r="D272">
        <v>4</v>
      </c>
      <c r="E272" t="s">
        <v>165</v>
      </c>
      <c r="F272">
        <v>3</v>
      </c>
      <c r="G272" t="s">
        <v>58</v>
      </c>
      <c r="H272" t="s">
        <v>58</v>
      </c>
      <c r="I272" t="s">
        <v>58</v>
      </c>
      <c r="J272" t="s">
        <v>58</v>
      </c>
      <c r="K272">
        <v>5</v>
      </c>
      <c r="L272" t="s">
        <v>77</v>
      </c>
    </row>
    <row r="273" spans="1:12">
      <c r="A273">
        <v>272</v>
      </c>
      <c r="B273" t="s">
        <v>180</v>
      </c>
      <c r="C273" t="s">
        <v>247</v>
      </c>
      <c r="D273">
        <v>0</v>
      </c>
      <c r="E273" t="s">
        <v>165</v>
      </c>
      <c r="F273">
        <v>3</v>
      </c>
      <c r="G273" t="s">
        <v>58</v>
      </c>
      <c r="H273" t="s">
        <v>58</v>
      </c>
      <c r="I273" t="s">
        <v>58</v>
      </c>
      <c r="J273" t="s">
        <v>58</v>
      </c>
      <c r="K273">
        <v>0</v>
      </c>
      <c r="L273" t="s">
        <v>77</v>
      </c>
    </row>
    <row r="274" spans="1:12">
      <c r="A274">
        <v>273</v>
      </c>
      <c r="B274" t="s">
        <v>131</v>
      </c>
      <c r="C274" t="s">
        <v>102</v>
      </c>
      <c r="D274">
        <v>5</v>
      </c>
      <c r="E274" t="s">
        <v>165</v>
      </c>
      <c r="F274">
        <v>3</v>
      </c>
      <c r="G274" t="s">
        <v>58</v>
      </c>
      <c r="H274" t="s">
        <v>58</v>
      </c>
      <c r="I274" t="s">
        <v>58</v>
      </c>
      <c r="J274" t="s">
        <v>58</v>
      </c>
      <c r="K274">
        <v>0</v>
      </c>
      <c r="L274" t="s">
        <v>77</v>
      </c>
    </row>
    <row r="275" spans="1:12">
      <c r="A275">
        <v>274</v>
      </c>
      <c r="B275" t="s">
        <v>131</v>
      </c>
      <c r="C275" t="s">
        <v>247</v>
      </c>
      <c r="D275">
        <v>2</v>
      </c>
      <c r="E275" t="s">
        <v>165</v>
      </c>
      <c r="F275">
        <v>3</v>
      </c>
      <c r="G275" t="s">
        <v>58</v>
      </c>
      <c r="H275" t="s">
        <v>58</v>
      </c>
      <c r="I275" t="s">
        <v>153</v>
      </c>
      <c r="J275" t="s">
        <v>233</v>
      </c>
      <c r="K275">
        <v>0</v>
      </c>
      <c r="L275" t="s">
        <v>77</v>
      </c>
    </row>
    <row r="276" spans="1:12">
      <c r="A276">
        <v>275</v>
      </c>
      <c r="B276" t="s">
        <v>131</v>
      </c>
      <c r="C276" t="s">
        <v>90</v>
      </c>
      <c r="D276">
        <v>2</v>
      </c>
      <c r="E276" t="s">
        <v>165</v>
      </c>
      <c r="F276">
        <v>3</v>
      </c>
      <c r="G276" t="s">
        <v>58</v>
      </c>
      <c r="H276" t="s">
        <v>58</v>
      </c>
      <c r="I276" t="s">
        <v>105</v>
      </c>
      <c r="J276" t="s">
        <v>244</v>
      </c>
      <c r="K276">
        <v>0</v>
      </c>
      <c r="L276" t="s">
        <v>77</v>
      </c>
    </row>
    <row r="277" spans="1:12">
      <c r="A277">
        <v>276</v>
      </c>
      <c r="B277" t="s">
        <v>131</v>
      </c>
      <c r="C277" t="s">
        <v>92</v>
      </c>
      <c r="D277">
        <v>1</v>
      </c>
      <c r="E277" t="s">
        <v>165</v>
      </c>
      <c r="F277">
        <v>3</v>
      </c>
      <c r="G277" t="s">
        <v>162</v>
      </c>
      <c r="H277" t="s">
        <v>167</v>
      </c>
      <c r="I277" t="s">
        <v>58</v>
      </c>
      <c r="J277" t="s">
        <v>58</v>
      </c>
      <c r="K277">
        <v>0</v>
      </c>
      <c r="L277" t="s">
        <v>77</v>
      </c>
    </row>
    <row r="278" spans="1:12">
      <c r="A278">
        <v>277</v>
      </c>
      <c r="B278" t="s">
        <v>131</v>
      </c>
      <c r="C278" t="s">
        <v>95</v>
      </c>
      <c r="D278">
        <v>1</v>
      </c>
      <c r="E278" t="s">
        <v>165</v>
      </c>
      <c r="F278">
        <v>3</v>
      </c>
      <c r="G278" t="s">
        <v>166</v>
      </c>
      <c r="H278" t="s">
        <v>167</v>
      </c>
      <c r="I278" t="s">
        <v>58</v>
      </c>
      <c r="J278" t="s">
        <v>58</v>
      </c>
      <c r="K278">
        <v>0</v>
      </c>
      <c r="L278" t="s">
        <v>77</v>
      </c>
    </row>
    <row r="279" spans="1:12">
      <c r="A279">
        <v>278</v>
      </c>
      <c r="B279" t="s">
        <v>245</v>
      </c>
      <c r="C279" t="s">
        <v>99</v>
      </c>
      <c r="D279">
        <v>3</v>
      </c>
      <c r="E279" t="s">
        <v>165</v>
      </c>
      <c r="F279">
        <v>3</v>
      </c>
      <c r="G279" t="s">
        <v>58</v>
      </c>
      <c r="H279" t="s">
        <v>58</v>
      </c>
      <c r="I279" t="s">
        <v>58</v>
      </c>
      <c r="J279" t="s">
        <v>58</v>
      </c>
      <c r="K279">
        <v>0</v>
      </c>
      <c r="L279" t="s">
        <v>77</v>
      </c>
    </row>
    <row r="280" spans="1:12">
      <c r="A280">
        <v>279</v>
      </c>
      <c r="B280" t="s">
        <v>245</v>
      </c>
      <c r="C280" t="s">
        <v>102</v>
      </c>
      <c r="D280">
        <v>3</v>
      </c>
      <c r="E280" t="s">
        <v>165</v>
      </c>
      <c r="F280">
        <v>3</v>
      </c>
      <c r="G280" t="s">
        <v>58</v>
      </c>
      <c r="H280" t="s">
        <v>58</v>
      </c>
      <c r="I280" t="s">
        <v>58</v>
      </c>
      <c r="J280" t="s">
        <v>58</v>
      </c>
      <c r="K280">
        <v>0</v>
      </c>
      <c r="L280" t="s">
        <v>77</v>
      </c>
    </row>
    <row r="281" spans="1:12">
      <c r="A281">
        <v>280</v>
      </c>
      <c r="B281" t="s">
        <v>131</v>
      </c>
      <c r="C281" t="s">
        <v>247</v>
      </c>
      <c r="D281">
        <v>4</v>
      </c>
      <c r="E281" t="s">
        <v>165</v>
      </c>
      <c r="F281">
        <v>3</v>
      </c>
      <c r="G281" t="s">
        <v>58</v>
      </c>
      <c r="H281" t="s">
        <v>58</v>
      </c>
      <c r="I281" t="s">
        <v>58</v>
      </c>
      <c r="J281" t="s">
        <v>58</v>
      </c>
      <c r="K281">
        <v>5</v>
      </c>
      <c r="L281" t="s">
        <v>77</v>
      </c>
    </row>
    <row r="282" spans="1:12">
      <c r="A282">
        <v>281</v>
      </c>
      <c r="B282" t="s">
        <v>131</v>
      </c>
      <c r="C282" t="s">
        <v>90</v>
      </c>
      <c r="D282">
        <v>4</v>
      </c>
      <c r="E282" t="s">
        <v>165</v>
      </c>
      <c r="F282">
        <v>3</v>
      </c>
      <c r="G282" t="s">
        <v>58</v>
      </c>
      <c r="H282" t="s">
        <v>58</v>
      </c>
      <c r="I282" t="s">
        <v>58</v>
      </c>
      <c r="J282" t="s">
        <v>58</v>
      </c>
      <c r="K282">
        <v>5</v>
      </c>
      <c r="L282" t="s">
        <v>77</v>
      </c>
    </row>
    <row r="283" spans="1:12">
      <c r="A283">
        <v>282</v>
      </c>
      <c r="B283" t="s">
        <v>131</v>
      </c>
      <c r="C283" t="s">
        <v>92</v>
      </c>
      <c r="D283">
        <v>5</v>
      </c>
      <c r="E283" t="s">
        <v>165</v>
      </c>
      <c r="F283">
        <v>3</v>
      </c>
      <c r="G283" t="s">
        <v>58</v>
      </c>
      <c r="H283" t="s">
        <v>58</v>
      </c>
      <c r="I283" t="s">
        <v>58</v>
      </c>
      <c r="J283" t="s">
        <v>58</v>
      </c>
      <c r="K283">
        <v>0</v>
      </c>
      <c r="L283" t="s">
        <v>77</v>
      </c>
    </row>
    <row r="284" spans="1:12">
      <c r="A284">
        <v>283</v>
      </c>
      <c r="B284" t="s">
        <v>245</v>
      </c>
      <c r="C284" t="s">
        <v>95</v>
      </c>
      <c r="D284">
        <v>5</v>
      </c>
      <c r="E284" t="s">
        <v>165</v>
      </c>
      <c r="F284">
        <v>3</v>
      </c>
      <c r="G284" t="s">
        <v>58</v>
      </c>
      <c r="H284" t="s">
        <v>58</v>
      </c>
      <c r="I284" t="s">
        <v>58</v>
      </c>
      <c r="J284" t="s">
        <v>58</v>
      </c>
      <c r="K284">
        <v>0</v>
      </c>
      <c r="L284" t="s">
        <v>77</v>
      </c>
    </row>
    <row r="285" spans="1:12">
      <c r="A285">
        <v>284</v>
      </c>
      <c r="B285" t="s">
        <v>131</v>
      </c>
      <c r="C285" t="s">
        <v>99</v>
      </c>
      <c r="D285">
        <v>2</v>
      </c>
      <c r="E285" t="s">
        <v>165</v>
      </c>
      <c r="F285">
        <v>3</v>
      </c>
      <c r="G285" t="s">
        <v>58</v>
      </c>
      <c r="H285" t="s">
        <v>58</v>
      </c>
      <c r="I285" t="s">
        <v>119</v>
      </c>
      <c r="J285" t="s">
        <v>239</v>
      </c>
      <c r="K285">
        <v>0</v>
      </c>
      <c r="L285" t="s">
        <v>77</v>
      </c>
    </row>
    <row r="286" spans="1:12">
      <c r="A286">
        <v>285</v>
      </c>
      <c r="B286" t="s">
        <v>131</v>
      </c>
      <c r="C286" t="s">
        <v>102</v>
      </c>
      <c r="D286">
        <v>2</v>
      </c>
      <c r="E286" t="s">
        <v>165</v>
      </c>
      <c r="F286">
        <v>3</v>
      </c>
      <c r="G286" t="s">
        <v>58</v>
      </c>
      <c r="H286" t="s">
        <v>58</v>
      </c>
      <c r="I286" t="s">
        <v>141</v>
      </c>
      <c r="J286" t="s">
        <v>240</v>
      </c>
      <c r="K286">
        <v>0</v>
      </c>
      <c r="L286" t="s">
        <v>77</v>
      </c>
    </row>
    <row r="287" spans="1:12">
      <c r="A287">
        <v>286</v>
      </c>
      <c r="B287" t="s">
        <v>131</v>
      </c>
      <c r="C287" t="s">
        <v>247</v>
      </c>
      <c r="D287">
        <v>1</v>
      </c>
      <c r="E287" t="s">
        <v>165</v>
      </c>
      <c r="F287">
        <v>3</v>
      </c>
      <c r="G287" t="s">
        <v>162</v>
      </c>
      <c r="H287" t="s">
        <v>167</v>
      </c>
      <c r="I287" t="s">
        <v>58</v>
      </c>
      <c r="J287" t="s">
        <v>58</v>
      </c>
      <c r="K287">
        <v>0</v>
      </c>
      <c r="L287" t="s">
        <v>77</v>
      </c>
    </row>
    <row r="288" spans="1:12">
      <c r="A288">
        <v>287</v>
      </c>
      <c r="B288" t="s">
        <v>131</v>
      </c>
      <c r="C288" t="s">
        <v>90</v>
      </c>
      <c r="D288">
        <v>1</v>
      </c>
      <c r="E288" t="s">
        <v>165</v>
      </c>
      <c r="F288">
        <v>3</v>
      </c>
      <c r="G288" t="s">
        <v>109</v>
      </c>
      <c r="H288" t="s">
        <v>151</v>
      </c>
      <c r="I288" t="s">
        <v>58</v>
      </c>
      <c r="J288" t="s">
        <v>58</v>
      </c>
      <c r="K288">
        <v>0</v>
      </c>
      <c r="L288" t="s">
        <v>77</v>
      </c>
    </row>
    <row r="289" spans="1:12">
      <c r="A289">
        <v>288</v>
      </c>
      <c r="B289" t="s">
        <v>245</v>
      </c>
      <c r="C289" t="s">
        <v>92</v>
      </c>
      <c r="D289">
        <v>3</v>
      </c>
      <c r="E289" t="s">
        <v>165</v>
      </c>
      <c r="F289">
        <v>3</v>
      </c>
      <c r="G289" t="s">
        <v>58</v>
      </c>
      <c r="H289" t="s">
        <v>58</v>
      </c>
      <c r="I289" t="s">
        <v>58</v>
      </c>
      <c r="J289" t="s">
        <v>58</v>
      </c>
      <c r="K289">
        <v>0</v>
      </c>
      <c r="L289" t="s">
        <v>77</v>
      </c>
    </row>
    <row r="290" spans="1:12">
      <c r="A290">
        <v>289</v>
      </c>
      <c r="B290" t="s">
        <v>245</v>
      </c>
      <c r="C290" t="s">
        <v>95</v>
      </c>
      <c r="D290">
        <v>3</v>
      </c>
      <c r="E290" t="s">
        <v>165</v>
      </c>
      <c r="F290">
        <v>3</v>
      </c>
      <c r="G290" t="s">
        <v>58</v>
      </c>
      <c r="H290" t="s">
        <v>58</v>
      </c>
      <c r="I290" t="s">
        <v>58</v>
      </c>
      <c r="J290" t="s">
        <v>58</v>
      </c>
      <c r="K290">
        <v>0</v>
      </c>
      <c r="L290" t="s">
        <v>77</v>
      </c>
    </row>
    <row r="291" spans="1:12">
      <c r="A291">
        <v>290</v>
      </c>
      <c r="B291" t="s">
        <v>131</v>
      </c>
      <c r="C291" t="s">
        <v>99</v>
      </c>
      <c r="D291">
        <v>4</v>
      </c>
      <c r="E291" t="s">
        <v>165</v>
      </c>
      <c r="F291">
        <v>3</v>
      </c>
      <c r="G291" t="s">
        <v>58</v>
      </c>
      <c r="H291" t="s">
        <v>58</v>
      </c>
      <c r="I291" t="s">
        <v>58</v>
      </c>
      <c r="J291" t="s">
        <v>58</v>
      </c>
      <c r="K291">
        <v>5</v>
      </c>
      <c r="L291" t="s">
        <v>77</v>
      </c>
    </row>
    <row r="292" spans="1:12">
      <c r="A292">
        <v>291</v>
      </c>
      <c r="B292" t="s">
        <v>131</v>
      </c>
      <c r="C292" t="s">
        <v>102</v>
      </c>
      <c r="D292">
        <v>4</v>
      </c>
      <c r="E292" t="s">
        <v>165</v>
      </c>
      <c r="F292">
        <v>3</v>
      </c>
      <c r="G292" t="s">
        <v>58</v>
      </c>
      <c r="H292" t="s">
        <v>58</v>
      </c>
      <c r="I292" t="s">
        <v>58</v>
      </c>
      <c r="J292" t="s">
        <v>58</v>
      </c>
      <c r="K292">
        <v>5</v>
      </c>
      <c r="L292" t="s">
        <v>77</v>
      </c>
    </row>
    <row r="293" spans="1:12">
      <c r="A293">
        <v>292</v>
      </c>
      <c r="B293" t="s">
        <v>180</v>
      </c>
      <c r="C293" t="s">
        <v>247</v>
      </c>
      <c r="D293">
        <v>0</v>
      </c>
      <c r="E293" t="s">
        <v>165</v>
      </c>
      <c r="F293">
        <v>3</v>
      </c>
      <c r="G293" t="s">
        <v>58</v>
      </c>
      <c r="H293" t="s">
        <v>58</v>
      </c>
      <c r="I293" t="s">
        <v>58</v>
      </c>
      <c r="J293" t="s">
        <v>58</v>
      </c>
      <c r="K293">
        <v>0</v>
      </c>
      <c r="L293" t="s">
        <v>77</v>
      </c>
    </row>
    <row r="294" spans="1:12">
      <c r="A294">
        <v>293</v>
      </c>
      <c r="B294" t="s">
        <v>131</v>
      </c>
      <c r="C294" t="s">
        <v>90</v>
      </c>
      <c r="D294">
        <v>2</v>
      </c>
      <c r="E294" t="s">
        <v>165</v>
      </c>
      <c r="F294">
        <v>3</v>
      </c>
      <c r="G294" t="s">
        <v>58</v>
      </c>
      <c r="H294" t="s">
        <v>58</v>
      </c>
      <c r="I294" t="s">
        <v>105</v>
      </c>
      <c r="J294" t="s">
        <v>244</v>
      </c>
      <c r="K294">
        <v>0</v>
      </c>
      <c r="L294" t="s">
        <v>77</v>
      </c>
    </row>
    <row r="295" spans="1:12">
      <c r="A295">
        <v>294</v>
      </c>
      <c r="B295" t="s">
        <v>131</v>
      </c>
      <c r="C295" t="s">
        <v>92</v>
      </c>
      <c r="D295">
        <v>1</v>
      </c>
      <c r="E295" t="s">
        <v>165</v>
      </c>
      <c r="F295">
        <v>3</v>
      </c>
      <c r="G295" t="s">
        <v>162</v>
      </c>
      <c r="H295" t="s">
        <v>167</v>
      </c>
      <c r="I295" t="s">
        <v>58</v>
      </c>
      <c r="J295" t="s">
        <v>58</v>
      </c>
      <c r="K295">
        <v>0</v>
      </c>
      <c r="L295" t="s">
        <v>77</v>
      </c>
    </row>
    <row r="296" spans="1:12">
      <c r="A296">
        <v>295</v>
      </c>
      <c r="B296" t="s">
        <v>131</v>
      </c>
      <c r="C296" t="s">
        <v>95</v>
      </c>
      <c r="D296">
        <v>1</v>
      </c>
      <c r="E296" t="s">
        <v>165</v>
      </c>
      <c r="F296">
        <v>3</v>
      </c>
      <c r="G296" t="s">
        <v>166</v>
      </c>
      <c r="H296" t="s">
        <v>167</v>
      </c>
      <c r="I296" t="s">
        <v>58</v>
      </c>
      <c r="J296" t="s">
        <v>58</v>
      </c>
      <c r="K296">
        <v>0</v>
      </c>
      <c r="L296" t="s">
        <v>77</v>
      </c>
    </row>
    <row r="297" spans="1:12">
      <c r="A297">
        <v>296</v>
      </c>
      <c r="B297" t="s">
        <v>245</v>
      </c>
      <c r="C297" t="s">
        <v>99</v>
      </c>
      <c r="D297">
        <v>3</v>
      </c>
      <c r="E297" t="s">
        <v>165</v>
      </c>
      <c r="F297">
        <v>3</v>
      </c>
      <c r="G297" t="s">
        <v>58</v>
      </c>
      <c r="H297" t="s">
        <v>58</v>
      </c>
      <c r="I297" t="s">
        <v>58</v>
      </c>
      <c r="J297" t="s">
        <v>58</v>
      </c>
      <c r="K297">
        <v>0</v>
      </c>
      <c r="L297" t="s">
        <v>77</v>
      </c>
    </row>
    <row r="298" spans="1:12">
      <c r="A298">
        <v>297</v>
      </c>
      <c r="B298" t="s">
        <v>245</v>
      </c>
      <c r="C298" t="s">
        <v>102</v>
      </c>
      <c r="D298">
        <v>3</v>
      </c>
      <c r="E298" t="s">
        <v>165</v>
      </c>
      <c r="F298">
        <v>3</v>
      </c>
      <c r="G298" t="s">
        <v>58</v>
      </c>
      <c r="H298" t="s">
        <v>58</v>
      </c>
      <c r="I298" t="s">
        <v>58</v>
      </c>
      <c r="J298" t="s">
        <v>58</v>
      </c>
      <c r="K298">
        <v>0</v>
      </c>
      <c r="L298" t="s">
        <v>77</v>
      </c>
    </row>
    <row r="299" spans="1:12">
      <c r="A299">
        <v>298</v>
      </c>
      <c r="B299" t="s">
        <v>131</v>
      </c>
      <c r="C299" t="s">
        <v>247</v>
      </c>
      <c r="D299">
        <v>4</v>
      </c>
      <c r="E299" t="s">
        <v>165</v>
      </c>
      <c r="F299">
        <v>3</v>
      </c>
      <c r="G299" t="s">
        <v>58</v>
      </c>
      <c r="H299" t="s">
        <v>58</v>
      </c>
      <c r="I299" t="s">
        <v>58</v>
      </c>
      <c r="J299" t="s">
        <v>58</v>
      </c>
      <c r="K299">
        <v>5</v>
      </c>
      <c r="L299" t="s">
        <v>77</v>
      </c>
    </row>
    <row r="300" spans="1:12">
      <c r="A300">
        <v>299</v>
      </c>
      <c r="B300" t="s">
        <v>131</v>
      </c>
      <c r="C300" t="s">
        <v>90</v>
      </c>
      <c r="D300">
        <v>4</v>
      </c>
      <c r="E300" t="s">
        <v>165</v>
      </c>
      <c r="F300">
        <v>3</v>
      </c>
      <c r="G300" t="s">
        <v>58</v>
      </c>
      <c r="H300" t="s">
        <v>58</v>
      </c>
      <c r="I300" t="s">
        <v>58</v>
      </c>
      <c r="J300" t="s">
        <v>58</v>
      </c>
      <c r="K300">
        <v>5</v>
      </c>
      <c r="L300" t="s">
        <v>77</v>
      </c>
    </row>
    <row r="301" spans="1:12">
      <c r="A301">
        <v>300</v>
      </c>
      <c r="B301" t="s">
        <v>131</v>
      </c>
      <c r="C301" t="s">
        <v>92</v>
      </c>
      <c r="D301">
        <v>5</v>
      </c>
      <c r="E301" t="s">
        <v>165</v>
      </c>
      <c r="F301">
        <v>3</v>
      </c>
      <c r="G301" t="s">
        <v>58</v>
      </c>
      <c r="H301" t="s">
        <v>58</v>
      </c>
      <c r="I301" t="s">
        <v>58</v>
      </c>
      <c r="J301" t="s">
        <v>58</v>
      </c>
      <c r="K301">
        <v>0</v>
      </c>
      <c r="L301" t="s">
        <v>77</v>
      </c>
    </row>
    <row r="302" spans="1:12">
      <c r="A302">
        <v>301</v>
      </c>
      <c r="B302" t="s">
        <v>245</v>
      </c>
      <c r="C302" t="s">
        <v>95</v>
      </c>
      <c r="D302">
        <v>5</v>
      </c>
      <c r="E302" t="s">
        <v>165</v>
      </c>
      <c r="F302">
        <v>3</v>
      </c>
      <c r="G302" t="s">
        <v>58</v>
      </c>
      <c r="H302" t="s">
        <v>58</v>
      </c>
      <c r="I302" t="s">
        <v>58</v>
      </c>
      <c r="J302" t="s">
        <v>58</v>
      </c>
      <c r="K302">
        <v>0</v>
      </c>
      <c r="L302" t="s">
        <v>77</v>
      </c>
    </row>
    <row r="303" spans="1:12">
      <c r="A303">
        <v>302</v>
      </c>
      <c r="B303" t="s">
        <v>245</v>
      </c>
      <c r="C303" t="s">
        <v>95</v>
      </c>
      <c r="D303">
        <v>5</v>
      </c>
      <c r="E303" t="s">
        <v>165</v>
      </c>
      <c r="F303">
        <v>3</v>
      </c>
      <c r="G303" t="s">
        <v>58</v>
      </c>
      <c r="H303" t="s">
        <v>58</v>
      </c>
      <c r="I303" t="s">
        <v>58</v>
      </c>
      <c r="J303" t="s">
        <v>58</v>
      </c>
      <c r="K303">
        <v>0</v>
      </c>
      <c r="L303" t="s">
        <v>77</v>
      </c>
    </row>
    <row r="304" spans="1:12">
      <c r="A304">
        <v>303</v>
      </c>
      <c r="B304" t="s">
        <v>131</v>
      </c>
      <c r="C304" t="s">
        <v>99</v>
      </c>
      <c r="D304">
        <v>2</v>
      </c>
      <c r="E304" t="s">
        <v>165</v>
      </c>
      <c r="F304">
        <v>3</v>
      </c>
      <c r="G304" t="s">
        <v>58</v>
      </c>
      <c r="H304" t="s">
        <v>58</v>
      </c>
      <c r="I304" t="s">
        <v>119</v>
      </c>
      <c r="J304" t="s">
        <v>239</v>
      </c>
      <c r="K304">
        <v>0</v>
      </c>
      <c r="L304" t="s">
        <v>77</v>
      </c>
    </row>
    <row r="305" spans="1:12">
      <c r="A305">
        <v>304</v>
      </c>
      <c r="B305" t="s">
        <v>131</v>
      </c>
      <c r="C305" t="s">
        <v>102</v>
      </c>
      <c r="D305">
        <v>2</v>
      </c>
      <c r="E305" t="s">
        <v>165</v>
      </c>
      <c r="F305">
        <v>3</v>
      </c>
      <c r="G305" t="s">
        <v>58</v>
      </c>
      <c r="H305" t="s">
        <v>58</v>
      </c>
      <c r="I305" t="s">
        <v>141</v>
      </c>
      <c r="J305" t="s">
        <v>240</v>
      </c>
      <c r="K305">
        <v>0</v>
      </c>
      <c r="L305" t="s">
        <v>77</v>
      </c>
    </row>
    <row r="306" spans="1:12">
      <c r="A306">
        <v>305</v>
      </c>
      <c r="B306" t="s">
        <v>131</v>
      </c>
      <c r="C306" t="s">
        <v>247</v>
      </c>
      <c r="D306">
        <v>1</v>
      </c>
      <c r="E306" t="s">
        <v>165</v>
      </c>
      <c r="F306">
        <v>3</v>
      </c>
      <c r="G306" t="s">
        <v>162</v>
      </c>
      <c r="H306" t="s">
        <v>167</v>
      </c>
      <c r="I306" t="s">
        <v>58</v>
      </c>
      <c r="J306" t="s">
        <v>58</v>
      </c>
      <c r="K306">
        <v>0</v>
      </c>
      <c r="L306" t="s">
        <v>77</v>
      </c>
    </row>
    <row r="307" spans="1:12">
      <c r="A307">
        <v>306</v>
      </c>
      <c r="B307" t="s">
        <v>131</v>
      </c>
      <c r="C307" t="s">
        <v>90</v>
      </c>
      <c r="D307">
        <v>1</v>
      </c>
      <c r="E307" t="s">
        <v>165</v>
      </c>
      <c r="F307">
        <v>3</v>
      </c>
      <c r="G307" t="s">
        <v>109</v>
      </c>
      <c r="H307" t="s">
        <v>151</v>
      </c>
      <c r="I307" t="s">
        <v>58</v>
      </c>
      <c r="J307" t="s">
        <v>58</v>
      </c>
      <c r="K307">
        <v>0</v>
      </c>
      <c r="L307" t="s">
        <v>77</v>
      </c>
    </row>
    <row r="308" spans="1:12">
      <c r="A308">
        <v>307</v>
      </c>
      <c r="B308" t="s">
        <v>245</v>
      </c>
      <c r="C308" t="s">
        <v>92</v>
      </c>
      <c r="D308">
        <v>3</v>
      </c>
      <c r="E308" t="s">
        <v>165</v>
      </c>
      <c r="F308">
        <v>3</v>
      </c>
      <c r="G308" t="s">
        <v>58</v>
      </c>
      <c r="H308" t="s">
        <v>58</v>
      </c>
      <c r="I308" t="s">
        <v>58</v>
      </c>
      <c r="J308" t="s">
        <v>58</v>
      </c>
      <c r="K308">
        <v>0</v>
      </c>
      <c r="L308" t="s">
        <v>77</v>
      </c>
    </row>
    <row r="309" spans="1:12">
      <c r="A309">
        <v>308</v>
      </c>
      <c r="B309" t="s">
        <v>245</v>
      </c>
      <c r="C309" t="s">
        <v>95</v>
      </c>
      <c r="D309">
        <v>3</v>
      </c>
      <c r="E309" t="s">
        <v>165</v>
      </c>
      <c r="F309">
        <v>3</v>
      </c>
      <c r="G309" t="s">
        <v>58</v>
      </c>
      <c r="H309" t="s">
        <v>58</v>
      </c>
      <c r="I309" t="s">
        <v>58</v>
      </c>
      <c r="J309" t="s">
        <v>58</v>
      </c>
      <c r="K309">
        <v>0</v>
      </c>
      <c r="L309" t="s">
        <v>77</v>
      </c>
    </row>
    <row r="310" spans="1:12">
      <c r="A310">
        <v>309</v>
      </c>
      <c r="B310" t="s">
        <v>131</v>
      </c>
      <c r="C310" t="s">
        <v>99</v>
      </c>
      <c r="D310">
        <v>4</v>
      </c>
      <c r="E310" t="s">
        <v>165</v>
      </c>
      <c r="F310">
        <v>3</v>
      </c>
      <c r="G310" t="s">
        <v>58</v>
      </c>
      <c r="H310" t="s">
        <v>58</v>
      </c>
      <c r="I310" t="s">
        <v>58</v>
      </c>
      <c r="J310" t="s">
        <v>58</v>
      </c>
      <c r="K310">
        <v>5</v>
      </c>
      <c r="L310" t="s">
        <v>77</v>
      </c>
    </row>
    <row r="311" spans="1:12">
      <c r="A311">
        <v>310</v>
      </c>
      <c r="B311" t="s">
        <v>131</v>
      </c>
      <c r="C311" t="s">
        <v>102</v>
      </c>
      <c r="D311">
        <v>4</v>
      </c>
      <c r="E311" t="s">
        <v>165</v>
      </c>
      <c r="F311">
        <v>3</v>
      </c>
      <c r="G311" t="s">
        <v>58</v>
      </c>
      <c r="H311" t="s">
        <v>58</v>
      </c>
      <c r="I311" t="s">
        <v>58</v>
      </c>
      <c r="J311" t="s">
        <v>58</v>
      </c>
      <c r="K311">
        <v>5</v>
      </c>
      <c r="L311" t="s">
        <v>77</v>
      </c>
    </row>
    <row r="312" spans="1:12">
      <c r="A312">
        <v>311</v>
      </c>
      <c r="B312" t="s">
        <v>180</v>
      </c>
      <c r="C312" t="s">
        <v>247</v>
      </c>
      <c r="D312">
        <v>0</v>
      </c>
      <c r="E312" t="s">
        <v>165</v>
      </c>
      <c r="F312">
        <v>3</v>
      </c>
      <c r="G312" t="s">
        <v>58</v>
      </c>
      <c r="H312" t="s">
        <v>58</v>
      </c>
      <c r="I312" t="s">
        <v>58</v>
      </c>
      <c r="J312" t="s">
        <v>58</v>
      </c>
      <c r="K312">
        <v>0</v>
      </c>
      <c r="L312" t="s">
        <v>77</v>
      </c>
    </row>
    <row r="313" spans="1:12">
      <c r="A313">
        <v>312</v>
      </c>
      <c r="B313" t="s">
        <v>131</v>
      </c>
      <c r="C313" t="s">
        <v>90</v>
      </c>
      <c r="D313">
        <v>2</v>
      </c>
      <c r="E313" t="s">
        <v>165</v>
      </c>
      <c r="F313">
        <v>3</v>
      </c>
      <c r="G313" t="s">
        <v>58</v>
      </c>
      <c r="H313" t="s">
        <v>58</v>
      </c>
      <c r="I313" t="s">
        <v>105</v>
      </c>
      <c r="J313" t="s">
        <v>244</v>
      </c>
      <c r="K313">
        <v>0</v>
      </c>
      <c r="L313" t="s">
        <v>77</v>
      </c>
    </row>
    <row r="314" spans="1:12">
      <c r="A314">
        <v>313</v>
      </c>
      <c r="B314" t="s">
        <v>131</v>
      </c>
      <c r="C314" t="s">
        <v>92</v>
      </c>
      <c r="D314">
        <v>1</v>
      </c>
      <c r="E314" t="s">
        <v>165</v>
      </c>
      <c r="F314">
        <v>3</v>
      </c>
      <c r="G314" t="s">
        <v>162</v>
      </c>
      <c r="H314" t="s">
        <v>167</v>
      </c>
      <c r="I314" t="s">
        <v>58</v>
      </c>
      <c r="J314" t="s">
        <v>58</v>
      </c>
      <c r="K314">
        <v>0</v>
      </c>
      <c r="L314" t="s">
        <v>77</v>
      </c>
    </row>
    <row r="315" spans="1:12">
      <c r="A315">
        <v>314</v>
      </c>
      <c r="B315" t="s">
        <v>131</v>
      </c>
      <c r="C315" t="s">
        <v>95</v>
      </c>
      <c r="D315">
        <v>1</v>
      </c>
      <c r="E315" t="s">
        <v>165</v>
      </c>
      <c r="F315">
        <v>3</v>
      </c>
      <c r="G315" t="s">
        <v>166</v>
      </c>
      <c r="H315" t="s">
        <v>167</v>
      </c>
      <c r="I315" t="s">
        <v>58</v>
      </c>
      <c r="J315" t="s">
        <v>58</v>
      </c>
      <c r="K315">
        <v>0</v>
      </c>
      <c r="L315" t="s">
        <v>77</v>
      </c>
    </row>
    <row r="316" spans="1:12">
      <c r="A316">
        <v>315</v>
      </c>
      <c r="B316" t="s">
        <v>245</v>
      </c>
      <c r="C316" t="s">
        <v>99</v>
      </c>
      <c r="D316">
        <v>3</v>
      </c>
      <c r="E316" t="s">
        <v>165</v>
      </c>
      <c r="F316">
        <v>3</v>
      </c>
      <c r="G316" t="s">
        <v>58</v>
      </c>
      <c r="H316" t="s">
        <v>58</v>
      </c>
      <c r="I316" t="s">
        <v>58</v>
      </c>
      <c r="J316" t="s">
        <v>58</v>
      </c>
      <c r="K316">
        <v>0</v>
      </c>
      <c r="L316" t="s">
        <v>77</v>
      </c>
    </row>
    <row r="317" spans="1:12">
      <c r="A317">
        <v>316</v>
      </c>
      <c r="B317" t="s">
        <v>245</v>
      </c>
      <c r="C317" t="s">
        <v>102</v>
      </c>
      <c r="D317">
        <v>3</v>
      </c>
      <c r="E317" t="s">
        <v>165</v>
      </c>
      <c r="F317">
        <v>3</v>
      </c>
      <c r="G317" t="s">
        <v>58</v>
      </c>
      <c r="H317" t="s">
        <v>58</v>
      </c>
      <c r="I317" t="s">
        <v>58</v>
      </c>
      <c r="J317" t="s">
        <v>58</v>
      </c>
      <c r="K317">
        <v>0</v>
      </c>
      <c r="L317" t="s">
        <v>77</v>
      </c>
    </row>
    <row r="318" spans="1:12">
      <c r="A318">
        <v>317</v>
      </c>
      <c r="B318" t="s">
        <v>245</v>
      </c>
      <c r="C318" t="s">
        <v>90</v>
      </c>
      <c r="D318">
        <v>1</v>
      </c>
      <c r="E318" t="s">
        <v>165</v>
      </c>
      <c r="F318">
        <v>3</v>
      </c>
      <c r="G318" t="s">
        <v>109</v>
      </c>
      <c r="H318" t="s">
        <v>151</v>
      </c>
      <c r="I318" t="s">
        <v>58</v>
      </c>
      <c r="J318" t="s">
        <v>58</v>
      </c>
      <c r="K318">
        <v>0</v>
      </c>
      <c r="L318" t="s">
        <v>77</v>
      </c>
    </row>
    <row r="319" spans="1:12">
      <c r="A319">
        <v>318</v>
      </c>
      <c r="B319" t="s">
        <v>131</v>
      </c>
      <c r="C319" t="s">
        <v>92</v>
      </c>
      <c r="D319">
        <v>3</v>
      </c>
      <c r="E319" t="s">
        <v>165</v>
      </c>
      <c r="F319">
        <v>3</v>
      </c>
      <c r="G319" t="s">
        <v>58</v>
      </c>
      <c r="H319" t="s">
        <v>58</v>
      </c>
      <c r="I319" t="s">
        <v>58</v>
      </c>
      <c r="J319" t="s">
        <v>58</v>
      </c>
      <c r="K319">
        <v>0</v>
      </c>
      <c r="L319" t="s">
        <v>77</v>
      </c>
    </row>
    <row r="320" spans="1:12">
      <c r="A320">
        <v>319</v>
      </c>
      <c r="B320" t="s">
        <v>131</v>
      </c>
      <c r="C320" t="s">
        <v>95</v>
      </c>
      <c r="D320">
        <v>3</v>
      </c>
      <c r="E320" t="s">
        <v>165</v>
      </c>
      <c r="F320">
        <v>3</v>
      </c>
      <c r="G320" t="s">
        <v>58</v>
      </c>
      <c r="H320" t="s">
        <v>58</v>
      </c>
      <c r="I320" t="s">
        <v>58</v>
      </c>
      <c r="J320" t="s">
        <v>58</v>
      </c>
      <c r="K320">
        <v>0</v>
      </c>
      <c r="L320" t="s">
        <v>77</v>
      </c>
    </row>
    <row r="321" spans="1:12">
      <c r="A321">
        <v>320</v>
      </c>
      <c r="B321" t="s">
        <v>131</v>
      </c>
      <c r="C321" t="s">
        <v>99</v>
      </c>
      <c r="D321">
        <v>4</v>
      </c>
      <c r="E321" t="s">
        <v>165</v>
      </c>
      <c r="F321">
        <v>3</v>
      </c>
      <c r="G321" t="s">
        <v>58</v>
      </c>
      <c r="H321" t="s">
        <v>58</v>
      </c>
      <c r="I321" t="s">
        <v>58</v>
      </c>
      <c r="J321" t="s">
        <v>58</v>
      </c>
      <c r="K321">
        <v>5</v>
      </c>
      <c r="L321" t="s">
        <v>77</v>
      </c>
    </row>
    <row r="322" spans="1:12">
      <c r="A322">
        <v>321</v>
      </c>
      <c r="B322" t="s">
        <v>131</v>
      </c>
      <c r="C322" t="s">
        <v>102</v>
      </c>
      <c r="D322">
        <v>4</v>
      </c>
      <c r="E322" t="s">
        <v>165</v>
      </c>
      <c r="F322">
        <v>3</v>
      </c>
      <c r="G322" t="s">
        <v>58</v>
      </c>
      <c r="H322" t="s">
        <v>58</v>
      </c>
      <c r="I322" t="s">
        <v>58</v>
      </c>
      <c r="J322" t="s">
        <v>58</v>
      </c>
      <c r="K322">
        <v>5</v>
      </c>
      <c r="L322" t="s">
        <v>77</v>
      </c>
    </row>
    <row r="323" spans="1:12">
      <c r="A323">
        <v>322</v>
      </c>
      <c r="B323" t="s">
        <v>180</v>
      </c>
      <c r="C323" t="s">
        <v>247</v>
      </c>
      <c r="D323">
        <v>0</v>
      </c>
      <c r="E323" t="s">
        <v>165</v>
      </c>
      <c r="F323">
        <v>3</v>
      </c>
      <c r="G323" t="s">
        <v>58</v>
      </c>
      <c r="H323" t="s">
        <v>58</v>
      </c>
      <c r="I323" t="s">
        <v>58</v>
      </c>
      <c r="J323" t="s">
        <v>58</v>
      </c>
      <c r="K323">
        <v>0</v>
      </c>
      <c r="L323" t="s">
        <v>77</v>
      </c>
    </row>
    <row r="324" spans="1:12">
      <c r="A324">
        <v>323</v>
      </c>
      <c r="B324" t="s">
        <v>131</v>
      </c>
      <c r="C324" t="s">
        <v>102</v>
      </c>
      <c r="D324">
        <v>5</v>
      </c>
      <c r="E324" t="s">
        <v>165</v>
      </c>
      <c r="F324">
        <v>3</v>
      </c>
      <c r="G324" t="s">
        <v>58</v>
      </c>
      <c r="H324" t="s">
        <v>58</v>
      </c>
      <c r="I324" t="s">
        <v>58</v>
      </c>
      <c r="J324" t="s">
        <v>58</v>
      </c>
      <c r="K324">
        <v>0</v>
      </c>
      <c r="L324" t="s">
        <v>77</v>
      </c>
    </row>
    <row r="325" spans="1:12">
      <c r="A325">
        <v>324</v>
      </c>
      <c r="B325" t="s">
        <v>131</v>
      </c>
      <c r="C325" t="s">
        <v>247</v>
      </c>
      <c r="D325">
        <v>2</v>
      </c>
      <c r="E325" t="s">
        <v>165</v>
      </c>
      <c r="F325">
        <v>3</v>
      </c>
      <c r="G325" t="s">
        <v>58</v>
      </c>
      <c r="H325" t="s">
        <v>58</v>
      </c>
      <c r="I325" t="s">
        <v>153</v>
      </c>
      <c r="J325" t="s">
        <v>233</v>
      </c>
      <c r="K325">
        <v>0</v>
      </c>
      <c r="L325" t="s">
        <v>77</v>
      </c>
    </row>
    <row r="326" spans="1:12">
      <c r="A326">
        <v>325</v>
      </c>
      <c r="B326" t="s">
        <v>131</v>
      </c>
      <c r="C326" t="s">
        <v>90</v>
      </c>
      <c r="D326">
        <v>2</v>
      </c>
      <c r="E326" t="s">
        <v>165</v>
      </c>
      <c r="F326">
        <v>3</v>
      </c>
      <c r="G326" t="s">
        <v>58</v>
      </c>
      <c r="H326" t="s">
        <v>58</v>
      </c>
      <c r="I326" t="s">
        <v>105</v>
      </c>
      <c r="J326" t="s">
        <v>244</v>
      </c>
      <c r="K326">
        <v>0</v>
      </c>
      <c r="L326" t="s">
        <v>77</v>
      </c>
    </row>
    <row r="327" spans="1:12">
      <c r="A327">
        <v>326</v>
      </c>
      <c r="B327" t="s">
        <v>131</v>
      </c>
      <c r="C327" t="s">
        <v>92</v>
      </c>
      <c r="D327">
        <v>1</v>
      </c>
      <c r="E327" t="s">
        <v>165</v>
      </c>
      <c r="F327">
        <v>3</v>
      </c>
      <c r="G327" t="s">
        <v>162</v>
      </c>
      <c r="H327" t="s">
        <v>167</v>
      </c>
      <c r="I327" t="s">
        <v>58</v>
      </c>
      <c r="J327" t="s">
        <v>58</v>
      </c>
      <c r="K327">
        <v>0</v>
      </c>
      <c r="L327" t="s">
        <v>77</v>
      </c>
    </row>
    <row r="328" spans="1:12">
      <c r="A328">
        <v>327</v>
      </c>
      <c r="B328" t="s">
        <v>131</v>
      </c>
      <c r="C328" t="s">
        <v>95</v>
      </c>
      <c r="D328">
        <v>1</v>
      </c>
      <c r="E328" t="s">
        <v>165</v>
      </c>
      <c r="F328">
        <v>3</v>
      </c>
      <c r="G328" t="s">
        <v>166</v>
      </c>
      <c r="H328" t="s">
        <v>167</v>
      </c>
      <c r="I328" t="s">
        <v>58</v>
      </c>
      <c r="J328" t="s">
        <v>58</v>
      </c>
      <c r="K328">
        <v>0</v>
      </c>
      <c r="L328" t="s">
        <v>77</v>
      </c>
    </row>
    <row r="329" spans="1:12">
      <c r="A329">
        <v>328</v>
      </c>
      <c r="B329" t="s">
        <v>245</v>
      </c>
      <c r="C329" t="s">
        <v>99</v>
      </c>
      <c r="D329">
        <v>3</v>
      </c>
      <c r="E329" t="s">
        <v>165</v>
      </c>
      <c r="F329">
        <v>3</v>
      </c>
      <c r="G329" t="s">
        <v>58</v>
      </c>
      <c r="H329" t="s">
        <v>58</v>
      </c>
      <c r="I329" t="s">
        <v>58</v>
      </c>
      <c r="J329" t="s">
        <v>58</v>
      </c>
      <c r="K329">
        <v>0</v>
      </c>
      <c r="L329" t="s">
        <v>77</v>
      </c>
    </row>
    <row r="330" spans="1:12">
      <c r="A330">
        <v>329</v>
      </c>
      <c r="B330" t="s">
        <v>245</v>
      </c>
      <c r="C330" t="s">
        <v>102</v>
      </c>
      <c r="D330">
        <v>5</v>
      </c>
      <c r="E330" t="s">
        <v>165</v>
      </c>
      <c r="F330">
        <v>3</v>
      </c>
      <c r="G330" t="s">
        <v>58</v>
      </c>
      <c r="H330" t="s">
        <v>58</v>
      </c>
      <c r="I330" t="s">
        <v>58</v>
      </c>
      <c r="J330" t="s">
        <v>58</v>
      </c>
      <c r="K330">
        <v>0</v>
      </c>
      <c r="L330" t="s">
        <v>77</v>
      </c>
    </row>
    <row r="331" spans="1:12">
      <c r="A331">
        <v>330</v>
      </c>
      <c r="B331" t="s">
        <v>245</v>
      </c>
      <c r="C331" t="s">
        <v>247</v>
      </c>
      <c r="D331">
        <v>2</v>
      </c>
      <c r="E331" t="s">
        <v>165</v>
      </c>
      <c r="F331">
        <v>3</v>
      </c>
      <c r="G331" t="s">
        <v>58</v>
      </c>
      <c r="H331" t="s">
        <v>58</v>
      </c>
      <c r="I331" t="s">
        <v>153</v>
      </c>
      <c r="J331" t="s">
        <v>233</v>
      </c>
      <c r="K331">
        <v>0</v>
      </c>
      <c r="L331" t="s">
        <v>77</v>
      </c>
    </row>
    <row r="332" spans="1:12">
      <c r="A332">
        <v>331</v>
      </c>
      <c r="B332" t="s">
        <v>131</v>
      </c>
      <c r="C332" t="s">
        <v>90</v>
      </c>
      <c r="D332">
        <v>2</v>
      </c>
      <c r="E332" t="s">
        <v>165</v>
      </c>
      <c r="F332">
        <v>3</v>
      </c>
      <c r="G332" t="s">
        <v>58</v>
      </c>
      <c r="H332" t="s">
        <v>58</v>
      </c>
      <c r="I332" t="s">
        <v>105</v>
      </c>
      <c r="J332" t="s">
        <v>244</v>
      </c>
      <c r="K332">
        <v>0</v>
      </c>
      <c r="L332" t="s">
        <v>77</v>
      </c>
    </row>
    <row r="333" spans="1:12">
      <c r="A333">
        <v>332</v>
      </c>
      <c r="B333" t="s">
        <v>131</v>
      </c>
      <c r="C333" t="s">
        <v>92</v>
      </c>
      <c r="D333">
        <v>1</v>
      </c>
      <c r="E333" t="s">
        <v>165</v>
      </c>
      <c r="F333">
        <v>3</v>
      </c>
      <c r="G333" t="s">
        <v>162</v>
      </c>
      <c r="H333" t="s">
        <v>167</v>
      </c>
      <c r="I333" t="s">
        <v>58</v>
      </c>
      <c r="J333" t="s">
        <v>58</v>
      </c>
      <c r="K333">
        <v>0</v>
      </c>
      <c r="L333" t="s">
        <v>77</v>
      </c>
    </row>
    <row r="334" spans="1:12">
      <c r="A334">
        <v>333</v>
      </c>
      <c r="B334" t="s">
        <v>131</v>
      </c>
      <c r="C334" t="s">
        <v>95</v>
      </c>
      <c r="D334">
        <v>1</v>
      </c>
      <c r="E334" t="s">
        <v>165</v>
      </c>
      <c r="F334">
        <v>3</v>
      </c>
      <c r="G334" t="s">
        <v>166</v>
      </c>
      <c r="H334" t="s">
        <v>167</v>
      </c>
      <c r="I334" t="s">
        <v>58</v>
      </c>
      <c r="J334" t="s">
        <v>58</v>
      </c>
      <c r="K334">
        <v>0</v>
      </c>
      <c r="L334" t="s">
        <v>77</v>
      </c>
    </row>
    <row r="335" spans="1:12">
      <c r="A335">
        <v>334</v>
      </c>
      <c r="B335" t="s">
        <v>245</v>
      </c>
      <c r="C335" t="s">
        <v>99</v>
      </c>
      <c r="D335">
        <v>3</v>
      </c>
      <c r="E335" t="s">
        <v>165</v>
      </c>
      <c r="F335">
        <v>3</v>
      </c>
      <c r="G335" t="s">
        <v>58</v>
      </c>
      <c r="H335" t="s">
        <v>58</v>
      </c>
      <c r="I335" t="s">
        <v>58</v>
      </c>
      <c r="J335" t="s">
        <v>58</v>
      </c>
      <c r="K335">
        <v>0</v>
      </c>
      <c r="L335" t="s">
        <v>77</v>
      </c>
    </row>
    <row r="336" spans="1:12">
      <c r="A336">
        <v>335</v>
      </c>
      <c r="B336" t="s">
        <v>245</v>
      </c>
      <c r="C336" t="s">
        <v>102</v>
      </c>
      <c r="D336">
        <v>3</v>
      </c>
      <c r="E336" t="s">
        <v>165</v>
      </c>
      <c r="F336">
        <v>3</v>
      </c>
      <c r="G336" t="s">
        <v>58</v>
      </c>
      <c r="H336" t="s">
        <v>58</v>
      </c>
      <c r="I336" t="s">
        <v>58</v>
      </c>
      <c r="J336" t="s">
        <v>58</v>
      </c>
      <c r="K336">
        <v>0</v>
      </c>
      <c r="L336" t="s">
        <v>77</v>
      </c>
    </row>
    <row r="337" spans="1:12">
      <c r="A337">
        <v>336</v>
      </c>
      <c r="B337" t="s">
        <v>131</v>
      </c>
      <c r="C337" t="s">
        <v>247</v>
      </c>
      <c r="D337">
        <v>4</v>
      </c>
      <c r="E337" t="s">
        <v>165</v>
      </c>
      <c r="F337">
        <v>3</v>
      </c>
      <c r="G337" t="s">
        <v>58</v>
      </c>
      <c r="H337" t="s">
        <v>58</v>
      </c>
      <c r="I337" t="s">
        <v>58</v>
      </c>
      <c r="J337" t="s">
        <v>58</v>
      </c>
      <c r="K337">
        <v>5</v>
      </c>
      <c r="L337" t="s">
        <v>77</v>
      </c>
    </row>
    <row r="338" spans="1:12">
      <c r="A338">
        <v>337</v>
      </c>
      <c r="B338" t="s">
        <v>131</v>
      </c>
      <c r="C338" t="s">
        <v>90</v>
      </c>
      <c r="D338">
        <v>4</v>
      </c>
      <c r="E338" t="s">
        <v>165</v>
      </c>
      <c r="F338">
        <v>3</v>
      </c>
      <c r="G338" t="s">
        <v>58</v>
      </c>
      <c r="H338" t="s">
        <v>58</v>
      </c>
      <c r="I338" t="s">
        <v>58</v>
      </c>
      <c r="J338" t="s">
        <v>58</v>
      </c>
      <c r="K338">
        <v>5</v>
      </c>
      <c r="L338" t="s">
        <v>77</v>
      </c>
    </row>
    <row r="339" spans="1:12">
      <c r="A339">
        <v>338</v>
      </c>
      <c r="B339" t="s">
        <v>131</v>
      </c>
      <c r="C339" t="s">
        <v>92</v>
      </c>
      <c r="D339">
        <v>5</v>
      </c>
      <c r="E339" t="s">
        <v>165</v>
      </c>
      <c r="F339">
        <v>3</v>
      </c>
      <c r="G339" t="s">
        <v>58</v>
      </c>
      <c r="H339" t="s">
        <v>58</v>
      </c>
      <c r="I339" t="s">
        <v>58</v>
      </c>
      <c r="J339" t="s">
        <v>58</v>
      </c>
      <c r="K339">
        <v>0</v>
      </c>
      <c r="L339" t="s">
        <v>77</v>
      </c>
    </row>
    <row r="340" spans="1:12">
      <c r="A340">
        <v>339</v>
      </c>
      <c r="B340" t="s">
        <v>131</v>
      </c>
      <c r="C340" t="s">
        <v>95</v>
      </c>
      <c r="D340">
        <v>5</v>
      </c>
      <c r="E340" t="s">
        <v>165</v>
      </c>
      <c r="F340">
        <v>3</v>
      </c>
      <c r="G340" t="s">
        <v>58</v>
      </c>
      <c r="H340" t="s">
        <v>58</v>
      </c>
      <c r="I340" t="s">
        <v>58</v>
      </c>
      <c r="J340" t="s">
        <v>58</v>
      </c>
      <c r="K340">
        <v>0</v>
      </c>
      <c r="L340" t="s">
        <v>77</v>
      </c>
    </row>
    <row r="341" spans="1:12">
      <c r="A341">
        <v>340</v>
      </c>
      <c r="B341" t="s">
        <v>131</v>
      </c>
      <c r="C341" t="s">
        <v>99</v>
      </c>
      <c r="D341">
        <v>2</v>
      </c>
      <c r="E341" t="s">
        <v>165</v>
      </c>
      <c r="F341">
        <v>3</v>
      </c>
      <c r="G341" t="s">
        <v>58</v>
      </c>
      <c r="H341" t="s">
        <v>58</v>
      </c>
      <c r="I341" t="s">
        <v>119</v>
      </c>
      <c r="J341" t="s">
        <v>239</v>
      </c>
      <c r="K341">
        <v>0</v>
      </c>
      <c r="L341" t="s">
        <v>77</v>
      </c>
    </row>
    <row r="342" spans="1:12">
      <c r="A342">
        <v>341</v>
      </c>
      <c r="B342" t="s">
        <v>131</v>
      </c>
      <c r="C342" t="s">
        <v>102</v>
      </c>
      <c r="D342">
        <v>2</v>
      </c>
      <c r="E342" t="s">
        <v>165</v>
      </c>
      <c r="F342">
        <v>3</v>
      </c>
      <c r="G342" t="s">
        <v>58</v>
      </c>
      <c r="H342" t="s">
        <v>58</v>
      </c>
      <c r="I342" t="s">
        <v>141</v>
      </c>
      <c r="J342" t="s">
        <v>240</v>
      </c>
      <c r="K342">
        <v>0</v>
      </c>
      <c r="L342" t="s">
        <v>77</v>
      </c>
    </row>
    <row r="343" spans="1:12">
      <c r="A343">
        <v>342</v>
      </c>
      <c r="B343" t="s">
        <v>245</v>
      </c>
      <c r="C343" t="s">
        <v>247</v>
      </c>
      <c r="D343">
        <v>1</v>
      </c>
      <c r="E343" t="s">
        <v>165</v>
      </c>
      <c r="F343">
        <v>3</v>
      </c>
      <c r="G343" t="s">
        <v>162</v>
      </c>
      <c r="H343" t="s">
        <v>167</v>
      </c>
      <c r="I343" t="s">
        <v>58</v>
      </c>
      <c r="J343" t="s">
        <v>58</v>
      </c>
      <c r="K343">
        <v>0</v>
      </c>
      <c r="L343" t="s">
        <v>77</v>
      </c>
    </row>
    <row r="344" spans="1:12">
      <c r="A344">
        <v>343</v>
      </c>
      <c r="B344" t="s">
        <v>245</v>
      </c>
      <c r="C344" t="s">
        <v>90</v>
      </c>
      <c r="D344">
        <v>1</v>
      </c>
      <c r="E344" t="s">
        <v>165</v>
      </c>
      <c r="F344">
        <v>3</v>
      </c>
      <c r="G344" t="s">
        <v>109</v>
      </c>
      <c r="H344" t="s">
        <v>151</v>
      </c>
      <c r="I344" t="s">
        <v>58</v>
      </c>
      <c r="J344" t="s">
        <v>58</v>
      </c>
      <c r="K344">
        <v>0</v>
      </c>
      <c r="L344" t="s">
        <v>77</v>
      </c>
    </row>
    <row r="345" spans="1:12">
      <c r="A345">
        <v>344</v>
      </c>
      <c r="B345" t="s">
        <v>131</v>
      </c>
      <c r="C345" t="s">
        <v>92</v>
      </c>
      <c r="D345">
        <v>3</v>
      </c>
      <c r="E345" t="s">
        <v>165</v>
      </c>
      <c r="F345">
        <v>3</v>
      </c>
      <c r="G345" t="s">
        <v>58</v>
      </c>
      <c r="H345" t="s">
        <v>58</v>
      </c>
      <c r="I345" t="s">
        <v>58</v>
      </c>
      <c r="J345" t="s">
        <v>58</v>
      </c>
      <c r="K345">
        <v>0</v>
      </c>
      <c r="L345" t="s">
        <v>77</v>
      </c>
    </row>
    <row r="346" spans="1:12">
      <c r="A346">
        <v>345</v>
      </c>
      <c r="B346" t="s">
        <v>131</v>
      </c>
      <c r="C346" t="s">
        <v>95</v>
      </c>
      <c r="D346">
        <v>3</v>
      </c>
      <c r="E346" t="s">
        <v>165</v>
      </c>
      <c r="F346">
        <v>3</v>
      </c>
      <c r="G346" t="s">
        <v>58</v>
      </c>
      <c r="H346" t="s">
        <v>58</v>
      </c>
      <c r="I346" t="s">
        <v>58</v>
      </c>
      <c r="J346" t="s">
        <v>58</v>
      </c>
      <c r="K346">
        <v>0</v>
      </c>
      <c r="L346" t="s">
        <v>77</v>
      </c>
    </row>
    <row r="347" spans="1:12">
      <c r="A347">
        <v>346</v>
      </c>
      <c r="B347" t="s">
        <v>131</v>
      </c>
      <c r="C347" t="s">
        <v>99</v>
      </c>
      <c r="D347">
        <v>4</v>
      </c>
      <c r="E347" t="s">
        <v>165</v>
      </c>
      <c r="F347">
        <v>3</v>
      </c>
      <c r="G347" t="s">
        <v>58</v>
      </c>
      <c r="H347" t="s">
        <v>58</v>
      </c>
      <c r="I347" t="s">
        <v>58</v>
      </c>
      <c r="J347" t="s">
        <v>58</v>
      </c>
      <c r="K347">
        <v>5</v>
      </c>
      <c r="L347" t="s">
        <v>77</v>
      </c>
    </row>
    <row r="348" spans="1:12">
      <c r="A348">
        <v>347</v>
      </c>
      <c r="B348" t="s">
        <v>131</v>
      </c>
      <c r="C348" t="s">
        <v>102</v>
      </c>
      <c r="D348">
        <v>4</v>
      </c>
      <c r="E348" t="s">
        <v>165</v>
      </c>
      <c r="F348">
        <v>3</v>
      </c>
      <c r="G348" t="s">
        <v>58</v>
      </c>
      <c r="H348" t="s">
        <v>58</v>
      </c>
      <c r="I348" t="s">
        <v>58</v>
      </c>
      <c r="J348" t="s">
        <v>58</v>
      </c>
      <c r="K348">
        <v>5</v>
      </c>
      <c r="L348" t="s">
        <v>77</v>
      </c>
    </row>
    <row r="349" spans="1:12">
      <c r="A349">
        <v>348</v>
      </c>
      <c r="B349" t="s">
        <v>180</v>
      </c>
      <c r="C349" t="s">
        <v>247</v>
      </c>
      <c r="D349">
        <v>0</v>
      </c>
      <c r="E349" t="s">
        <v>165</v>
      </c>
      <c r="F349">
        <v>3</v>
      </c>
      <c r="G349" t="s">
        <v>58</v>
      </c>
      <c r="H349" t="s">
        <v>58</v>
      </c>
      <c r="I349" t="s">
        <v>58</v>
      </c>
      <c r="J349" t="s">
        <v>58</v>
      </c>
      <c r="K349">
        <v>0</v>
      </c>
      <c r="L349" t="s">
        <v>77</v>
      </c>
    </row>
    <row r="350" spans="1:12">
      <c r="A350">
        <v>349</v>
      </c>
      <c r="B350" t="s">
        <v>131</v>
      </c>
      <c r="C350" t="s">
        <v>102</v>
      </c>
      <c r="D350">
        <v>5</v>
      </c>
      <c r="E350" t="s">
        <v>165</v>
      </c>
      <c r="F350">
        <v>3</v>
      </c>
      <c r="G350" t="s">
        <v>58</v>
      </c>
      <c r="H350" t="s">
        <v>58</v>
      </c>
      <c r="I350" t="s">
        <v>58</v>
      </c>
      <c r="J350" t="s">
        <v>58</v>
      </c>
      <c r="K350">
        <v>0</v>
      </c>
      <c r="L350" t="s">
        <v>77</v>
      </c>
    </row>
    <row r="351" spans="1:12">
      <c r="A351">
        <v>350</v>
      </c>
      <c r="B351" t="s">
        <v>131</v>
      </c>
      <c r="C351" t="s">
        <v>247</v>
      </c>
      <c r="D351">
        <v>2</v>
      </c>
      <c r="E351" t="s">
        <v>165</v>
      </c>
      <c r="F351">
        <v>3</v>
      </c>
      <c r="G351" t="s">
        <v>58</v>
      </c>
      <c r="H351" t="s">
        <v>58</v>
      </c>
      <c r="I351" t="s">
        <v>153</v>
      </c>
      <c r="J351" t="s">
        <v>233</v>
      </c>
      <c r="K351">
        <v>0</v>
      </c>
      <c r="L351" t="s">
        <v>77</v>
      </c>
    </row>
    <row r="352" spans="1:12">
      <c r="A352">
        <v>351</v>
      </c>
      <c r="B352" t="s">
        <v>131</v>
      </c>
      <c r="C352" t="s">
        <v>90</v>
      </c>
      <c r="D352">
        <v>2</v>
      </c>
      <c r="E352" t="s">
        <v>165</v>
      </c>
      <c r="F352">
        <v>3</v>
      </c>
      <c r="G352" t="s">
        <v>58</v>
      </c>
      <c r="H352" t="s">
        <v>58</v>
      </c>
      <c r="I352" t="s">
        <v>105</v>
      </c>
      <c r="J352" t="s">
        <v>244</v>
      </c>
      <c r="K352">
        <v>0</v>
      </c>
      <c r="L352" t="s">
        <v>77</v>
      </c>
    </row>
    <row r="353" spans="1:12">
      <c r="A353">
        <v>352</v>
      </c>
      <c r="B353" t="s">
        <v>131</v>
      </c>
      <c r="C353" t="s">
        <v>92</v>
      </c>
      <c r="D353">
        <v>1</v>
      </c>
      <c r="E353" t="s">
        <v>165</v>
      </c>
      <c r="F353">
        <v>3</v>
      </c>
      <c r="G353" t="s">
        <v>162</v>
      </c>
      <c r="H353" t="s">
        <v>167</v>
      </c>
      <c r="I353" t="s">
        <v>58</v>
      </c>
      <c r="J353" t="s">
        <v>58</v>
      </c>
      <c r="K353">
        <v>0</v>
      </c>
      <c r="L353" t="s">
        <v>77</v>
      </c>
    </row>
    <row r="354" spans="1:12">
      <c r="A354">
        <v>353</v>
      </c>
      <c r="B354" t="s">
        <v>131</v>
      </c>
      <c r="C354" t="s">
        <v>95</v>
      </c>
      <c r="D354">
        <v>1</v>
      </c>
      <c r="E354" t="s">
        <v>165</v>
      </c>
      <c r="F354">
        <v>3</v>
      </c>
      <c r="G354" t="s">
        <v>166</v>
      </c>
      <c r="H354" t="s">
        <v>167</v>
      </c>
      <c r="I354" t="s">
        <v>58</v>
      </c>
      <c r="J354" t="s">
        <v>58</v>
      </c>
      <c r="K354">
        <v>0</v>
      </c>
      <c r="L354" t="s">
        <v>77</v>
      </c>
    </row>
    <row r="355" spans="1:12">
      <c r="A355">
        <v>354</v>
      </c>
      <c r="B355" t="s">
        <v>245</v>
      </c>
      <c r="C355" t="s">
        <v>99</v>
      </c>
      <c r="D355">
        <v>3</v>
      </c>
      <c r="E355" t="s">
        <v>165</v>
      </c>
      <c r="F355">
        <v>3</v>
      </c>
      <c r="G355" t="s">
        <v>58</v>
      </c>
      <c r="H355" t="s">
        <v>58</v>
      </c>
      <c r="I355" t="s">
        <v>58</v>
      </c>
      <c r="J355" t="s">
        <v>58</v>
      </c>
      <c r="K355">
        <v>0</v>
      </c>
      <c r="L355" t="s">
        <v>77</v>
      </c>
    </row>
    <row r="356" spans="1:12">
      <c r="A356">
        <v>355</v>
      </c>
      <c r="B356" t="s">
        <v>245</v>
      </c>
      <c r="C356" t="s">
        <v>102</v>
      </c>
      <c r="D356">
        <v>3</v>
      </c>
      <c r="E356" t="s">
        <v>165</v>
      </c>
      <c r="F356">
        <v>3</v>
      </c>
      <c r="G356" t="s">
        <v>58</v>
      </c>
      <c r="H356" t="s">
        <v>58</v>
      </c>
      <c r="I356" t="s">
        <v>58</v>
      </c>
      <c r="J356" t="s">
        <v>58</v>
      </c>
      <c r="K356">
        <v>0</v>
      </c>
      <c r="L356" t="s">
        <v>77</v>
      </c>
    </row>
    <row r="357" spans="1:12">
      <c r="A357">
        <v>356</v>
      </c>
      <c r="B357" t="s">
        <v>131</v>
      </c>
      <c r="C357" t="s">
        <v>247</v>
      </c>
      <c r="D357">
        <v>4</v>
      </c>
      <c r="E357" t="s">
        <v>165</v>
      </c>
      <c r="F357">
        <v>3</v>
      </c>
      <c r="G357" t="s">
        <v>58</v>
      </c>
      <c r="H357" t="s">
        <v>58</v>
      </c>
      <c r="I357" t="s">
        <v>58</v>
      </c>
      <c r="J357" t="s">
        <v>58</v>
      </c>
      <c r="K357">
        <v>5</v>
      </c>
      <c r="L357" t="s">
        <v>77</v>
      </c>
    </row>
    <row r="358" spans="1:12">
      <c r="A358">
        <v>357</v>
      </c>
      <c r="B358" t="s">
        <v>131</v>
      </c>
      <c r="C358" t="s">
        <v>90</v>
      </c>
      <c r="D358">
        <v>4</v>
      </c>
      <c r="E358" t="s">
        <v>165</v>
      </c>
      <c r="F358">
        <v>3</v>
      </c>
      <c r="G358" t="s">
        <v>58</v>
      </c>
      <c r="H358" t="s">
        <v>58</v>
      </c>
      <c r="I358" t="s">
        <v>58</v>
      </c>
      <c r="J358" t="s">
        <v>58</v>
      </c>
      <c r="K358">
        <v>5</v>
      </c>
      <c r="L358" t="s">
        <v>77</v>
      </c>
    </row>
    <row r="359" spans="1:12">
      <c r="A359">
        <v>358</v>
      </c>
      <c r="B359" t="s">
        <v>131</v>
      </c>
      <c r="C359" t="s">
        <v>92</v>
      </c>
      <c r="D359">
        <v>5</v>
      </c>
      <c r="E359" t="s">
        <v>165</v>
      </c>
      <c r="F359">
        <v>3</v>
      </c>
      <c r="G359" t="s">
        <v>58</v>
      </c>
      <c r="H359" t="s">
        <v>58</v>
      </c>
      <c r="I359" t="s">
        <v>58</v>
      </c>
      <c r="J359" t="s">
        <v>58</v>
      </c>
      <c r="K359">
        <v>0</v>
      </c>
      <c r="L359" t="s">
        <v>77</v>
      </c>
    </row>
    <row r="360" spans="1:12">
      <c r="A360">
        <v>359</v>
      </c>
      <c r="B360" t="s">
        <v>245</v>
      </c>
      <c r="C360" t="s">
        <v>95</v>
      </c>
      <c r="D360">
        <v>5</v>
      </c>
      <c r="E360" t="s">
        <v>165</v>
      </c>
      <c r="F360">
        <v>3</v>
      </c>
      <c r="G360" t="s">
        <v>58</v>
      </c>
      <c r="H360" t="s">
        <v>58</v>
      </c>
      <c r="I360" t="s">
        <v>58</v>
      </c>
      <c r="J360" t="s">
        <v>58</v>
      </c>
      <c r="K360">
        <v>0</v>
      </c>
      <c r="L360" t="s">
        <v>77</v>
      </c>
    </row>
    <row r="361" spans="1:12">
      <c r="A361">
        <v>360</v>
      </c>
      <c r="B361" t="s">
        <v>131</v>
      </c>
      <c r="C361" t="s">
        <v>99</v>
      </c>
      <c r="D361">
        <v>2</v>
      </c>
      <c r="E361" t="s">
        <v>165</v>
      </c>
      <c r="F361">
        <v>3</v>
      </c>
      <c r="G361" t="s">
        <v>58</v>
      </c>
      <c r="H361" t="s">
        <v>58</v>
      </c>
      <c r="I361" t="s">
        <v>119</v>
      </c>
      <c r="J361" t="s">
        <v>239</v>
      </c>
      <c r="K361">
        <v>0</v>
      </c>
      <c r="L361" t="s">
        <v>77</v>
      </c>
    </row>
    <row r="362" spans="1:12">
      <c r="A362">
        <v>361</v>
      </c>
      <c r="B362" t="s">
        <v>131</v>
      </c>
      <c r="C362" t="s">
        <v>102</v>
      </c>
      <c r="D362">
        <v>2</v>
      </c>
      <c r="E362" t="s">
        <v>165</v>
      </c>
      <c r="F362">
        <v>3</v>
      </c>
      <c r="G362" t="s">
        <v>58</v>
      </c>
      <c r="H362" t="s">
        <v>58</v>
      </c>
      <c r="I362" t="s">
        <v>141</v>
      </c>
      <c r="J362" t="s">
        <v>240</v>
      </c>
      <c r="K362">
        <v>0</v>
      </c>
      <c r="L362" t="s">
        <v>77</v>
      </c>
    </row>
    <row r="363" spans="1:12">
      <c r="A363">
        <v>362</v>
      </c>
      <c r="B363" t="s">
        <v>131</v>
      </c>
      <c r="C363" t="s">
        <v>247</v>
      </c>
      <c r="D363">
        <v>1</v>
      </c>
      <c r="E363" t="s">
        <v>165</v>
      </c>
      <c r="F363">
        <v>3</v>
      </c>
      <c r="G363" t="s">
        <v>162</v>
      </c>
      <c r="H363" t="s">
        <v>167</v>
      </c>
      <c r="I363" t="s">
        <v>58</v>
      </c>
      <c r="J363" t="s">
        <v>58</v>
      </c>
      <c r="K363">
        <v>0</v>
      </c>
      <c r="L363" t="s">
        <v>77</v>
      </c>
    </row>
    <row r="364" spans="1:12">
      <c r="A364">
        <v>363</v>
      </c>
      <c r="B364" t="s">
        <v>131</v>
      </c>
      <c r="C364" t="s">
        <v>90</v>
      </c>
      <c r="D364">
        <v>1</v>
      </c>
      <c r="E364" t="s">
        <v>165</v>
      </c>
      <c r="F364">
        <v>3</v>
      </c>
      <c r="G364" t="s">
        <v>109</v>
      </c>
      <c r="H364" t="s">
        <v>151</v>
      </c>
      <c r="I364" t="s">
        <v>58</v>
      </c>
      <c r="J364" t="s">
        <v>58</v>
      </c>
      <c r="K364">
        <v>0</v>
      </c>
      <c r="L364" t="s">
        <v>77</v>
      </c>
    </row>
    <row r="365" spans="1:12">
      <c r="A365">
        <v>364</v>
      </c>
      <c r="B365" t="s">
        <v>245</v>
      </c>
      <c r="C365" t="s">
        <v>92</v>
      </c>
      <c r="D365">
        <v>3</v>
      </c>
      <c r="E365" t="s">
        <v>165</v>
      </c>
      <c r="F365">
        <v>3</v>
      </c>
      <c r="G365" t="s">
        <v>58</v>
      </c>
      <c r="H365" t="s">
        <v>58</v>
      </c>
      <c r="I365" t="s">
        <v>58</v>
      </c>
      <c r="J365" t="s">
        <v>58</v>
      </c>
      <c r="K365">
        <v>0</v>
      </c>
      <c r="L365" t="s">
        <v>77</v>
      </c>
    </row>
    <row r="366" spans="1:12">
      <c r="A366">
        <v>365</v>
      </c>
      <c r="B366" t="s">
        <v>245</v>
      </c>
      <c r="C366" t="s">
        <v>95</v>
      </c>
      <c r="D366">
        <v>3</v>
      </c>
      <c r="E366" t="s">
        <v>165</v>
      </c>
      <c r="F366">
        <v>3</v>
      </c>
      <c r="G366" t="s">
        <v>58</v>
      </c>
      <c r="H366" t="s">
        <v>58</v>
      </c>
      <c r="I366" t="s">
        <v>58</v>
      </c>
      <c r="J366" t="s">
        <v>58</v>
      </c>
      <c r="K366">
        <v>0</v>
      </c>
      <c r="L366" t="s">
        <v>77</v>
      </c>
    </row>
    <row r="367" spans="1:12">
      <c r="A367">
        <v>366</v>
      </c>
      <c r="B367" t="s">
        <v>131</v>
      </c>
      <c r="C367" t="s">
        <v>99</v>
      </c>
      <c r="D367">
        <v>4</v>
      </c>
      <c r="E367" t="s">
        <v>165</v>
      </c>
      <c r="F367">
        <v>3</v>
      </c>
      <c r="G367" t="s">
        <v>58</v>
      </c>
      <c r="H367" t="s">
        <v>58</v>
      </c>
      <c r="I367" t="s">
        <v>58</v>
      </c>
      <c r="J367" t="s">
        <v>58</v>
      </c>
      <c r="K367">
        <v>5</v>
      </c>
      <c r="L367" t="s">
        <v>77</v>
      </c>
    </row>
    <row r="368" spans="1:12">
      <c r="A368">
        <v>367</v>
      </c>
      <c r="B368" t="s">
        <v>131</v>
      </c>
      <c r="C368" t="s">
        <v>102</v>
      </c>
      <c r="D368">
        <v>4</v>
      </c>
      <c r="E368" t="s">
        <v>165</v>
      </c>
      <c r="F368">
        <v>3</v>
      </c>
      <c r="G368" t="s">
        <v>58</v>
      </c>
      <c r="H368" t="s">
        <v>58</v>
      </c>
      <c r="I368" t="s">
        <v>58</v>
      </c>
      <c r="J368" t="s">
        <v>58</v>
      </c>
      <c r="K368">
        <v>5</v>
      </c>
      <c r="L368" t="s">
        <v>77</v>
      </c>
    </row>
    <row r="369" spans="1:12">
      <c r="A369">
        <v>368</v>
      </c>
      <c r="B369" t="s">
        <v>180</v>
      </c>
      <c r="C369" t="s">
        <v>247</v>
      </c>
      <c r="D369">
        <v>0</v>
      </c>
      <c r="E369" t="s">
        <v>165</v>
      </c>
      <c r="F369">
        <v>3</v>
      </c>
      <c r="G369" t="s">
        <v>58</v>
      </c>
      <c r="H369" t="s">
        <v>58</v>
      </c>
      <c r="I369" t="s">
        <v>58</v>
      </c>
      <c r="J369" t="s">
        <v>58</v>
      </c>
      <c r="K369">
        <v>0</v>
      </c>
      <c r="L369" t="s">
        <v>77</v>
      </c>
    </row>
    <row r="370" spans="1:12">
      <c r="A370">
        <v>369</v>
      </c>
      <c r="B370" t="s">
        <v>131</v>
      </c>
      <c r="C370" t="s">
        <v>90</v>
      </c>
      <c r="D370">
        <v>2</v>
      </c>
      <c r="E370" t="s">
        <v>165</v>
      </c>
      <c r="F370">
        <v>3</v>
      </c>
      <c r="G370" t="s">
        <v>58</v>
      </c>
      <c r="H370" t="s">
        <v>58</v>
      </c>
      <c r="I370" t="s">
        <v>105</v>
      </c>
      <c r="J370" t="s">
        <v>244</v>
      </c>
      <c r="K370">
        <v>0</v>
      </c>
      <c r="L370" t="s">
        <v>77</v>
      </c>
    </row>
    <row r="371" spans="1:12">
      <c r="A371">
        <v>370</v>
      </c>
      <c r="B371" t="s">
        <v>131</v>
      </c>
      <c r="C371" t="s">
        <v>92</v>
      </c>
      <c r="D371">
        <v>1</v>
      </c>
      <c r="E371" t="s">
        <v>165</v>
      </c>
      <c r="F371">
        <v>3</v>
      </c>
      <c r="G371" t="s">
        <v>162</v>
      </c>
      <c r="H371" t="s">
        <v>167</v>
      </c>
      <c r="I371" t="s">
        <v>58</v>
      </c>
      <c r="J371" t="s">
        <v>58</v>
      </c>
      <c r="K371">
        <v>0</v>
      </c>
      <c r="L371" t="s">
        <v>77</v>
      </c>
    </row>
    <row r="372" spans="1:12">
      <c r="A372">
        <v>371</v>
      </c>
      <c r="B372" t="s">
        <v>131</v>
      </c>
      <c r="C372" t="s">
        <v>95</v>
      </c>
      <c r="D372">
        <v>1</v>
      </c>
      <c r="E372" t="s">
        <v>165</v>
      </c>
      <c r="F372">
        <v>3</v>
      </c>
      <c r="G372" t="s">
        <v>166</v>
      </c>
      <c r="H372" t="s">
        <v>167</v>
      </c>
      <c r="I372" t="s">
        <v>58</v>
      </c>
      <c r="J372" t="s">
        <v>58</v>
      </c>
      <c r="K372">
        <v>0</v>
      </c>
      <c r="L372" t="s">
        <v>77</v>
      </c>
    </row>
    <row r="373" spans="1:12">
      <c r="A373">
        <v>372</v>
      </c>
      <c r="B373" t="s">
        <v>245</v>
      </c>
      <c r="C373" t="s">
        <v>99</v>
      </c>
      <c r="D373">
        <v>3</v>
      </c>
      <c r="E373" t="s">
        <v>165</v>
      </c>
      <c r="F373">
        <v>3</v>
      </c>
      <c r="G373" t="s">
        <v>58</v>
      </c>
      <c r="H373" t="s">
        <v>58</v>
      </c>
      <c r="I373" t="s">
        <v>58</v>
      </c>
      <c r="J373" t="s">
        <v>58</v>
      </c>
      <c r="K373">
        <v>0</v>
      </c>
      <c r="L373" t="s">
        <v>77</v>
      </c>
    </row>
    <row r="374" spans="1:12">
      <c r="A374">
        <v>373</v>
      </c>
      <c r="B374" t="s">
        <v>245</v>
      </c>
      <c r="C374" t="s">
        <v>102</v>
      </c>
      <c r="D374">
        <v>3</v>
      </c>
      <c r="E374" t="s">
        <v>165</v>
      </c>
      <c r="F374">
        <v>3</v>
      </c>
      <c r="G374" t="s">
        <v>58</v>
      </c>
      <c r="H374" t="s">
        <v>58</v>
      </c>
      <c r="I374" t="s">
        <v>58</v>
      </c>
      <c r="J374" t="s">
        <v>58</v>
      </c>
      <c r="K374">
        <v>0</v>
      </c>
      <c r="L374" t="s">
        <v>77</v>
      </c>
    </row>
    <row r="375" spans="1:12">
      <c r="A375">
        <v>374</v>
      </c>
      <c r="B375" t="s">
        <v>131</v>
      </c>
      <c r="C375" t="s">
        <v>247</v>
      </c>
      <c r="D375">
        <v>4</v>
      </c>
      <c r="E375" t="s">
        <v>165</v>
      </c>
      <c r="F375">
        <v>3</v>
      </c>
      <c r="G375" t="s">
        <v>58</v>
      </c>
      <c r="H375" t="s">
        <v>58</v>
      </c>
      <c r="I375" t="s">
        <v>58</v>
      </c>
      <c r="J375" t="s">
        <v>58</v>
      </c>
      <c r="K375">
        <v>5</v>
      </c>
      <c r="L375" t="s">
        <v>77</v>
      </c>
    </row>
    <row r="376" spans="1:12">
      <c r="A376">
        <v>375</v>
      </c>
      <c r="B376" t="s">
        <v>131</v>
      </c>
      <c r="C376" t="s">
        <v>90</v>
      </c>
      <c r="D376">
        <v>4</v>
      </c>
      <c r="E376" t="s">
        <v>165</v>
      </c>
      <c r="F376">
        <v>3</v>
      </c>
      <c r="G376" t="s">
        <v>58</v>
      </c>
      <c r="H376" t="s">
        <v>58</v>
      </c>
      <c r="I376" t="s">
        <v>58</v>
      </c>
      <c r="J376" t="s">
        <v>58</v>
      </c>
      <c r="K376">
        <v>5</v>
      </c>
      <c r="L376" t="s">
        <v>77</v>
      </c>
    </row>
    <row r="377" spans="1:12">
      <c r="A377">
        <v>376</v>
      </c>
      <c r="B377" t="s">
        <v>131</v>
      </c>
      <c r="C377" t="s">
        <v>92</v>
      </c>
      <c r="D377">
        <v>5</v>
      </c>
      <c r="E377" t="s">
        <v>165</v>
      </c>
      <c r="F377">
        <v>3</v>
      </c>
      <c r="G377" t="s">
        <v>58</v>
      </c>
      <c r="H377" t="s">
        <v>58</v>
      </c>
      <c r="I377" t="s">
        <v>58</v>
      </c>
      <c r="J377" t="s">
        <v>58</v>
      </c>
      <c r="K377">
        <v>0</v>
      </c>
      <c r="L377" t="s">
        <v>77</v>
      </c>
    </row>
    <row r="378" spans="1:12">
      <c r="A378">
        <v>377</v>
      </c>
      <c r="B378" t="s">
        <v>245</v>
      </c>
      <c r="C378" t="s">
        <v>95</v>
      </c>
      <c r="D378">
        <v>5</v>
      </c>
      <c r="E378" t="s">
        <v>165</v>
      </c>
      <c r="F378">
        <v>3</v>
      </c>
      <c r="G378" t="s">
        <v>58</v>
      </c>
      <c r="H378" t="s">
        <v>58</v>
      </c>
      <c r="I378" t="s">
        <v>58</v>
      </c>
      <c r="J378" t="s">
        <v>58</v>
      </c>
      <c r="K378">
        <v>0</v>
      </c>
      <c r="L378" t="s">
        <v>77</v>
      </c>
    </row>
    <row r="379" spans="1:12">
      <c r="A379">
        <v>378</v>
      </c>
      <c r="B379" t="s">
        <v>245</v>
      </c>
      <c r="C379" t="s">
        <v>95</v>
      </c>
      <c r="D379">
        <v>5</v>
      </c>
      <c r="E379" t="s">
        <v>165</v>
      </c>
      <c r="F379">
        <v>3</v>
      </c>
      <c r="G379" t="s">
        <v>58</v>
      </c>
      <c r="H379" t="s">
        <v>58</v>
      </c>
      <c r="I379" t="s">
        <v>58</v>
      </c>
      <c r="J379" t="s">
        <v>58</v>
      </c>
      <c r="K379">
        <v>0</v>
      </c>
      <c r="L379" t="s">
        <v>77</v>
      </c>
    </row>
    <row r="380" spans="1:12">
      <c r="A380">
        <v>379</v>
      </c>
      <c r="B380" t="s">
        <v>131</v>
      </c>
      <c r="C380" t="s">
        <v>99</v>
      </c>
      <c r="D380">
        <v>2</v>
      </c>
      <c r="E380" t="s">
        <v>165</v>
      </c>
      <c r="F380">
        <v>3</v>
      </c>
      <c r="G380" t="s">
        <v>58</v>
      </c>
      <c r="H380" t="s">
        <v>58</v>
      </c>
      <c r="I380" t="s">
        <v>119</v>
      </c>
      <c r="J380" t="s">
        <v>239</v>
      </c>
      <c r="K380">
        <v>0</v>
      </c>
      <c r="L380" t="s">
        <v>77</v>
      </c>
    </row>
    <row r="381" spans="1:12">
      <c r="A381">
        <v>380</v>
      </c>
      <c r="B381" t="s">
        <v>131</v>
      </c>
      <c r="C381" t="s">
        <v>102</v>
      </c>
      <c r="D381">
        <v>2</v>
      </c>
      <c r="E381" t="s">
        <v>165</v>
      </c>
      <c r="F381">
        <v>3</v>
      </c>
      <c r="G381" t="s">
        <v>58</v>
      </c>
      <c r="H381" t="s">
        <v>58</v>
      </c>
      <c r="I381" t="s">
        <v>141</v>
      </c>
      <c r="J381" t="s">
        <v>240</v>
      </c>
      <c r="K381">
        <v>0</v>
      </c>
      <c r="L381" t="s">
        <v>77</v>
      </c>
    </row>
    <row r="382" spans="1:12">
      <c r="A382">
        <v>381</v>
      </c>
      <c r="B382" t="s">
        <v>131</v>
      </c>
      <c r="C382" t="s">
        <v>247</v>
      </c>
      <c r="D382">
        <v>1</v>
      </c>
      <c r="E382" t="s">
        <v>165</v>
      </c>
      <c r="F382">
        <v>3</v>
      </c>
      <c r="G382" t="s">
        <v>162</v>
      </c>
      <c r="H382" t="s">
        <v>167</v>
      </c>
      <c r="I382" t="s">
        <v>58</v>
      </c>
      <c r="J382" t="s">
        <v>58</v>
      </c>
      <c r="K382">
        <v>0</v>
      </c>
      <c r="L382" t="s">
        <v>77</v>
      </c>
    </row>
    <row r="383" spans="1:12">
      <c r="A383">
        <v>382</v>
      </c>
      <c r="B383" t="s">
        <v>131</v>
      </c>
      <c r="C383" t="s">
        <v>90</v>
      </c>
      <c r="D383">
        <v>1</v>
      </c>
      <c r="E383" t="s">
        <v>165</v>
      </c>
      <c r="F383">
        <v>3</v>
      </c>
      <c r="G383" t="s">
        <v>109</v>
      </c>
      <c r="H383" t="s">
        <v>151</v>
      </c>
      <c r="I383" t="s">
        <v>58</v>
      </c>
      <c r="J383" t="s">
        <v>58</v>
      </c>
      <c r="K383">
        <v>0</v>
      </c>
      <c r="L383" t="s">
        <v>77</v>
      </c>
    </row>
    <row r="384" spans="1:12">
      <c r="A384">
        <v>383</v>
      </c>
      <c r="B384" t="s">
        <v>245</v>
      </c>
      <c r="C384" t="s">
        <v>92</v>
      </c>
      <c r="D384">
        <v>3</v>
      </c>
      <c r="E384" t="s">
        <v>165</v>
      </c>
      <c r="F384">
        <v>3</v>
      </c>
      <c r="G384" t="s">
        <v>58</v>
      </c>
      <c r="H384" t="s">
        <v>58</v>
      </c>
      <c r="I384" t="s">
        <v>58</v>
      </c>
      <c r="J384" t="s">
        <v>58</v>
      </c>
      <c r="K384">
        <v>0</v>
      </c>
      <c r="L384" t="s">
        <v>77</v>
      </c>
    </row>
    <row r="385" spans="1:12">
      <c r="A385">
        <v>384</v>
      </c>
      <c r="B385" t="s">
        <v>245</v>
      </c>
      <c r="C385" t="s">
        <v>95</v>
      </c>
      <c r="D385">
        <v>3</v>
      </c>
      <c r="E385" t="s">
        <v>165</v>
      </c>
      <c r="F385">
        <v>3</v>
      </c>
      <c r="G385" t="s">
        <v>58</v>
      </c>
      <c r="H385" t="s">
        <v>58</v>
      </c>
      <c r="I385" t="s">
        <v>58</v>
      </c>
      <c r="J385" t="s">
        <v>58</v>
      </c>
      <c r="K385">
        <v>0</v>
      </c>
      <c r="L385" t="s">
        <v>77</v>
      </c>
    </row>
    <row r="386" spans="1:12">
      <c r="A386">
        <v>385</v>
      </c>
      <c r="B386" t="s">
        <v>131</v>
      </c>
      <c r="C386" t="s">
        <v>99</v>
      </c>
      <c r="D386">
        <v>4</v>
      </c>
      <c r="E386" t="s">
        <v>165</v>
      </c>
      <c r="F386">
        <v>3</v>
      </c>
      <c r="G386" t="s">
        <v>58</v>
      </c>
      <c r="H386" t="s">
        <v>58</v>
      </c>
      <c r="I386" t="s">
        <v>58</v>
      </c>
      <c r="J386" t="s">
        <v>58</v>
      </c>
      <c r="K386">
        <v>5</v>
      </c>
      <c r="L386" t="s">
        <v>77</v>
      </c>
    </row>
    <row r="387" spans="1:12">
      <c r="A387">
        <v>386</v>
      </c>
      <c r="B387" t="s">
        <v>131</v>
      </c>
      <c r="C387" t="s">
        <v>102</v>
      </c>
      <c r="D387">
        <v>4</v>
      </c>
      <c r="E387" t="s">
        <v>165</v>
      </c>
      <c r="F387">
        <v>3</v>
      </c>
      <c r="G387" t="s">
        <v>58</v>
      </c>
      <c r="H387" t="s">
        <v>58</v>
      </c>
      <c r="I387" t="s">
        <v>58</v>
      </c>
      <c r="J387" t="s">
        <v>58</v>
      </c>
      <c r="K387">
        <v>5</v>
      </c>
      <c r="L387" t="s">
        <v>77</v>
      </c>
    </row>
    <row r="388" spans="1:12">
      <c r="A388">
        <v>387</v>
      </c>
      <c r="B388" t="s">
        <v>180</v>
      </c>
      <c r="C388" t="s">
        <v>247</v>
      </c>
      <c r="D388">
        <v>0</v>
      </c>
      <c r="E388" t="s">
        <v>165</v>
      </c>
      <c r="F388">
        <v>3</v>
      </c>
      <c r="G388" t="s">
        <v>58</v>
      </c>
      <c r="H388" t="s">
        <v>58</v>
      </c>
      <c r="I388" t="s">
        <v>58</v>
      </c>
      <c r="J388" t="s">
        <v>58</v>
      </c>
      <c r="K388">
        <v>0</v>
      </c>
      <c r="L388" t="s">
        <v>77</v>
      </c>
    </row>
    <row r="389" spans="1:12">
      <c r="A389">
        <v>388</v>
      </c>
      <c r="B389" t="s">
        <v>131</v>
      </c>
      <c r="C389" t="s">
        <v>90</v>
      </c>
      <c r="D389">
        <v>2</v>
      </c>
      <c r="E389" t="s">
        <v>165</v>
      </c>
      <c r="F389">
        <v>3</v>
      </c>
      <c r="G389" t="s">
        <v>58</v>
      </c>
      <c r="H389" t="s">
        <v>58</v>
      </c>
      <c r="I389" t="s">
        <v>105</v>
      </c>
      <c r="J389" t="s">
        <v>244</v>
      </c>
      <c r="K389">
        <v>0</v>
      </c>
      <c r="L389" t="s">
        <v>77</v>
      </c>
    </row>
    <row r="390" spans="1:12">
      <c r="A390">
        <v>389</v>
      </c>
      <c r="B390" t="s">
        <v>131</v>
      </c>
      <c r="C390" t="s">
        <v>92</v>
      </c>
      <c r="D390">
        <v>1</v>
      </c>
      <c r="E390" t="s">
        <v>165</v>
      </c>
      <c r="F390">
        <v>3</v>
      </c>
      <c r="G390" t="s">
        <v>162</v>
      </c>
      <c r="H390" t="s">
        <v>167</v>
      </c>
      <c r="I390" t="s">
        <v>58</v>
      </c>
      <c r="J390" t="s">
        <v>58</v>
      </c>
      <c r="K390">
        <v>0</v>
      </c>
      <c r="L390" t="s">
        <v>77</v>
      </c>
    </row>
    <row r="391" spans="1:12">
      <c r="A391">
        <v>390</v>
      </c>
      <c r="B391" t="s">
        <v>131</v>
      </c>
      <c r="C391" t="s">
        <v>95</v>
      </c>
      <c r="D391">
        <v>1</v>
      </c>
      <c r="E391" t="s">
        <v>165</v>
      </c>
      <c r="F391">
        <v>3</v>
      </c>
      <c r="G391" t="s">
        <v>166</v>
      </c>
      <c r="H391" t="s">
        <v>167</v>
      </c>
      <c r="I391" t="s">
        <v>58</v>
      </c>
      <c r="J391" t="s">
        <v>58</v>
      </c>
      <c r="K391">
        <v>0</v>
      </c>
      <c r="L391" t="s">
        <v>77</v>
      </c>
    </row>
    <row r="392" spans="1:12">
      <c r="A392">
        <v>391</v>
      </c>
      <c r="B392" t="s">
        <v>245</v>
      </c>
      <c r="C392" t="s">
        <v>99</v>
      </c>
      <c r="D392">
        <v>3</v>
      </c>
      <c r="E392" t="s">
        <v>165</v>
      </c>
      <c r="F392">
        <v>3</v>
      </c>
      <c r="G392" t="s">
        <v>58</v>
      </c>
      <c r="H392" t="s">
        <v>58</v>
      </c>
      <c r="I392" t="s">
        <v>58</v>
      </c>
      <c r="J392" t="s">
        <v>58</v>
      </c>
      <c r="K392">
        <v>0</v>
      </c>
      <c r="L392" t="s">
        <v>77</v>
      </c>
    </row>
    <row r="393" spans="1:12">
      <c r="A393">
        <v>392</v>
      </c>
      <c r="B393" t="s">
        <v>245</v>
      </c>
      <c r="C393" t="s">
        <v>102</v>
      </c>
      <c r="D393">
        <v>3</v>
      </c>
      <c r="E393" t="s">
        <v>165</v>
      </c>
      <c r="F393">
        <v>3</v>
      </c>
      <c r="G393" t="s">
        <v>58</v>
      </c>
      <c r="H393" t="s">
        <v>58</v>
      </c>
      <c r="I393" t="s">
        <v>58</v>
      </c>
      <c r="J393" t="s">
        <v>58</v>
      </c>
      <c r="K393">
        <v>0</v>
      </c>
      <c r="L393" t="s">
        <v>77</v>
      </c>
    </row>
    <row r="394" spans="1:12">
      <c r="A394">
        <v>393</v>
      </c>
      <c r="B394" t="s">
        <v>245</v>
      </c>
      <c r="C394" t="s">
        <v>90</v>
      </c>
      <c r="D394">
        <v>1</v>
      </c>
      <c r="E394" t="s">
        <v>165</v>
      </c>
      <c r="F394">
        <v>3</v>
      </c>
      <c r="G394" t="s">
        <v>109</v>
      </c>
      <c r="H394" t="s">
        <v>151</v>
      </c>
      <c r="I394" t="s">
        <v>58</v>
      </c>
      <c r="J394" t="s">
        <v>58</v>
      </c>
      <c r="K394">
        <v>0</v>
      </c>
      <c r="L394" t="s">
        <v>77</v>
      </c>
    </row>
    <row r="395" spans="1:12">
      <c r="A395">
        <v>394</v>
      </c>
      <c r="B395" t="s">
        <v>131</v>
      </c>
      <c r="C395" t="s">
        <v>92</v>
      </c>
      <c r="D395">
        <v>3</v>
      </c>
      <c r="E395" t="s">
        <v>165</v>
      </c>
      <c r="F395">
        <v>3</v>
      </c>
      <c r="G395" t="s">
        <v>58</v>
      </c>
      <c r="H395" t="s">
        <v>58</v>
      </c>
      <c r="I395" t="s">
        <v>58</v>
      </c>
      <c r="J395" t="s">
        <v>58</v>
      </c>
      <c r="K395">
        <v>0</v>
      </c>
      <c r="L395" t="s">
        <v>77</v>
      </c>
    </row>
    <row r="396" spans="1:12">
      <c r="A396">
        <v>395</v>
      </c>
      <c r="B396" t="s">
        <v>131</v>
      </c>
      <c r="C396" t="s">
        <v>95</v>
      </c>
      <c r="D396">
        <v>3</v>
      </c>
      <c r="E396" t="s">
        <v>165</v>
      </c>
      <c r="F396">
        <v>3</v>
      </c>
      <c r="G396" t="s">
        <v>58</v>
      </c>
      <c r="H396" t="s">
        <v>58</v>
      </c>
      <c r="I396" t="s">
        <v>58</v>
      </c>
      <c r="J396" t="s">
        <v>58</v>
      </c>
      <c r="K396">
        <v>0</v>
      </c>
      <c r="L396" t="s">
        <v>77</v>
      </c>
    </row>
    <row r="397" spans="1:12">
      <c r="A397">
        <v>396</v>
      </c>
      <c r="B397" t="s">
        <v>131</v>
      </c>
      <c r="C397" t="s">
        <v>99</v>
      </c>
      <c r="D397">
        <v>4</v>
      </c>
      <c r="E397" t="s">
        <v>165</v>
      </c>
      <c r="F397">
        <v>3</v>
      </c>
      <c r="G397" t="s">
        <v>58</v>
      </c>
      <c r="H397" t="s">
        <v>58</v>
      </c>
      <c r="I397" t="s">
        <v>58</v>
      </c>
      <c r="J397" t="s">
        <v>58</v>
      </c>
      <c r="K397">
        <v>5</v>
      </c>
      <c r="L397" t="s">
        <v>77</v>
      </c>
    </row>
    <row r="398" spans="1:12">
      <c r="A398">
        <v>397</v>
      </c>
      <c r="B398" t="s">
        <v>131</v>
      </c>
      <c r="C398" t="s">
        <v>102</v>
      </c>
      <c r="D398">
        <v>4</v>
      </c>
      <c r="E398" t="s">
        <v>165</v>
      </c>
      <c r="F398">
        <v>3</v>
      </c>
      <c r="G398" t="s">
        <v>58</v>
      </c>
      <c r="H398" t="s">
        <v>58</v>
      </c>
      <c r="I398" t="s">
        <v>58</v>
      </c>
      <c r="J398" t="s">
        <v>58</v>
      </c>
      <c r="K398">
        <v>5</v>
      </c>
      <c r="L398" t="s">
        <v>77</v>
      </c>
    </row>
    <row r="399" spans="1:12">
      <c r="A399">
        <v>398</v>
      </c>
      <c r="B399" t="s">
        <v>180</v>
      </c>
      <c r="C399" t="s">
        <v>247</v>
      </c>
      <c r="D399">
        <v>0</v>
      </c>
      <c r="E399" t="s">
        <v>165</v>
      </c>
      <c r="F399">
        <v>3</v>
      </c>
      <c r="G399" t="s">
        <v>58</v>
      </c>
      <c r="H399" t="s">
        <v>58</v>
      </c>
      <c r="I399" t="s">
        <v>58</v>
      </c>
      <c r="J399" t="s">
        <v>58</v>
      </c>
      <c r="K399">
        <v>0</v>
      </c>
      <c r="L399" t="s">
        <v>77</v>
      </c>
    </row>
    <row r="400" spans="1:12">
      <c r="A400">
        <v>399</v>
      </c>
      <c r="B400" t="s">
        <v>131</v>
      </c>
      <c r="C400" t="s">
        <v>102</v>
      </c>
      <c r="D400">
        <v>5</v>
      </c>
      <c r="E400" t="s">
        <v>165</v>
      </c>
      <c r="F400">
        <v>3</v>
      </c>
      <c r="G400" t="s">
        <v>58</v>
      </c>
      <c r="H400" t="s">
        <v>58</v>
      </c>
      <c r="I400" t="s">
        <v>58</v>
      </c>
      <c r="J400" t="s">
        <v>58</v>
      </c>
      <c r="K400">
        <v>0</v>
      </c>
      <c r="L400" t="s">
        <v>77</v>
      </c>
    </row>
    <row r="401" spans="1:12">
      <c r="A401">
        <v>400</v>
      </c>
      <c r="B401" t="s">
        <v>131</v>
      </c>
      <c r="C401" t="s">
        <v>247</v>
      </c>
      <c r="D401">
        <v>2</v>
      </c>
      <c r="E401" t="s">
        <v>165</v>
      </c>
      <c r="F401">
        <v>3</v>
      </c>
      <c r="G401" t="s">
        <v>58</v>
      </c>
      <c r="H401" t="s">
        <v>58</v>
      </c>
      <c r="I401" t="s">
        <v>153</v>
      </c>
      <c r="J401" t="s">
        <v>233</v>
      </c>
      <c r="K401">
        <v>0</v>
      </c>
      <c r="L401" t="s">
        <v>77</v>
      </c>
    </row>
    <row r="402" spans="1:12">
      <c r="A402">
        <v>401</v>
      </c>
      <c r="B402" t="s">
        <v>131</v>
      </c>
      <c r="C402" t="s">
        <v>90</v>
      </c>
      <c r="D402">
        <v>2</v>
      </c>
      <c r="E402" t="s">
        <v>165</v>
      </c>
      <c r="F402">
        <v>3</v>
      </c>
      <c r="G402" t="s">
        <v>58</v>
      </c>
      <c r="H402" t="s">
        <v>58</v>
      </c>
      <c r="I402" t="s">
        <v>105</v>
      </c>
      <c r="J402" t="s">
        <v>244</v>
      </c>
      <c r="K402">
        <v>0</v>
      </c>
      <c r="L402" t="s">
        <v>77</v>
      </c>
    </row>
    <row r="403" spans="1:12">
      <c r="A403">
        <v>402</v>
      </c>
      <c r="B403" t="s">
        <v>131</v>
      </c>
      <c r="C403" t="s">
        <v>92</v>
      </c>
      <c r="D403">
        <v>1</v>
      </c>
      <c r="E403" t="s">
        <v>165</v>
      </c>
      <c r="F403">
        <v>3</v>
      </c>
      <c r="G403" t="s">
        <v>162</v>
      </c>
      <c r="H403" t="s">
        <v>167</v>
      </c>
      <c r="I403" t="s">
        <v>58</v>
      </c>
      <c r="J403" t="s">
        <v>58</v>
      </c>
      <c r="K403">
        <v>0</v>
      </c>
      <c r="L403" t="s">
        <v>77</v>
      </c>
    </row>
    <row r="404" spans="1:12">
      <c r="A404">
        <v>403</v>
      </c>
      <c r="B404" t="s">
        <v>131</v>
      </c>
      <c r="C404" t="s">
        <v>95</v>
      </c>
      <c r="D404">
        <v>1</v>
      </c>
      <c r="E404" t="s">
        <v>165</v>
      </c>
      <c r="F404">
        <v>3</v>
      </c>
      <c r="G404" t="s">
        <v>166</v>
      </c>
      <c r="H404" t="s">
        <v>167</v>
      </c>
      <c r="I404" t="s">
        <v>58</v>
      </c>
      <c r="J404" t="s">
        <v>58</v>
      </c>
      <c r="K404">
        <v>0</v>
      </c>
      <c r="L404" t="s">
        <v>77</v>
      </c>
    </row>
    <row r="405" spans="1:12">
      <c r="A405">
        <v>404</v>
      </c>
      <c r="B405" t="s">
        <v>245</v>
      </c>
      <c r="C405" t="s">
        <v>99</v>
      </c>
      <c r="D405">
        <v>3</v>
      </c>
      <c r="E405" t="s">
        <v>165</v>
      </c>
      <c r="F405">
        <v>3</v>
      </c>
      <c r="G405" t="s">
        <v>58</v>
      </c>
      <c r="H405" t="s">
        <v>58</v>
      </c>
      <c r="I405" t="s">
        <v>58</v>
      </c>
      <c r="J405" t="s">
        <v>58</v>
      </c>
      <c r="K405">
        <v>0</v>
      </c>
      <c r="L405" t="s">
        <v>77</v>
      </c>
    </row>
    <row r="406" spans="1:12">
      <c r="A406">
        <v>405</v>
      </c>
      <c r="B406" t="s">
        <v>245</v>
      </c>
      <c r="C406" t="s">
        <v>102</v>
      </c>
      <c r="D406">
        <v>5</v>
      </c>
      <c r="E406" t="s">
        <v>165</v>
      </c>
      <c r="F406">
        <v>3</v>
      </c>
      <c r="G406" t="s">
        <v>58</v>
      </c>
      <c r="H406" t="s">
        <v>58</v>
      </c>
      <c r="I406" t="s">
        <v>58</v>
      </c>
      <c r="J406" t="s">
        <v>58</v>
      </c>
      <c r="K406">
        <v>0</v>
      </c>
      <c r="L406" t="s">
        <v>77</v>
      </c>
    </row>
    <row r="407" spans="1:12">
      <c r="A407">
        <v>406</v>
      </c>
      <c r="B407" t="s">
        <v>245</v>
      </c>
      <c r="C407" t="s">
        <v>247</v>
      </c>
      <c r="D407">
        <v>2</v>
      </c>
      <c r="E407" t="s">
        <v>165</v>
      </c>
      <c r="F407">
        <v>3</v>
      </c>
      <c r="G407" t="s">
        <v>58</v>
      </c>
      <c r="H407" t="s">
        <v>58</v>
      </c>
      <c r="I407" t="s">
        <v>153</v>
      </c>
      <c r="J407" t="s">
        <v>233</v>
      </c>
      <c r="K407">
        <v>0</v>
      </c>
      <c r="L407" t="s">
        <v>77</v>
      </c>
    </row>
    <row r="408" spans="1:12">
      <c r="A408">
        <v>407</v>
      </c>
      <c r="B408" t="s">
        <v>131</v>
      </c>
      <c r="C408" t="s">
        <v>90</v>
      </c>
      <c r="D408">
        <v>2</v>
      </c>
      <c r="E408" t="s">
        <v>165</v>
      </c>
      <c r="F408">
        <v>3</v>
      </c>
      <c r="G408" t="s">
        <v>58</v>
      </c>
      <c r="H408" t="s">
        <v>58</v>
      </c>
      <c r="I408" t="s">
        <v>105</v>
      </c>
      <c r="J408" t="s">
        <v>244</v>
      </c>
      <c r="K408">
        <v>0</v>
      </c>
      <c r="L408" t="s">
        <v>77</v>
      </c>
    </row>
    <row r="409" spans="1:12">
      <c r="A409">
        <v>408</v>
      </c>
      <c r="B409" t="s">
        <v>131</v>
      </c>
      <c r="C409" t="s">
        <v>92</v>
      </c>
      <c r="D409">
        <v>1</v>
      </c>
      <c r="E409" t="s">
        <v>165</v>
      </c>
      <c r="F409">
        <v>3</v>
      </c>
      <c r="G409" t="s">
        <v>162</v>
      </c>
      <c r="H409" t="s">
        <v>167</v>
      </c>
      <c r="I409" t="s">
        <v>58</v>
      </c>
      <c r="J409" t="s">
        <v>58</v>
      </c>
      <c r="K409">
        <v>0</v>
      </c>
      <c r="L409" t="s">
        <v>77</v>
      </c>
    </row>
    <row r="410" spans="1:12">
      <c r="A410">
        <v>409</v>
      </c>
      <c r="B410" t="s">
        <v>131</v>
      </c>
      <c r="C410" t="s">
        <v>95</v>
      </c>
      <c r="D410">
        <v>1</v>
      </c>
      <c r="E410" t="s">
        <v>165</v>
      </c>
      <c r="F410">
        <v>3</v>
      </c>
      <c r="G410" t="s">
        <v>166</v>
      </c>
      <c r="H410" t="s">
        <v>167</v>
      </c>
      <c r="I410" t="s">
        <v>58</v>
      </c>
      <c r="J410" t="s">
        <v>58</v>
      </c>
      <c r="K410">
        <v>0</v>
      </c>
      <c r="L410" t="s">
        <v>77</v>
      </c>
    </row>
    <row r="411" spans="1:12">
      <c r="A411">
        <v>410</v>
      </c>
      <c r="B411" t="s">
        <v>245</v>
      </c>
      <c r="C411" t="s">
        <v>99</v>
      </c>
      <c r="D411">
        <v>3</v>
      </c>
      <c r="E411" t="s">
        <v>165</v>
      </c>
      <c r="F411">
        <v>3</v>
      </c>
      <c r="G411" t="s">
        <v>58</v>
      </c>
      <c r="H411" t="s">
        <v>58</v>
      </c>
      <c r="I411" t="s">
        <v>58</v>
      </c>
      <c r="J411" t="s">
        <v>58</v>
      </c>
      <c r="K411">
        <v>0</v>
      </c>
      <c r="L411" t="s">
        <v>77</v>
      </c>
    </row>
    <row r="412" spans="1:12">
      <c r="A412">
        <v>411</v>
      </c>
      <c r="B412" t="s">
        <v>245</v>
      </c>
      <c r="C412" t="s">
        <v>102</v>
      </c>
      <c r="D412">
        <v>3</v>
      </c>
      <c r="E412" t="s">
        <v>165</v>
      </c>
      <c r="F412">
        <v>3</v>
      </c>
      <c r="G412" t="s">
        <v>58</v>
      </c>
      <c r="H412" t="s">
        <v>58</v>
      </c>
      <c r="I412" t="s">
        <v>58</v>
      </c>
      <c r="J412" t="s">
        <v>58</v>
      </c>
      <c r="K412">
        <v>0</v>
      </c>
      <c r="L412" t="s">
        <v>77</v>
      </c>
    </row>
    <row r="413" spans="1:12">
      <c r="A413">
        <v>412</v>
      </c>
      <c r="B413" t="s">
        <v>131</v>
      </c>
      <c r="C413" t="s">
        <v>247</v>
      </c>
      <c r="D413">
        <v>4</v>
      </c>
      <c r="E413" t="s">
        <v>165</v>
      </c>
      <c r="F413">
        <v>3</v>
      </c>
      <c r="G413" t="s">
        <v>58</v>
      </c>
      <c r="H413" t="s">
        <v>58</v>
      </c>
      <c r="I413" t="s">
        <v>58</v>
      </c>
      <c r="J413" t="s">
        <v>58</v>
      </c>
      <c r="K413">
        <v>5</v>
      </c>
      <c r="L413" t="s">
        <v>77</v>
      </c>
    </row>
    <row r="414" spans="1:12">
      <c r="A414">
        <v>413</v>
      </c>
      <c r="B414" t="s">
        <v>131</v>
      </c>
      <c r="C414" t="s">
        <v>90</v>
      </c>
      <c r="D414">
        <v>4</v>
      </c>
      <c r="E414" t="s">
        <v>165</v>
      </c>
      <c r="F414">
        <v>3</v>
      </c>
      <c r="G414" t="s">
        <v>58</v>
      </c>
      <c r="H414" t="s">
        <v>58</v>
      </c>
      <c r="I414" t="s">
        <v>58</v>
      </c>
      <c r="J414" t="s">
        <v>58</v>
      </c>
      <c r="K414">
        <v>5</v>
      </c>
      <c r="L414" t="s">
        <v>77</v>
      </c>
    </row>
    <row r="415" spans="1:12">
      <c r="A415">
        <v>414</v>
      </c>
      <c r="B415" t="s">
        <v>131</v>
      </c>
      <c r="C415" t="s">
        <v>92</v>
      </c>
      <c r="D415">
        <v>5</v>
      </c>
      <c r="E415" t="s">
        <v>165</v>
      </c>
      <c r="F415">
        <v>3</v>
      </c>
      <c r="G415" t="s">
        <v>58</v>
      </c>
      <c r="H415" t="s">
        <v>58</v>
      </c>
      <c r="I415" t="s">
        <v>58</v>
      </c>
      <c r="J415" t="s">
        <v>58</v>
      </c>
      <c r="K415">
        <v>0</v>
      </c>
      <c r="L415" t="s">
        <v>77</v>
      </c>
    </row>
    <row r="416" spans="1:12">
      <c r="A416">
        <v>415</v>
      </c>
      <c r="B416" t="s">
        <v>131</v>
      </c>
      <c r="C416" t="s">
        <v>95</v>
      </c>
      <c r="D416">
        <v>5</v>
      </c>
      <c r="E416" t="s">
        <v>165</v>
      </c>
      <c r="F416">
        <v>3</v>
      </c>
      <c r="G416" t="s">
        <v>58</v>
      </c>
      <c r="H416" t="s">
        <v>58</v>
      </c>
      <c r="I416" t="s">
        <v>58</v>
      </c>
      <c r="J416" t="s">
        <v>58</v>
      </c>
      <c r="K416">
        <v>0</v>
      </c>
      <c r="L416" t="s">
        <v>77</v>
      </c>
    </row>
    <row r="417" spans="1:12">
      <c r="A417">
        <v>416</v>
      </c>
      <c r="B417" t="s">
        <v>131</v>
      </c>
      <c r="C417" t="s">
        <v>99</v>
      </c>
      <c r="D417">
        <v>2</v>
      </c>
      <c r="E417" t="s">
        <v>165</v>
      </c>
      <c r="F417">
        <v>3</v>
      </c>
      <c r="G417" t="s">
        <v>58</v>
      </c>
      <c r="H417" t="s">
        <v>58</v>
      </c>
      <c r="I417" t="s">
        <v>119</v>
      </c>
      <c r="J417" t="s">
        <v>239</v>
      </c>
      <c r="K417">
        <v>0</v>
      </c>
      <c r="L417" t="s">
        <v>77</v>
      </c>
    </row>
    <row r="418" spans="1:12">
      <c r="A418">
        <v>417</v>
      </c>
      <c r="B418" t="s">
        <v>131</v>
      </c>
      <c r="C418" t="s">
        <v>102</v>
      </c>
      <c r="D418">
        <v>2</v>
      </c>
      <c r="E418" t="s">
        <v>165</v>
      </c>
      <c r="F418">
        <v>3</v>
      </c>
      <c r="G418" t="s">
        <v>58</v>
      </c>
      <c r="H418" t="s">
        <v>58</v>
      </c>
      <c r="I418" t="s">
        <v>141</v>
      </c>
      <c r="J418" t="s">
        <v>240</v>
      </c>
      <c r="K418">
        <v>0</v>
      </c>
      <c r="L418" t="s">
        <v>77</v>
      </c>
    </row>
    <row r="419" spans="1:12">
      <c r="A419">
        <v>418</v>
      </c>
      <c r="B419" t="s">
        <v>245</v>
      </c>
      <c r="C419" t="s">
        <v>247</v>
      </c>
      <c r="D419">
        <v>1</v>
      </c>
      <c r="E419" t="s">
        <v>165</v>
      </c>
      <c r="F419">
        <v>3</v>
      </c>
      <c r="G419" t="s">
        <v>162</v>
      </c>
      <c r="H419" t="s">
        <v>167</v>
      </c>
      <c r="I419" t="s">
        <v>58</v>
      </c>
      <c r="J419" t="s">
        <v>58</v>
      </c>
      <c r="K419">
        <v>0</v>
      </c>
      <c r="L419" t="s">
        <v>77</v>
      </c>
    </row>
    <row r="420" spans="1:12">
      <c r="A420">
        <v>419</v>
      </c>
      <c r="B420" t="s">
        <v>245</v>
      </c>
      <c r="C420" t="s">
        <v>90</v>
      </c>
      <c r="D420">
        <v>1</v>
      </c>
      <c r="E420" t="s">
        <v>165</v>
      </c>
      <c r="F420">
        <v>3</v>
      </c>
      <c r="G420" t="s">
        <v>109</v>
      </c>
      <c r="H420" t="s">
        <v>151</v>
      </c>
      <c r="I420" t="s">
        <v>58</v>
      </c>
      <c r="J420" t="s">
        <v>58</v>
      </c>
      <c r="K420">
        <v>0</v>
      </c>
      <c r="L420" t="s">
        <v>77</v>
      </c>
    </row>
    <row r="421" spans="1:12">
      <c r="A421">
        <v>420</v>
      </c>
      <c r="B421" t="s">
        <v>131</v>
      </c>
      <c r="C421" t="s">
        <v>92</v>
      </c>
      <c r="D421">
        <v>3</v>
      </c>
      <c r="E421" t="s">
        <v>165</v>
      </c>
      <c r="F421">
        <v>3</v>
      </c>
      <c r="G421" t="s">
        <v>58</v>
      </c>
      <c r="H421" t="s">
        <v>58</v>
      </c>
      <c r="I421" t="s">
        <v>58</v>
      </c>
      <c r="J421" t="s">
        <v>58</v>
      </c>
      <c r="K421">
        <v>0</v>
      </c>
      <c r="L421" t="s">
        <v>77</v>
      </c>
    </row>
    <row r="422" spans="1:12">
      <c r="A422">
        <v>421</v>
      </c>
      <c r="B422" t="s">
        <v>131</v>
      </c>
      <c r="C422" t="s">
        <v>95</v>
      </c>
      <c r="D422">
        <v>3</v>
      </c>
      <c r="E422" t="s">
        <v>165</v>
      </c>
      <c r="F422">
        <v>3</v>
      </c>
      <c r="G422" t="s">
        <v>58</v>
      </c>
      <c r="H422" t="s">
        <v>58</v>
      </c>
      <c r="I422" t="s">
        <v>58</v>
      </c>
      <c r="J422" t="s">
        <v>58</v>
      </c>
      <c r="K422">
        <v>0</v>
      </c>
      <c r="L422" t="s">
        <v>77</v>
      </c>
    </row>
    <row r="423" spans="1:12">
      <c r="A423">
        <v>422</v>
      </c>
      <c r="B423" t="s">
        <v>131</v>
      </c>
      <c r="C423" t="s">
        <v>99</v>
      </c>
      <c r="D423">
        <v>4</v>
      </c>
      <c r="E423" t="s">
        <v>165</v>
      </c>
      <c r="F423">
        <v>3</v>
      </c>
      <c r="G423" t="s">
        <v>58</v>
      </c>
      <c r="H423" t="s">
        <v>58</v>
      </c>
      <c r="I423" t="s">
        <v>58</v>
      </c>
      <c r="J423" t="s">
        <v>58</v>
      </c>
      <c r="K423">
        <v>5</v>
      </c>
      <c r="L423" t="s">
        <v>77</v>
      </c>
    </row>
    <row r="424" spans="1:12">
      <c r="A424">
        <v>423</v>
      </c>
      <c r="B424" t="s">
        <v>131</v>
      </c>
      <c r="C424" t="s">
        <v>102</v>
      </c>
      <c r="D424">
        <v>4</v>
      </c>
      <c r="E424" t="s">
        <v>165</v>
      </c>
      <c r="F424">
        <v>3</v>
      </c>
      <c r="G424" t="s">
        <v>58</v>
      </c>
      <c r="H424" t="s">
        <v>58</v>
      </c>
      <c r="I424" t="s">
        <v>58</v>
      </c>
      <c r="J424" t="s">
        <v>58</v>
      </c>
      <c r="K424">
        <v>5</v>
      </c>
      <c r="L424" t="s">
        <v>77</v>
      </c>
    </row>
    <row r="425" spans="1:12">
      <c r="A425">
        <v>424</v>
      </c>
      <c r="B425" t="s">
        <v>180</v>
      </c>
      <c r="C425" t="s">
        <v>247</v>
      </c>
      <c r="D425">
        <v>0</v>
      </c>
      <c r="E425" t="s">
        <v>165</v>
      </c>
      <c r="F425">
        <v>3</v>
      </c>
      <c r="G425" t="s">
        <v>58</v>
      </c>
      <c r="H425" t="s">
        <v>58</v>
      </c>
      <c r="I425" t="s">
        <v>58</v>
      </c>
      <c r="J425" t="s">
        <v>58</v>
      </c>
      <c r="K425">
        <v>0</v>
      </c>
      <c r="L425" t="s">
        <v>77</v>
      </c>
    </row>
    <row r="426" spans="1:12">
      <c r="A426">
        <v>425</v>
      </c>
      <c r="B426" t="s">
        <v>131</v>
      </c>
      <c r="C426" t="s">
        <v>102</v>
      </c>
      <c r="D426">
        <v>5</v>
      </c>
      <c r="E426" t="s">
        <v>165</v>
      </c>
      <c r="F426">
        <v>3</v>
      </c>
      <c r="G426" t="s">
        <v>58</v>
      </c>
      <c r="H426" t="s">
        <v>58</v>
      </c>
      <c r="I426" t="s">
        <v>58</v>
      </c>
      <c r="J426" t="s">
        <v>58</v>
      </c>
      <c r="K426">
        <v>0</v>
      </c>
      <c r="L426" t="s">
        <v>77</v>
      </c>
    </row>
    <row r="427" spans="1:12">
      <c r="A427">
        <v>426</v>
      </c>
      <c r="B427" t="s">
        <v>131</v>
      </c>
      <c r="C427" t="s">
        <v>247</v>
      </c>
      <c r="D427">
        <v>2</v>
      </c>
      <c r="E427" t="s">
        <v>165</v>
      </c>
      <c r="F427">
        <v>3</v>
      </c>
      <c r="G427" t="s">
        <v>58</v>
      </c>
      <c r="H427" t="s">
        <v>58</v>
      </c>
      <c r="I427" t="s">
        <v>153</v>
      </c>
      <c r="J427" t="s">
        <v>233</v>
      </c>
      <c r="K427">
        <v>0</v>
      </c>
      <c r="L427" t="s">
        <v>77</v>
      </c>
    </row>
    <row r="428" spans="1:12">
      <c r="A428">
        <v>427</v>
      </c>
      <c r="B428" t="s">
        <v>131</v>
      </c>
      <c r="C428" t="s">
        <v>90</v>
      </c>
      <c r="D428">
        <v>2</v>
      </c>
      <c r="E428" t="s">
        <v>165</v>
      </c>
      <c r="F428">
        <v>3</v>
      </c>
      <c r="G428" t="s">
        <v>58</v>
      </c>
      <c r="H428" t="s">
        <v>58</v>
      </c>
      <c r="I428" t="s">
        <v>105</v>
      </c>
      <c r="J428" t="s">
        <v>244</v>
      </c>
      <c r="K428">
        <v>0</v>
      </c>
      <c r="L428" t="s">
        <v>77</v>
      </c>
    </row>
    <row r="429" spans="1:12">
      <c r="A429">
        <v>428</v>
      </c>
      <c r="B429" t="s">
        <v>131</v>
      </c>
      <c r="C429" t="s">
        <v>92</v>
      </c>
      <c r="D429">
        <v>1</v>
      </c>
      <c r="E429" t="s">
        <v>165</v>
      </c>
      <c r="F429">
        <v>3</v>
      </c>
      <c r="G429" t="s">
        <v>162</v>
      </c>
      <c r="H429" t="s">
        <v>167</v>
      </c>
      <c r="I429" t="s">
        <v>58</v>
      </c>
      <c r="J429" t="s">
        <v>58</v>
      </c>
      <c r="K429">
        <v>0</v>
      </c>
      <c r="L429" t="s">
        <v>77</v>
      </c>
    </row>
    <row r="430" spans="1:12">
      <c r="A430">
        <v>429</v>
      </c>
      <c r="B430" t="s">
        <v>131</v>
      </c>
      <c r="C430" t="s">
        <v>95</v>
      </c>
      <c r="D430">
        <v>1</v>
      </c>
      <c r="E430" t="s">
        <v>165</v>
      </c>
      <c r="F430">
        <v>3</v>
      </c>
      <c r="G430" t="s">
        <v>166</v>
      </c>
      <c r="H430" t="s">
        <v>167</v>
      </c>
      <c r="I430" t="s">
        <v>58</v>
      </c>
      <c r="J430" t="s">
        <v>58</v>
      </c>
      <c r="K430">
        <v>0</v>
      </c>
      <c r="L430" t="s">
        <v>77</v>
      </c>
    </row>
    <row r="431" spans="1:12">
      <c r="A431">
        <v>430</v>
      </c>
      <c r="B431" t="s">
        <v>245</v>
      </c>
      <c r="C431" t="s">
        <v>99</v>
      </c>
      <c r="D431">
        <v>3</v>
      </c>
      <c r="E431" t="s">
        <v>165</v>
      </c>
      <c r="F431">
        <v>3</v>
      </c>
      <c r="G431" t="s">
        <v>58</v>
      </c>
      <c r="H431" t="s">
        <v>58</v>
      </c>
      <c r="I431" t="s">
        <v>58</v>
      </c>
      <c r="J431" t="s">
        <v>58</v>
      </c>
      <c r="K431">
        <v>0</v>
      </c>
      <c r="L431" t="s">
        <v>77</v>
      </c>
    </row>
    <row r="432" spans="1:12">
      <c r="A432">
        <v>431</v>
      </c>
      <c r="B432" t="s">
        <v>245</v>
      </c>
      <c r="C432" t="s">
        <v>102</v>
      </c>
      <c r="D432">
        <v>3</v>
      </c>
      <c r="E432" t="s">
        <v>165</v>
      </c>
      <c r="F432">
        <v>3</v>
      </c>
      <c r="G432" t="s">
        <v>58</v>
      </c>
      <c r="H432" t="s">
        <v>58</v>
      </c>
      <c r="I432" t="s">
        <v>58</v>
      </c>
      <c r="J432" t="s">
        <v>58</v>
      </c>
      <c r="K432">
        <v>0</v>
      </c>
      <c r="L432" t="s">
        <v>77</v>
      </c>
    </row>
    <row r="433" spans="1:12">
      <c r="A433">
        <v>432</v>
      </c>
      <c r="B433" t="s">
        <v>131</v>
      </c>
      <c r="C433" t="s">
        <v>247</v>
      </c>
      <c r="D433">
        <v>4</v>
      </c>
      <c r="E433" t="s">
        <v>165</v>
      </c>
      <c r="F433">
        <v>3</v>
      </c>
      <c r="G433" t="s">
        <v>58</v>
      </c>
      <c r="H433" t="s">
        <v>58</v>
      </c>
      <c r="I433" t="s">
        <v>58</v>
      </c>
      <c r="J433" t="s">
        <v>58</v>
      </c>
      <c r="K433">
        <v>5</v>
      </c>
      <c r="L433" t="s">
        <v>77</v>
      </c>
    </row>
    <row r="434" spans="1:12">
      <c r="A434">
        <v>433</v>
      </c>
      <c r="B434" t="s">
        <v>131</v>
      </c>
      <c r="C434" t="s">
        <v>90</v>
      </c>
      <c r="D434">
        <v>4</v>
      </c>
      <c r="E434" t="s">
        <v>165</v>
      </c>
      <c r="F434">
        <v>3</v>
      </c>
      <c r="G434" t="s">
        <v>58</v>
      </c>
      <c r="H434" t="s">
        <v>58</v>
      </c>
      <c r="I434" t="s">
        <v>58</v>
      </c>
      <c r="J434" t="s">
        <v>58</v>
      </c>
      <c r="K434">
        <v>5</v>
      </c>
      <c r="L434" t="s">
        <v>77</v>
      </c>
    </row>
    <row r="435" spans="1:12">
      <c r="A435">
        <v>434</v>
      </c>
      <c r="B435" t="s">
        <v>131</v>
      </c>
      <c r="C435" t="s">
        <v>92</v>
      </c>
      <c r="D435">
        <v>5</v>
      </c>
      <c r="E435" t="s">
        <v>165</v>
      </c>
      <c r="F435">
        <v>3</v>
      </c>
      <c r="G435" t="s">
        <v>58</v>
      </c>
      <c r="H435" t="s">
        <v>58</v>
      </c>
      <c r="I435" t="s">
        <v>58</v>
      </c>
      <c r="J435" t="s">
        <v>58</v>
      </c>
      <c r="K435">
        <v>0</v>
      </c>
      <c r="L435" t="s">
        <v>77</v>
      </c>
    </row>
    <row r="436" spans="1:12">
      <c r="A436">
        <v>435</v>
      </c>
      <c r="B436" t="s">
        <v>245</v>
      </c>
      <c r="C436" t="s">
        <v>95</v>
      </c>
      <c r="D436">
        <v>5</v>
      </c>
      <c r="E436" t="s">
        <v>165</v>
      </c>
      <c r="F436">
        <v>3</v>
      </c>
      <c r="G436" t="s">
        <v>58</v>
      </c>
      <c r="H436" t="s">
        <v>58</v>
      </c>
      <c r="I436" t="s">
        <v>58</v>
      </c>
      <c r="J436" t="s">
        <v>58</v>
      </c>
      <c r="K436">
        <v>0</v>
      </c>
      <c r="L436" t="s">
        <v>77</v>
      </c>
    </row>
    <row r="437" spans="1:12">
      <c r="A437">
        <v>436</v>
      </c>
      <c r="B437" t="s">
        <v>131</v>
      </c>
      <c r="C437" t="s">
        <v>99</v>
      </c>
      <c r="D437">
        <v>2</v>
      </c>
      <c r="E437" t="s">
        <v>165</v>
      </c>
      <c r="F437">
        <v>3</v>
      </c>
      <c r="G437" t="s">
        <v>58</v>
      </c>
      <c r="H437" t="s">
        <v>58</v>
      </c>
      <c r="I437" t="s">
        <v>119</v>
      </c>
      <c r="J437" t="s">
        <v>239</v>
      </c>
      <c r="K437">
        <v>0</v>
      </c>
      <c r="L437" t="s">
        <v>77</v>
      </c>
    </row>
    <row r="438" spans="1:12">
      <c r="A438">
        <v>437</v>
      </c>
      <c r="B438" t="s">
        <v>131</v>
      </c>
      <c r="C438" t="s">
        <v>102</v>
      </c>
      <c r="D438">
        <v>2</v>
      </c>
      <c r="E438" t="s">
        <v>165</v>
      </c>
      <c r="F438">
        <v>3</v>
      </c>
      <c r="G438" t="s">
        <v>58</v>
      </c>
      <c r="H438" t="s">
        <v>58</v>
      </c>
      <c r="I438" t="s">
        <v>141</v>
      </c>
      <c r="J438" t="s">
        <v>240</v>
      </c>
      <c r="K438">
        <v>0</v>
      </c>
      <c r="L438" t="s">
        <v>77</v>
      </c>
    </row>
    <row r="439" spans="1:12">
      <c r="A439">
        <v>438</v>
      </c>
      <c r="B439" t="s">
        <v>131</v>
      </c>
      <c r="C439" t="s">
        <v>247</v>
      </c>
      <c r="D439">
        <v>1</v>
      </c>
      <c r="E439" t="s">
        <v>165</v>
      </c>
      <c r="F439">
        <v>3</v>
      </c>
      <c r="G439" t="s">
        <v>162</v>
      </c>
      <c r="H439" t="s">
        <v>167</v>
      </c>
      <c r="I439" t="s">
        <v>58</v>
      </c>
      <c r="J439" t="s">
        <v>58</v>
      </c>
      <c r="K439">
        <v>0</v>
      </c>
      <c r="L439" t="s">
        <v>77</v>
      </c>
    </row>
    <row r="440" spans="1:12">
      <c r="A440">
        <v>439</v>
      </c>
      <c r="B440" t="s">
        <v>131</v>
      </c>
      <c r="C440" t="s">
        <v>90</v>
      </c>
      <c r="D440">
        <v>1</v>
      </c>
      <c r="E440" t="s">
        <v>165</v>
      </c>
      <c r="F440">
        <v>3</v>
      </c>
      <c r="G440" t="s">
        <v>109</v>
      </c>
      <c r="H440" t="s">
        <v>151</v>
      </c>
      <c r="I440" t="s">
        <v>58</v>
      </c>
      <c r="J440" t="s">
        <v>58</v>
      </c>
      <c r="K440">
        <v>0</v>
      </c>
      <c r="L440" t="s">
        <v>77</v>
      </c>
    </row>
    <row r="441" spans="1:12">
      <c r="A441">
        <v>440</v>
      </c>
      <c r="B441" t="s">
        <v>245</v>
      </c>
      <c r="C441" t="s">
        <v>92</v>
      </c>
      <c r="D441">
        <v>3</v>
      </c>
      <c r="E441" t="s">
        <v>165</v>
      </c>
      <c r="F441">
        <v>3</v>
      </c>
      <c r="G441" t="s">
        <v>58</v>
      </c>
      <c r="H441" t="s">
        <v>58</v>
      </c>
      <c r="I441" t="s">
        <v>58</v>
      </c>
      <c r="J441" t="s">
        <v>58</v>
      </c>
      <c r="K441">
        <v>0</v>
      </c>
      <c r="L441" t="s">
        <v>77</v>
      </c>
    </row>
    <row r="442" spans="1:12">
      <c r="A442">
        <v>441</v>
      </c>
      <c r="B442" t="s">
        <v>245</v>
      </c>
      <c r="C442" t="s">
        <v>95</v>
      </c>
      <c r="D442">
        <v>3</v>
      </c>
      <c r="E442" t="s">
        <v>165</v>
      </c>
      <c r="F442">
        <v>3</v>
      </c>
      <c r="G442" t="s">
        <v>58</v>
      </c>
      <c r="H442" t="s">
        <v>58</v>
      </c>
      <c r="I442" t="s">
        <v>58</v>
      </c>
      <c r="J442" t="s">
        <v>58</v>
      </c>
      <c r="K442">
        <v>0</v>
      </c>
      <c r="L442" t="s">
        <v>77</v>
      </c>
    </row>
    <row r="443" spans="1:12">
      <c r="A443">
        <v>442</v>
      </c>
      <c r="B443" t="s">
        <v>131</v>
      </c>
      <c r="C443" t="s">
        <v>99</v>
      </c>
      <c r="D443">
        <v>4</v>
      </c>
      <c r="E443" t="s">
        <v>165</v>
      </c>
      <c r="F443">
        <v>3</v>
      </c>
      <c r="G443" t="s">
        <v>58</v>
      </c>
      <c r="H443" t="s">
        <v>58</v>
      </c>
      <c r="I443" t="s">
        <v>58</v>
      </c>
      <c r="J443" t="s">
        <v>58</v>
      </c>
      <c r="K443">
        <v>5</v>
      </c>
      <c r="L443" t="s">
        <v>77</v>
      </c>
    </row>
    <row r="444" spans="1:12">
      <c r="A444">
        <v>443</v>
      </c>
      <c r="B444" t="s">
        <v>131</v>
      </c>
      <c r="C444" t="s">
        <v>102</v>
      </c>
      <c r="D444">
        <v>4</v>
      </c>
      <c r="E444" t="s">
        <v>165</v>
      </c>
      <c r="F444">
        <v>3</v>
      </c>
      <c r="G444" t="s">
        <v>58</v>
      </c>
      <c r="H444" t="s">
        <v>58</v>
      </c>
      <c r="I444" t="s">
        <v>58</v>
      </c>
      <c r="J444" t="s">
        <v>58</v>
      </c>
      <c r="K444">
        <v>5</v>
      </c>
      <c r="L444" t="s">
        <v>77</v>
      </c>
    </row>
    <row r="445" spans="1:12">
      <c r="A445">
        <v>444</v>
      </c>
      <c r="B445" t="s">
        <v>180</v>
      </c>
      <c r="C445" t="s">
        <v>247</v>
      </c>
      <c r="D445">
        <v>0</v>
      </c>
      <c r="E445" t="s">
        <v>165</v>
      </c>
      <c r="F445">
        <v>3</v>
      </c>
      <c r="G445" t="s">
        <v>58</v>
      </c>
      <c r="H445" t="s">
        <v>58</v>
      </c>
      <c r="I445" t="s">
        <v>58</v>
      </c>
      <c r="J445" t="s">
        <v>58</v>
      </c>
      <c r="K445">
        <v>0</v>
      </c>
      <c r="L445" t="s">
        <v>77</v>
      </c>
    </row>
    <row r="446" spans="1:12">
      <c r="A446">
        <v>445</v>
      </c>
      <c r="B446" t="s">
        <v>131</v>
      </c>
      <c r="C446" t="s">
        <v>90</v>
      </c>
      <c r="D446">
        <v>2</v>
      </c>
      <c r="E446" t="s">
        <v>165</v>
      </c>
      <c r="F446">
        <v>3</v>
      </c>
      <c r="G446" t="s">
        <v>58</v>
      </c>
      <c r="H446" t="s">
        <v>58</v>
      </c>
      <c r="I446" t="s">
        <v>105</v>
      </c>
      <c r="J446" t="s">
        <v>244</v>
      </c>
      <c r="K446">
        <v>0</v>
      </c>
      <c r="L446" t="s">
        <v>77</v>
      </c>
    </row>
    <row r="447" spans="1:12">
      <c r="A447">
        <v>446</v>
      </c>
      <c r="B447" t="s">
        <v>131</v>
      </c>
      <c r="C447" t="s">
        <v>92</v>
      </c>
      <c r="D447">
        <v>1</v>
      </c>
      <c r="E447" t="s">
        <v>165</v>
      </c>
      <c r="F447">
        <v>3</v>
      </c>
      <c r="G447" t="s">
        <v>162</v>
      </c>
      <c r="H447" t="s">
        <v>167</v>
      </c>
      <c r="I447" t="s">
        <v>58</v>
      </c>
      <c r="J447" t="s">
        <v>58</v>
      </c>
      <c r="K447">
        <v>0</v>
      </c>
      <c r="L447" t="s">
        <v>77</v>
      </c>
    </row>
    <row r="448" spans="1:12">
      <c r="A448">
        <v>447</v>
      </c>
      <c r="B448" t="s">
        <v>131</v>
      </c>
      <c r="C448" t="s">
        <v>95</v>
      </c>
      <c r="D448">
        <v>1</v>
      </c>
      <c r="E448" t="s">
        <v>165</v>
      </c>
      <c r="F448">
        <v>3</v>
      </c>
      <c r="G448" t="s">
        <v>166</v>
      </c>
      <c r="H448" t="s">
        <v>167</v>
      </c>
      <c r="I448" t="s">
        <v>58</v>
      </c>
      <c r="J448" t="s">
        <v>58</v>
      </c>
      <c r="K448">
        <v>0</v>
      </c>
      <c r="L448" t="s">
        <v>77</v>
      </c>
    </row>
    <row r="449" spans="1:12">
      <c r="A449">
        <v>448</v>
      </c>
      <c r="B449" t="s">
        <v>245</v>
      </c>
      <c r="C449" t="s">
        <v>99</v>
      </c>
      <c r="D449">
        <v>3</v>
      </c>
      <c r="E449" t="s">
        <v>165</v>
      </c>
      <c r="F449">
        <v>3</v>
      </c>
      <c r="G449" t="s">
        <v>58</v>
      </c>
      <c r="H449" t="s">
        <v>58</v>
      </c>
      <c r="I449" t="s">
        <v>58</v>
      </c>
      <c r="J449" t="s">
        <v>58</v>
      </c>
      <c r="K449">
        <v>0</v>
      </c>
      <c r="L449" t="s">
        <v>77</v>
      </c>
    </row>
    <row r="450" spans="1:12">
      <c r="A450">
        <v>449</v>
      </c>
      <c r="B450" t="s">
        <v>245</v>
      </c>
      <c r="C450" t="s">
        <v>102</v>
      </c>
      <c r="D450">
        <v>3</v>
      </c>
      <c r="E450" t="s">
        <v>165</v>
      </c>
      <c r="F450">
        <v>3</v>
      </c>
      <c r="G450" t="s">
        <v>58</v>
      </c>
      <c r="H450" t="s">
        <v>58</v>
      </c>
      <c r="I450" t="s">
        <v>58</v>
      </c>
      <c r="J450" t="s">
        <v>58</v>
      </c>
      <c r="K450">
        <v>0</v>
      </c>
      <c r="L450" t="s">
        <v>77</v>
      </c>
    </row>
    <row r="451" spans="1:12">
      <c r="A451">
        <v>450</v>
      </c>
      <c r="B451" t="s">
        <v>131</v>
      </c>
      <c r="C451" t="s">
        <v>247</v>
      </c>
      <c r="D451">
        <v>4</v>
      </c>
      <c r="E451" t="s">
        <v>165</v>
      </c>
      <c r="F451">
        <v>3</v>
      </c>
      <c r="G451" t="s">
        <v>58</v>
      </c>
      <c r="H451" t="s">
        <v>58</v>
      </c>
      <c r="I451" t="s">
        <v>58</v>
      </c>
      <c r="J451" t="s">
        <v>58</v>
      </c>
      <c r="K451">
        <v>5</v>
      </c>
      <c r="L451" t="s">
        <v>77</v>
      </c>
    </row>
    <row r="452" spans="1:12">
      <c r="A452">
        <v>451</v>
      </c>
      <c r="B452" t="s">
        <v>131</v>
      </c>
      <c r="C452" t="s">
        <v>90</v>
      </c>
      <c r="D452">
        <v>4</v>
      </c>
      <c r="E452" t="s">
        <v>165</v>
      </c>
      <c r="F452">
        <v>3</v>
      </c>
      <c r="G452" t="s">
        <v>58</v>
      </c>
      <c r="H452" t="s">
        <v>58</v>
      </c>
      <c r="I452" t="s">
        <v>58</v>
      </c>
      <c r="J452" t="s">
        <v>58</v>
      </c>
      <c r="K452">
        <v>5</v>
      </c>
      <c r="L452" t="s">
        <v>77</v>
      </c>
    </row>
    <row r="453" spans="1:12">
      <c r="A453">
        <v>452</v>
      </c>
      <c r="B453" t="s">
        <v>131</v>
      </c>
      <c r="C453" t="s">
        <v>92</v>
      </c>
      <c r="D453">
        <v>5</v>
      </c>
      <c r="E453" t="s">
        <v>165</v>
      </c>
      <c r="F453">
        <v>3</v>
      </c>
      <c r="G453" t="s">
        <v>58</v>
      </c>
      <c r="H453" t="s">
        <v>58</v>
      </c>
      <c r="I453" t="s">
        <v>58</v>
      </c>
      <c r="J453" t="s">
        <v>58</v>
      </c>
      <c r="K453">
        <v>0</v>
      </c>
      <c r="L453" t="s">
        <v>77</v>
      </c>
    </row>
    <row r="454" spans="1:12">
      <c r="A454">
        <v>453</v>
      </c>
      <c r="B454" t="s">
        <v>245</v>
      </c>
      <c r="C454" t="s">
        <v>95</v>
      </c>
      <c r="D454">
        <v>5</v>
      </c>
      <c r="E454" t="s">
        <v>165</v>
      </c>
      <c r="F454">
        <v>3</v>
      </c>
      <c r="G454" t="s">
        <v>58</v>
      </c>
      <c r="H454" t="s">
        <v>58</v>
      </c>
      <c r="I454" t="s">
        <v>58</v>
      </c>
      <c r="J454" t="s">
        <v>58</v>
      </c>
      <c r="K454">
        <v>0</v>
      </c>
      <c r="L454" t="s">
        <v>77</v>
      </c>
    </row>
    <row r="455" spans="1:12">
      <c r="A455">
        <v>454</v>
      </c>
      <c r="B455" t="s">
        <v>245</v>
      </c>
      <c r="C455" t="s">
        <v>95</v>
      </c>
      <c r="D455">
        <v>5</v>
      </c>
      <c r="E455" t="s">
        <v>165</v>
      </c>
      <c r="F455">
        <v>3</v>
      </c>
      <c r="G455" t="s">
        <v>58</v>
      </c>
      <c r="H455" t="s">
        <v>58</v>
      </c>
      <c r="I455" t="s">
        <v>58</v>
      </c>
      <c r="J455" t="s">
        <v>58</v>
      </c>
      <c r="K455">
        <v>0</v>
      </c>
      <c r="L455" t="s">
        <v>77</v>
      </c>
    </row>
    <row r="456" spans="1:12">
      <c r="A456">
        <v>455</v>
      </c>
      <c r="B456" t="s">
        <v>131</v>
      </c>
      <c r="C456" t="s">
        <v>99</v>
      </c>
      <c r="D456">
        <v>2</v>
      </c>
      <c r="E456" t="s">
        <v>165</v>
      </c>
      <c r="F456">
        <v>3</v>
      </c>
      <c r="G456" t="s">
        <v>58</v>
      </c>
      <c r="H456" t="s">
        <v>58</v>
      </c>
      <c r="I456" t="s">
        <v>119</v>
      </c>
      <c r="J456" t="s">
        <v>239</v>
      </c>
      <c r="K456">
        <v>0</v>
      </c>
      <c r="L456" t="s">
        <v>77</v>
      </c>
    </row>
    <row r="457" spans="1:12">
      <c r="A457">
        <v>456</v>
      </c>
      <c r="B457" t="s">
        <v>131</v>
      </c>
      <c r="C457" t="s">
        <v>102</v>
      </c>
      <c r="D457">
        <v>2</v>
      </c>
      <c r="E457" t="s">
        <v>165</v>
      </c>
      <c r="F457">
        <v>3</v>
      </c>
      <c r="G457" t="s">
        <v>58</v>
      </c>
      <c r="H457" t="s">
        <v>58</v>
      </c>
      <c r="I457" t="s">
        <v>141</v>
      </c>
      <c r="J457" t="s">
        <v>240</v>
      </c>
      <c r="K457">
        <v>0</v>
      </c>
      <c r="L457" t="s">
        <v>77</v>
      </c>
    </row>
    <row r="458" spans="1:12">
      <c r="A458">
        <v>457</v>
      </c>
      <c r="B458" t="s">
        <v>131</v>
      </c>
      <c r="C458" t="s">
        <v>247</v>
      </c>
      <c r="D458">
        <v>1</v>
      </c>
      <c r="E458" t="s">
        <v>165</v>
      </c>
      <c r="F458">
        <v>3</v>
      </c>
      <c r="G458" t="s">
        <v>162</v>
      </c>
      <c r="H458" t="s">
        <v>167</v>
      </c>
      <c r="I458" t="s">
        <v>58</v>
      </c>
      <c r="J458" t="s">
        <v>58</v>
      </c>
      <c r="K458">
        <v>0</v>
      </c>
      <c r="L458" t="s">
        <v>77</v>
      </c>
    </row>
    <row r="459" spans="1:12">
      <c r="A459">
        <v>458</v>
      </c>
      <c r="B459" t="s">
        <v>131</v>
      </c>
      <c r="C459" t="s">
        <v>90</v>
      </c>
      <c r="D459">
        <v>1</v>
      </c>
      <c r="E459" t="s">
        <v>165</v>
      </c>
      <c r="F459">
        <v>3</v>
      </c>
      <c r="G459" t="s">
        <v>109</v>
      </c>
      <c r="H459" t="s">
        <v>151</v>
      </c>
      <c r="I459" t="s">
        <v>58</v>
      </c>
      <c r="J459" t="s">
        <v>58</v>
      </c>
      <c r="K459">
        <v>0</v>
      </c>
      <c r="L459" t="s">
        <v>77</v>
      </c>
    </row>
    <row r="460" spans="1:12">
      <c r="A460">
        <v>459</v>
      </c>
      <c r="B460" t="s">
        <v>245</v>
      </c>
      <c r="C460" t="s">
        <v>92</v>
      </c>
      <c r="D460">
        <v>3</v>
      </c>
      <c r="E460" t="s">
        <v>165</v>
      </c>
      <c r="F460">
        <v>3</v>
      </c>
      <c r="G460" t="s">
        <v>58</v>
      </c>
      <c r="H460" t="s">
        <v>58</v>
      </c>
      <c r="I460" t="s">
        <v>58</v>
      </c>
      <c r="J460" t="s">
        <v>58</v>
      </c>
      <c r="K460">
        <v>0</v>
      </c>
      <c r="L460" t="s">
        <v>77</v>
      </c>
    </row>
    <row r="461" spans="1:12">
      <c r="A461">
        <v>460</v>
      </c>
      <c r="B461" t="s">
        <v>245</v>
      </c>
      <c r="C461" t="s">
        <v>95</v>
      </c>
      <c r="D461">
        <v>3</v>
      </c>
      <c r="E461" t="s">
        <v>165</v>
      </c>
      <c r="F461">
        <v>3</v>
      </c>
      <c r="G461" t="s">
        <v>58</v>
      </c>
      <c r="H461" t="s">
        <v>58</v>
      </c>
      <c r="I461" t="s">
        <v>58</v>
      </c>
      <c r="J461" t="s">
        <v>58</v>
      </c>
      <c r="K461">
        <v>0</v>
      </c>
      <c r="L461" t="s">
        <v>77</v>
      </c>
    </row>
    <row r="462" spans="1:12">
      <c r="A462">
        <v>461</v>
      </c>
      <c r="B462" t="s">
        <v>131</v>
      </c>
      <c r="C462" t="s">
        <v>99</v>
      </c>
      <c r="D462">
        <v>4</v>
      </c>
      <c r="E462" t="s">
        <v>165</v>
      </c>
      <c r="F462">
        <v>3</v>
      </c>
      <c r="G462" t="s">
        <v>58</v>
      </c>
      <c r="H462" t="s">
        <v>58</v>
      </c>
      <c r="I462" t="s">
        <v>58</v>
      </c>
      <c r="J462" t="s">
        <v>58</v>
      </c>
      <c r="K462">
        <v>5</v>
      </c>
      <c r="L462" t="s">
        <v>77</v>
      </c>
    </row>
    <row r="463" spans="1:12">
      <c r="A463">
        <v>462</v>
      </c>
      <c r="B463" t="s">
        <v>131</v>
      </c>
      <c r="C463" t="s">
        <v>102</v>
      </c>
      <c r="D463">
        <v>4</v>
      </c>
      <c r="E463" t="s">
        <v>165</v>
      </c>
      <c r="F463">
        <v>3</v>
      </c>
      <c r="G463" t="s">
        <v>58</v>
      </c>
      <c r="H463" t="s">
        <v>58</v>
      </c>
      <c r="I463" t="s">
        <v>58</v>
      </c>
      <c r="J463" t="s">
        <v>58</v>
      </c>
      <c r="K463">
        <v>5</v>
      </c>
      <c r="L463" t="s">
        <v>77</v>
      </c>
    </row>
    <row r="464" spans="1:12">
      <c r="A464">
        <v>463</v>
      </c>
      <c r="B464" t="s">
        <v>180</v>
      </c>
      <c r="C464" t="s">
        <v>247</v>
      </c>
      <c r="D464">
        <v>0</v>
      </c>
      <c r="E464" t="s">
        <v>165</v>
      </c>
      <c r="F464">
        <v>3</v>
      </c>
      <c r="G464" t="s">
        <v>58</v>
      </c>
      <c r="H464" t="s">
        <v>58</v>
      </c>
      <c r="I464" t="s">
        <v>58</v>
      </c>
      <c r="J464" t="s">
        <v>58</v>
      </c>
      <c r="K464">
        <v>0</v>
      </c>
      <c r="L464" t="s">
        <v>77</v>
      </c>
    </row>
    <row r="465" spans="1:12">
      <c r="A465">
        <v>464</v>
      </c>
      <c r="B465" t="s">
        <v>131</v>
      </c>
      <c r="C465" t="s">
        <v>90</v>
      </c>
      <c r="D465">
        <v>2</v>
      </c>
      <c r="E465" t="s">
        <v>165</v>
      </c>
      <c r="F465">
        <v>3</v>
      </c>
      <c r="G465" t="s">
        <v>58</v>
      </c>
      <c r="H465" t="s">
        <v>58</v>
      </c>
      <c r="I465" t="s">
        <v>105</v>
      </c>
      <c r="J465" t="s">
        <v>244</v>
      </c>
      <c r="K465">
        <v>0</v>
      </c>
      <c r="L465" t="s">
        <v>77</v>
      </c>
    </row>
    <row r="466" spans="1:12">
      <c r="A466">
        <v>465</v>
      </c>
      <c r="B466" t="s">
        <v>131</v>
      </c>
      <c r="C466" t="s">
        <v>92</v>
      </c>
      <c r="D466">
        <v>1</v>
      </c>
      <c r="E466" t="s">
        <v>165</v>
      </c>
      <c r="F466">
        <v>3</v>
      </c>
      <c r="G466" t="s">
        <v>162</v>
      </c>
      <c r="H466" t="s">
        <v>167</v>
      </c>
      <c r="I466" t="s">
        <v>58</v>
      </c>
      <c r="J466" t="s">
        <v>58</v>
      </c>
      <c r="K466">
        <v>0</v>
      </c>
      <c r="L466" t="s">
        <v>77</v>
      </c>
    </row>
    <row r="467" spans="1:12">
      <c r="A467">
        <v>466</v>
      </c>
      <c r="B467" t="s">
        <v>131</v>
      </c>
      <c r="C467" t="s">
        <v>95</v>
      </c>
      <c r="D467">
        <v>1</v>
      </c>
      <c r="E467" t="s">
        <v>165</v>
      </c>
      <c r="F467">
        <v>3</v>
      </c>
      <c r="G467" t="s">
        <v>166</v>
      </c>
      <c r="H467" t="s">
        <v>167</v>
      </c>
      <c r="I467" t="s">
        <v>58</v>
      </c>
      <c r="J467" t="s">
        <v>58</v>
      </c>
      <c r="K467">
        <v>0</v>
      </c>
      <c r="L467" t="s">
        <v>77</v>
      </c>
    </row>
    <row r="468" spans="1:12">
      <c r="A468">
        <v>467</v>
      </c>
      <c r="B468" t="s">
        <v>245</v>
      </c>
      <c r="C468" t="s">
        <v>99</v>
      </c>
      <c r="D468">
        <v>3</v>
      </c>
      <c r="E468" t="s">
        <v>165</v>
      </c>
      <c r="F468">
        <v>3</v>
      </c>
      <c r="G468" t="s">
        <v>58</v>
      </c>
      <c r="H468" t="s">
        <v>58</v>
      </c>
      <c r="I468" t="s">
        <v>58</v>
      </c>
      <c r="J468" t="s">
        <v>58</v>
      </c>
      <c r="K468">
        <v>0</v>
      </c>
      <c r="L468" t="s">
        <v>77</v>
      </c>
    </row>
    <row r="469" spans="1:12">
      <c r="A469">
        <v>468</v>
      </c>
      <c r="B469" t="s">
        <v>245</v>
      </c>
      <c r="C469" t="s">
        <v>102</v>
      </c>
      <c r="D469">
        <v>3</v>
      </c>
      <c r="E469" t="s">
        <v>165</v>
      </c>
      <c r="F469">
        <v>3</v>
      </c>
      <c r="G469" t="s">
        <v>58</v>
      </c>
      <c r="H469" t="s">
        <v>58</v>
      </c>
      <c r="I469" t="s">
        <v>58</v>
      </c>
      <c r="J469" t="s">
        <v>58</v>
      </c>
      <c r="K469">
        <v>0</v>
      </c>
      <c r="L469" t="s">
        <v>77</v>
      </c>
    </row>
    <row r="470" spans="1:12">
      <c r="A470">
        <v>469</v>
      </c>
      <c r="B470" t="s">
        <v>245</v>
      </c>
      <c r="C470" t="s">
        <v>90</v>
      </c>
      <c r="D470">
        <v>1</v>
      </c>
      <c r="E470" t="s">
        <v>165</v>
      </c>
      <c r="F470">
        <v>3</v>
      </c>
      <c r="G470" t="s">
        <v>109</v>
      </c>
      <c r="H470" t="s">
        <v>151</v>
      </c>
      <c r="I470" t="s">
        <v>58</v>
      </c>
      <c r="J470" t="s">
        <v>58</v>
      </c>
      <c r="K470">
        <v>0</v>
      </c>
      <c r="L470" t="s">
        <v>77</v>
      </c>
    </row>
    <row r="471" spans="1:12">
      <c r="A471">
        <v>470</v>
      </c>
      <c r="B471" t="s">
        <v>131</v>
      </c>
      <c r="C471" t="s">
        <v>92</v>
      </c>
      <c r="D471">
        <v>3</v>
      </c>
      <c r="E471" t="s">
        <v>165</v>
      </c>
      <c r="F471">
        <v>3</v>
      </c>
      <c r="G471" t="s">
        <v>58</v>
      </c>
      <c r="H471" t="s">
        <v>58</v>
      </c>
      <c r="I471" t="s">
        <v>58</v>
      </c>
      <c r="J471" t="s">
        <v>58</v>
      </c>
      <c r="K471">
        <v>0</v>
      </c>
      <c r="L471" t="s">
        <v>77</v>
      </c>
    </row>
    <row r="472" spans="1:12">
      <c r="A472">
        <v>471</v>
      </c>
      <c r="B472" t="s">
        <v>131</v>
      </c>
      <c r="C472" t="s">
        <v>95</v>
      </c>
      <c r="D472">
        <v>3</v>
      </c>
      <c r="E472" t="s">
        <v>165</v>
      </c>
      <c r="F472">
        <v>3</v>
      </c>
      <c r="G472" t="s">
        <v>58</v>
      </c>
      <c r="H472" t="s">
        <v>58</v>
      </c>
      <c r="I472" t="s">
        <v>58</v>
      </c>
      <c r="J472" t="s">
        <v>58</v>
      </c>
      <c r="K472">
        <v>0</v>
      </c>
      <c r="L472" t="s">
        <v>77</v>
      </c>
    </row>
    <row r="473" spans="1:12">
      <c r="A473">
        <v>472</v>
      </c>
      <c r="B473" t="s">
        <v>131</v>
      </c>
      <c r="C473" t="s">
        <v>99</v>
      </c>
      <c r="D473">
        <v>4</v>
      </c>
      <c r="E473" t="s">
        <v>165</v>
      </c>
      <c r="F473">
        <v>3</v>
      </c>
      <c r="G473" t="s">
        <v>58</v>
      </c>
      <c r="H473" t="s">
        <v>58</v>
      </c>
      <c r="I473" t="s">
        <v>58</v>
      </c>
      <c r="J473" t="s">
        <v>58</v>
      </c>
      <c r="K473">
        <v>5</v>
      </c>
      <c r="L473" t="s">
        <v>77</v>
      </c>
    </row>
    <row r="474" spans="1:12">
      <c r="A474">
        <v>473</v>
      </c>
      <c r="B474" t="s">
        <v>131</v>
      </c>
      <c r="C474" t="s">
        <v>102</v>
      </c>
      <c r="D474">
        <v>4</v>
      </c>
      <c r="E474" t="s">
        <v>165</v>
      </c>
      <c r="F474">
        <v>3</v>
      </c>
      <c r="G474" t="s">
        <v>58</v>
      </c>
      <c r="H474" t="s">
        <v>58</v>
      </c>
      <c r="I474" t="s">
        <v>58</v>
      </c>
      <c r="J474" t="s">
        <v>58</v>
      </c>
      <c r="K474">
        <v>5</v>
      </c>
      <c r="L474" t="s">
        <v>77</v>
      </c>
    </row>
    <row r="475" spans="1:12">
      <c r="A475">
        <v>474</v>
      </c>
      <c r="B475" t="s">
        <v>180</v>
      </c>
      <c r="C475" t="s">
        <v>247</v>
      </c>
      <c r="D475">
        <v>0</v>
      </c>
      <c r="E475" t="s">
        <v>165</v>
      </c>
      <c r="F475">
        <v>3</v>
      </c>
      <c r="G475" t="s">
        <v>58</v>
      </c>
      <c r="H475" t="s">
        <v>58</v>
      </c>
      <c r="I475" t="s">
        <v>58</v>
      </c>
      <c r="J475" t="s">
        <v>58</v>
      </c>
      <c r="K475">
        <v>0</v>
      </c>
      <c r="L475" t="s">
        <v>77</v>
      </c>
    </row>
    <row r="476" spans="1:12">
      <c r="A476">
        <v>475</v>
      </c>
      <c r="B476" t="s">
        <v>131</v>
      </c>
      <c r="C476" t="s">
        <v>102</v>
      </c>
      <c r="D476">
        <v>5</v>
      </c>
      <c r="E476" t="s">
        <v>165</v>
      </c>
      <c r="F476">
        <v>3</v>
      </c>
      <c r="G476" t="s">
        <v>58</v>
      </c>
      <c r="H476" t="s">
        <v>58</v>
      </c>
      <c r="I476" t="s">
        <v>58</v>
      </c>
      <c r="J476" t="s">
        <v>58</v>
      </c>
      <c r="K476">
        <v>0</v>
      </c>
      <c r="L476" t="s">
        <v>77</v>
      </c>
    </row>
    <row r="477" spans="1:12">
      <c r="A477">
        <v>476</v>
      </c>
      <c r="B477" t="s">
        <v>131</v>
      </c>
      <c r="C477" t="s">
        <v>247</v>
      </c>
      <c r="D477">
        <v>2</v>
      </c>
      <c r="E477" t="s">
        <v>165</v>
      </c>
      <c r="F477">
        <v>3</v>
      </c>
      <c r="G477" t="s">
        <v>58</v>
      </c>
      <c r="H477" t="s">
        <v>58</v>
      </c>
      <c r="I477" t="s">
        <v>153</v>
      </c>
      <c r="J477" t="s">
        <v>233</v>
      </c>
      <c r="K477">
        <v>0</v>
      </c>
      <c r="L477" t="s">
        <v>77</v>
      </c>
    </row>
    <row r="478" spans="1:12">
      <c r="A478">
        <v>477</v>
      </c>
      <c r="B478" t="s">
        <v>131</v>
      </c>
      <c r="C478" t="s">
        <v>90</v>
      </c>
      <c r="D478">
        <v>2</v>
      </c>
      <c r="E478" t="s">
        <v>165</v>
      </c>
      <c r="F478">
        <v>3</v>
      </c>
      <c r="G478" t="s">
        <v>58</v>
      </c>
      <c r="H478" t="s">
        <v>58</v>
      </c>
      <c r="I478" t="s">
        <v>105</v>
      </c>
      <c r="J478" t="s">
        <v>244</v>
      </c>
      <c r="K478">
        <v>0</v>
      </c>
      <c r="L478" t="s">
        <v>77</v>
      </c>
    </row>
    <row r="479" spans="1:12">
      <c r="A479">
        <v>478</v>
      </c>
      <c r="B479" t="s">
        <v>131</v>
      </c>
      <c r="C479" t="s">
        <v>92</v>
      </c>
      <c r="D479">
        <v>1</v>
      </c>
      <c r="E479" t="s">
        <v>165</v>
      </c>
      <c r="F479">
        <v>3</v>
      </c>
      <c r="G479" t="s">
        <v>162</v>
      </c>
      <c r="H479" t="s">
        <v>167</v>
      </c>
      <c r="I479" t="s">
        <v>58</v>
      </c>
      <c r="J479" t="s">
        <v>58</v>
      </c>
      <c r="K479">
        <v>0</v>
      </c>
      <c r="L479" t="s">
        <v>77</v>
      </c>
    </row>
    <row r="480" spans="1:12">
      <c r="A480">
        <v>479</v>
      </c>
      <c r="B480" t="s">
        <v>131</v>
      </c>
      <c r="C480" t="s">
        <v>95</v>
      </c>
      <c r="D480">
        <v>1</v>
      </c>
      <c r="E480" t="s">
        <v>165</v>
      </c>
      <c r="F480">
        <v>3</v>
      </c>
      <c r="G480" t="s">
        <v>166</v>
      </c>
      <c r="H480" t="s">
        <v>167</v>
      </c>
      <c r="I480" t="s">
        <v>58</v>
      </c>
      <c r="J480" t="s">
        <v>58</v>
      </c>
      <c r="K480">
        <v>0</v>
      </c>
      <c r="L480" t="s">
        <v>77</v>
      </c>
    </row>
    <row r="481" spans="1:12">
      <c r="A481">
        <v>480</v>
      </c>
      <c r="B481" t="s">
        <v>245</v>
      </c>
      <c r="C481" t="s">
        <v>99</v>
      </c>
      <c r="D481">
        <v>3</v>
      </c>
      <c r="E481" t="s">
        <v>165</v>
      </c>
      <c r="F481">
        <v>3</v>
      </c>
      <c r="G481" t="s">
        <v>58</v>
      </c>
      <c r="H481" t="s">
        <v>58</v>
      </c>
      <c r="I481" t="s">
        <v>58</v>
      </c>
      <c r="J481" t="s">
        <v>58</v>
      </c>
      <c r="K481">
        <v>0</v>
      </c>
      <c r="L481" t="s">
        <v>77</v>
      </c>
    </row>
    <row r="482" spans="1:12">
      <c r="A482">
        <v>481</v>
      </c>
      <c r="B482" t="s">
        <v>245</v>
      </c>
      <c r="C482" t="s">
        <v>102</v>
      </c>
      <c r="D482">
        <v>5</v>
      </c>
      <c r="E482" t="s">
        <v>165</v>
      </c>
      <c r="F482">
        <v>3</v>
      </c>
      <c r="G482" t="s">
        <v>58</v>
      </c>
      <c r="H482" t="s">
        <v>58</v>
      </c>
      <c r="I482" t="s">
        <v>58</v>
      </c>
      <c r="J482" t="s">
        <v>58</v>
      </c>
      <c r="K482">
        <v>0</v>
      </c>
      <c r="L482" t="s">
        <v>77</v>
      </c>
    </row>
    <row r="483" spans="1:12">
      <c r="A483">
        <v>482</v>
      </c>
      <c r="B483" t="s">
        <v>245</v>
      </c>
      <c r="C483" t="s">
        <v>247</v>
      </c>
      <c r="D483">
        <v>2</v>
      </c>
      <c r="E483" t="s">
        <v>165</v>
      </c>
      <c r="F483">
        <v>3</v>
      </c>
      <c r="G483" t="s">
        <v>58</v>
      </c>
      <c r="H483" t="s">
        <v>58</v>
      </c>
      <c r="I483" t="s">
        <v>153</v>
      </c>
      <c r="J483" t="s">
        <v>233</v>
      </c>
      <c r="K483">
        <v>0</v>
      </c>
      <c r="L483" t="s">
        <v>77</v>
      </c>
    </row>
    <row r="484" spans="1:12">
      <c r="A484">
        <v>483</v>
      </c>
      <c r="B484" t="s">
        <v>131</v>
      </c>
      <c r="C484" t="s">
        <v>90</v>
      </c>
      <c r="D484">
        <v>2</v>
      </c>
      <c r="E484" t="s">
        <v>165</v>
      </c>
      <c r="F484">
        <v>3</v>
      </c>
      <c r="G484" t="s">
        <v>58</v>
      </c>
      <c r="H484" t="s">
        <v>58</v>
      </c>
      <c r="I484" t="s">
        <v>105</v>
      </c>
      <c r="J484" t="s">
        <v>244</v>
      </c>
      <c r="K484">
        <v>0</v>
      </c>
      <c r="L484" t="s">
        <v>77</v>
      </c>
    </row>
    <row r="485" spans="1:12">
      <c r="A485">
        <v>484</v>
      </c>
      <c r="B485" t="s">
        <v>131</v>
      </c>
      <c r="C485" t="s">
        <v>92</v>
      </c>
      <c r="D485">
        <v>1</v>
      </c>
      <c r="E485" t="s">
        <v>165</v>
      </c>
      <c r="F485">
        <v>3</v>
      </c>
      <c r="G485" t="s">
        <v>162</v>
      </c>
      <c r="H485" t="s">
        <v>167</v>
      </c>
      <c r="I485" t="s">
        <v>58</v>
      </c>
      <c r="J485" t="s">
        <v>58</v>
      </c>
      <c r="K485">
        <v>0</v>
      </c>
      <c r="L485" t="s">
        <v>77</v>
      </c>
    </row>
    <row r="486" spans="1:12">
      <c r="A486">
        <v>485</v>
      </c>
      <c r="B486" t="s">
        <v>131</v>
      </c>
      <c r="C486" t="s">
        <v>95</v>
      </c>
      <c r="D486">
        <v>1</v>
      </c>
      <c r="E486" t="s">
        <v>165</v>
      </c>
      <c r="F486">
        <v>3</v>
      </c>
      <c r="G486" t="s">
        <v>166</v>
      </c>
      <c r="H486" t="s">
        <v>167</v>
      </c>
      <c r="I486" t="s">
        <v>58</v>
      </c>
      <c r="J486" t="s">
        <v>58</v>
      </c>
      <c r="K486">
        <v>0</v>
      </c>
      <c r="L486" t="s">
        <v>77</v>
      </c>
    </row>
    <row r="487" spans="1:12">
      <c r="A487">
        <v>486</v>
      </c>
      <c r="B487" t="s">
        <v>245</v>
      </c>
      <c r="C487" t="s">
        <v>99</v>
      </c>
      <c r="D487">
        <v>3</v>
      </c>
      <c r="E487" t="s">
        <v>165</v>
      </c>
      <c r="F487">
        <v>3</v>
      </c>
      <c r="G487" t="s">
        <v>58</v>
      </c>
      <c r="H487" t="s">
        <v>58</v>
      </c>
      <c r="I487" t="s">
        <v>58</v>
      </c>
      <c r="J487" t="s">
        <v>58</v>
      </c>
      <c r="K487">
        <v>0</v>
      </c>
      <c r="L487" t="s">
        <v>77</v>
      </c>
    </row>
    <row r="488" spans="1:12">
      <c r="A488">
        <v>487</v>
      </c>
      <c r="B488" t="s">
        <v>245</v>
      </c>
      <c r="C488" t="s">
        <v>102</v>
      </c>
      <c r="D488">
        <v>3</v>
      </c>
      <c r="E488" t="s">
        <v>165</v>
      </c>
      <c r="F488">
        <v>3</v>
      </c>
      <c r="G488" t="s">
        <v>58</v>
      </c>
      <c r="H488" t="s">
        <v>58</v>
      </c>
      <c r="I488" t="s">
        <v>58</v>
      </c>
      <c r="J488" t="s">
        <v>58</v>
      </c>
      <c r="K488">
        <v>0</v>
      </c>
      <c r="L488" t="s">
        <v>77</v>
      </c>
    </row>
    <row r="489" spans="1:12">
      <c r="A489">
        <v>488</v>
      </c>
      <c r="B489" t="s">
        <v>131</v>
      </c>
      <c r="C489" t="s">
        <v>247</v>
      </c>
      <c r="D489">
        <v>4</v>
      </c>
      <c r="E489" t="s">
        <v>165</v>
      </c>
      <c r="F489">
        <v>3</v>
      </c>
      <c r="G489" t="s">
        <v>58</v>
      </c>
      <c r="H489" t="s">
        <v>58</v>
      </c>
      <c r="I489" t="s">
        <v>58</v>
      </c>
      <c r="J489" t="s">
        <v>58</v>
      </c>
      <c r="K489">
        <v>5</v>
      </c>
      <c r="L489" t="s">
        <v>77</v>
      </c>
    </row>
    <row r="490" spans="1:12">
      <c r="A490">
        <v>489</v>
      </c>
      <c r="B490" t="s">
        <v>131</v>
      </c>
      <c r="C490" t="s">
        <v>90</v>
      </c>
      <c r="D490">
        <v>4</v>
      </c>
      <c r="E490" t="s">
        <v>165</v>
      </c>
      <c r="F490">
        <v>3</v>
      </c>
      <c r="G490" t="s">
        <v>58</v>
      </c>
      <c r="H490" t="s">
        <v>58</v>
      </c>
      <c r="I490" t="s">
        <v>58</v>
      </c>
      <c r="J490" t="s">
        <v>58</v>
      </c>
      <c r="K490">
        <v>5</v>
      </c>
      <c r="L490" t="s">
        <v>77</v>
      </c>
    </row>
    <row r="491" spans="1:12">
      <c r="A491">
        <v>490</v>
      </c>
      <c r="B491" t="s">
        <v>131</v>
      </c>
      <c r="C491" t="s">
        <v>92</v>
      </c>
      <c r="D491">
        <v>5</v>
      </c>
      <c r="E491" t="s">
        <v>165</v>
      </c>
      <c r="F491">
        <v>3</v>
      </c>
      <c r="G491" t="s">
        <v>58</v>
      </c>
      <c r="H491" t="s">
        <v>58</v>
      </c>
      <c r="I491" t="s">
        <v>58</v>
      </c>
      <c r="J491" t="s">
        <v>58</v>
      </c>
      <c r="K491">
        <v>0</v>
      </c>
      <c r="L491" t="s">
        <v>77</v>
      </c>
    </row>
    <row r="492" spans="1:12">
      <c r="A492">
        <v>491</v>
      </c>
      <c r="B492" t="s">
        <v>131</v>
      </c>
      <c r="C492" t="s">
        <v>95</v>
      </c>
      <c r="D492">
        <v>5</v>
      </c>
      <c r="E492" t="s">
        <v>165</v>
      </c>
      <c r="F492">
        <v>3</v>
      </c>
      <c r="G492" t="s">
        <v>58</v>
      </c>
      <c r="H492" t="s">
        <v>58</v>
      </c>
      <c r="I492" t="s">
        <v>58</v>
      </c>
      <c r="J492" t="s">
        <v>58</v>
      </c>
      <c r="K492">
        <v>0</v>
      </c>
      <c r="L492" t="s">
        <v>77</v>
      </c>
    </row>
    <row r="493" spans="1:12">
      <c r="A493">
        <v>492</v>
      </c>
      <c r="B493" t="s">
        <v>131</v>
      </c>
      <c r="C493" t="s">
        <v>99</v>
      </c>
      <c r="D493">
        <v>2</v>
      </c>
      <c r="E493" t="s">
        <v>165</v>
      </c>
      <c r="F493">
        <v>3</v>
      </c>
      <c r="G493" t="s">
        <v>58</v>
      </c>
      <c r="H493" t="s">
        <v>58</v>
      </c>
      <c r="I493" t="s">
        <v>119</v>
      </c>
      <c r="J493" t="s">
        <v>239</v>
      </c>
      <c r="K493">
        <v>0</v>
      </c>
      <c r="L493" t="s">
        <v>77</v>
      </c>
    </row>
    <row r="494" spans="1:12">
      <c r="A494">
        <v>493</v>
      </c>
      <c r="B494" t="s">
        <v>131</v>
      </c>
      <c r="C494" t="s">
        <v>102</v>
      </c>
      <c r="D494">
        <v>2</v>
      </c>
      <c r="E494" t="s">
        <v>165</v>
      </c>
      <c r="F494">
        <v>3</v>
      </c>
      <c r="G494" t="s">
        <v>58</v>
      </c>
      <c r="H494" t="s">
        <v>58</v>
      </c>
      <c r="I494" t="s">
        <v>141</v>
      </c>
      <c r="J494" t="s">
        <v>240</v>
      </c>
      <c r="K494">
        <v>0</v>
      </c>
      <c r="L494" t="s">
        <v>77</v>
      </c>
    </row>
    <row r="495" spans="1:12">
      <c r="A495">
        <v>494</v>
      </c>
      <c r="B495" t="s">
        <v>245</v>
      </c>
      <c r="C495" t="s">
        <v>247</v>
      </c>
      <c r="D495">
        <v>1</v>
      </c>
      <c r="E495" t="s">
        <v>165</v>
      </c>
      <c r="F495">
        <v>3</v>
      </c>
      <c r="G495" t="s">
        <v>162</v>
      </c>
      <c r="H495" t="s">
        <v>167</v>
      </c>
      <c r="I495" t="s">
        <v>58</v>
      </c>
      <c r="J495" t="s">
        <v>58</v>
      </c>
      <c r="K495">
        <v>0</v>
      </c>
      <c r="L495" t="s">
        <v>77</v>
      </c>
    </row>
    <row r="496" spans="1:12">
      <c r="A496">
        <v>495</v>
      </c>
      <c r="B496" t="s">
        <v>245</v>
      </c>
      <c r="C496" t="s">
        <v>90</v>
      </c>
      <c r="D496">
        <v>1</v>
      </c>
      <c r="E496" t="s">
        <v>165</v>
      </c>
      <c r="F496">
        <v>3</v>
      </c>
      <c r="G496" t="s">
        <v>109</v>
      </c>
      <c r="H496" t="s">
        <v>151</v>
      </c>
      <c r="I496" t="s">
        <v>58</v>
      </c>
      <c r="J496" t="s">
        <v>58</v>
      </c>
      <c r="K496">
        <v>0</v>
      </c>
      <c r="L496" t="s">
        <v>77</v>
      </c>
    </row>
    <row r="497" spans="1:12">
      <c r="A497">
        <v>496</v>
      </c>
      <c r="B497" t="s">
        <v>131</v>
      </c>
      <c r="C497" t="s">
        <v>92</v>
      </c>
      <c r="D497">
        <v>3</v>
      </c>
      <c r="E497" t="s">
        <v>165</v>
      </c>
      <c r="F497">
        <v>3</v>
      </c>
      <c r="G497" t="s">
        <v>58</v>
      </c>
      <c r="H497" t="s">
        <v>58</v>
      </c>
      <c r="I497" t="s">
        <v>58</v>
      </c>
      <c r="J497" t="s">
        <v>58</v>
      </c>
      <c r="K497">
        <v>0</v>
      </c>
      <c r="L497" t="s">
        <v>77</v>
      </c>
    </row>
    <row r="498" spans="1:12">
      <c r="A498">
        <v>497</v>
      </c>
      <c r="B498" t="s">
        <v>131</v>
      </c>
      <c r="C498" t="s">
        <v>95</v>
      </c>
      <c r="D498">
        <v>3</v>
      </c>
      <c r="E498" t="s">
        <v>165</v>
      </c>
      <c r="F498">
        <v>3</v>
      </c>
      <c r="G498" t="s">
        <v>58</v>
      </c>
      <c r="H498" t="s">
        <v>58</v>
      </c>
      <c r="I498" t="s">
        <v>58</v>
      </c>
      <c r="J498" t="s">
        <v>58</v>
      </c>
      <c r="K498">
        <v>0</v>
      </c>
      <c r="L498" t="s">
        <v>77</v>
      </c>
    </row>
    <row r="499" spans="1:12">
      <c r="A499">
        <v>498</v>
      </c>
      <c r="B499" t="s">
        <v>131</v>
      </c>
      <c r="C499" t="s">
        <v>99</v>
      </c>
      <c r="D499">
        <v>4</v>
      </c>
      <c r="E499" t="s">
        <v>165</v>
      </c>
      <c r="F499">
        <v>3</v>
      </c>
      <c r="G499" t="s">
        <v>58</v>
      </c>
      <c r="H499" t="s">
        <v>58</v>
      </c>
      <c r="I499" t="s">
        <v>58</v>
      </c>
      <c r="J499" t="s">
        <v>58</v>
      </c>
      <c r="K499">
        <v>5</v>
      </c>
      <c r="L499" t="s">
        <v>77</v>
      </c>
    </row>
    <row r="500" spans="1:12">
      <c r="A500">
        <v>499</v>
      </c>
      <c r="B500" t="s">
        <v>131</v>
      </c>
      <c r="C500" t="s">
        <v>102</v>
      </c>
      <c r="D500">
        <v>4</v>
      </c>
      <c r="E500" t="s">
        <v>165</v>
      </c>
      <c r="F500">
        <v>3</v>
      </c>
      <c r="G500" t="s">
        <v>58</v>
      </c>
      <c r="H500" t="s">
        <v>58</v>
      </c>
      <c r="I500" t="s">
        <v>58</v>
      </c>
      <c r="J500" t="s">
        <v>58</v>
      </c>
      <c r="K500">
        <v>5</v>
      </c>
      <c r="L500" t="s">
        <v>77</v>
      </c>
    </row>
    <row r="501" spans="1:12">
      <c r="A501">
        <v>500</v>
      </c>
      <c r="B501" t="s">
        <v>180</v>
      </c>
      <c r="C501" t="s">
        <v>247</v>
      </c>
      <c r="D501">
        <v>0</v>
      </c>
      <c r="E501" t="s">
        <v>165</v>
      </c>
      <c r="F501">
        <v>3</v>
      </c>
      <c r="G501" t="s">
        <v>58</v>
      </c>
      <c r="H501" t="s">
        <v>58</v>
      </c>
      <c r="I501" t="s">
        <v>58</v>
      </c>
      <c r="J501" t="s">
        <v>58</v>
      </c>
      <c r="K501">
        <v>0</v>
      </c>
      <c r="L501" t="s">
        <v>77</v>
      </c>
    </row>
    <row r="502" spans="1:12">
      <c r="A502">
        <v>501</v>
      </c>
      <c r="B502" t="s">
        <v>131</v>
      </c>
      <c r="C502" t="s">
        <v>102</v>
      </c>
      <c r="D502">
        <v>5</v>
      </c>
      <c r="E502" t="s">
        <v>165</v>
      </c>
      <c r="F502">
        <v>3</v>
      </c>
      <c r="G502" t="s">
        <v>58</v>
      </c>
      <c r="H502" t="s">
        <v>58</v>
      </c>
      <c r="I502" t="s">
        <v>58</v>
      </c>
      <c r="J502" t="s">
        <v>58</v>
      </c>
      <c r="K502">
        <v>0</v>
      </c>
      <c r="L502" t="s">
        <v>77</v>
      </c>
    </row>
    <row r="503" spans="1:12">
      <c r="A503">
        <v>502</v>
      </c>
      <c r="B503" t="s">
        <v>131</v>
      </c>
      <c r="C503" t="s">
        <v>247</v>
      </c>
      <c r="D503">
        <v>2</v>
      </c>
      <c r="E503" t="s">
        <v>165</v>
      </c>
      <c r="F503">
        <v>3</v>
      </c>
      <c r="G503" t="s">
        <v>58</v>
      </c>
      <c r="H503" t="s">
        <v>58</v>
      </c>
      <c r="I503" t="s">
        <v>153</v>
      </c>
      <c r="J503" t="s">
        <v>233</v>
      </c>
      <c r="K503">
        <v>0</v>
      </c>
      <c r="L503" t="s">
        <v>77</v>
      </c>
    </row>
    <row r="504" spans="1:12">
      <c r="A504">
        <v>503</v>
      </c>
      <c r="B504" t="s">
        <v>131</v>
      </c>
      <c r="C504" t="s">
        <v>90</v>
      </c>
      <c r="D504">
        <v>2</v>
      </c>
      <c r="E504" t="s">
        <v>165</v>
      </c>
      <c r="F504">
        <v>3</v>
      </c>
      <c r="G504" t="s">
        <v>58</v>
      </c>
      <c r="H504" t="s">
        <v>58</v>
      </c>
      <c r="I504" t="s">
        <v>105</v>
      </c>
      <c r="J504" t="s">
        <v>244</v>
      </c>
      <c r="K504">
        <v>0</v>
      </c>
      <c r="L504" t="s">
        <v>77</v>
      </c>
    </row>
    <row r="505" spans="1:12">
      <c r="A505">
        <v>504</v>
      </c>
      <c r="B505" t="s">
        <v>131</v>
      </c>
      <c r="C505" t="s">
        <v>92</v>
      </c>
      <c r="D505">
        <v>1</v>
      </c>
      <c r="E505" t="s">
        <v>165</v>
      </c>
      <c r="F505">
        <v>3</v>
      </c>
      <c r="G505" t="s">
        <v>162</v>
      </c>
      <c r="H505" t="s">
        <v>167</v>
      </c>
      <c r="I505" t="s">
        <v>58</v>
      </c>
      <c r="J505" t="s">
        <v>58</v>
      </c>
      <c r="K505">
        <v>0</v>
      </c>
      <c r="L505" t="s">
        <v>77</v>
      </c>
    </row>
    <row r="506" spans="1:12">
      <c r="A506">
        <v>505</v>
      </c>
      <c r="B506" t="s">
        <v>131</v>
      </c>
      <c r="C506" t="s">
        <v>95</v>
      </c>
      <c r="D506">
        <v>1</v>
      </c>
      <c r="E506" t="s">
        <v>165</v>
      </c>
      <c r="F506">
        <v>3</v>
      </c>
      <c r="G506" t="s">
        <v>166</v>
      </c>
      <c r="H506" t="s">
        <v>167</v>
      </c>
      <c r="I506" t="s">
        <v>58</v>
      </c>
      <c r="J506" t="s">
        <v>58</v>
      </c>
      <c r="K506">
        <v>0</v>
      </c>
      <c r="L506" t="s">
        <v>77</v>
      </c>
    </row>
    <row r="507" spans="1:12">
      <c r="A507">
        <v>506</v>
      </c>
      <c r="B507" t="s">
        <v>245</v>
      </c>
      <c r="C507" t="s">
        <v>99</v>
      </c>
      <c r="D507">
        <v>3</v>
      </c>
      <c r="E507" t="s">
        <v>165</v>
      </c>
      <c r="F507">
        <v>3</v>
      </c>
      <c r="G507" t="s">
        <v>58</v>
      </c>
      <c r="H507" t="s">
        <v>58</v>
      </c>
      <c r="I507" t="s">
        <v>58</v>
      </c>
      <c r="J507" t="s">
        <v>58</v>
      </c>
      <c r="K507">
        <v>0</v>
      </c>
      <c r="L507" t="s">
        <v>77</v>
      </c>
    </row>
    <row r="508" spans="1:12">
      <c r="A508">
        <v>507</v>
      </c>
      <c r="B508" t="s">
        <v>245</v>
      </c>
      <c r="C508" t="s">
        <v>102</v>
      </c>
      <c r="D508">
        <v>3</v>
      </c>
      <c r="E508" t="s">
        <v>165</v>
      </c>
      <c r="F508">
        <v>3</v>
      </c>
      <c r="G508" t="s">
        <v>58</v>
      </c>
      <c r="H508" t="s">
        <v>58</v>
      </c>
      <c r="I508" t="s">
        <v>58</v>
      </c>
      <c r="J508" t="s">
        <v>58</v>
      </c>
      <c r="K508">
        <v>0</v>
      </c>
      <c r="L508" t="s">
        <v>77</v>
      </c>
    </row>
    <row r="509" spans="1:12">
      <c r="A509">
        <v>508</v>
      </c>
      <c r="B509" t="s">
        <v>131</v>
      </c>
      <c r="C509" t="s">
        <v>247</v>
      </c>
      <c r="D509">
        <v>4</v>
      </c>
      <c r="E509" t="s">
        <v>165</v>
      </c>
      <c r="F509">
        <v>3</v>
      </c>
      <c r="G509" t="s">
        <v>58</v>
      </c>
      <c r="H509" t="s">
        <v>58</v>
      </c>
      <c r="I509" t="s">
        <v>58</v>
      </c>
      <c r="J509" t="s">
        <v>58</v>
      </c>
      <c r="K509">
        <v>5</v>
      </c>
      <c r="L509" t="s">
        <v>77</v>
      </c>
    </row>
    <row r="510" spans="1:12">
      <c r="A510">
        <v>509</v>
      </c>
      <c r="B510" t="s">
        <v>131</v>
      </c>
      <c r="C510" t="s">
        <v>90</v>
      </c>
      <c r="D510">
        <v>4</v>
      </c>
      <c r="E510" t="s">
        <v>165</v>
      </c>
      <c r="F510">
        <v>3</v>
      </c>
      <c r="G510" t="s">
        <v>58</v>
      </c>
      <c r="H510" t="s">
        <v>58</v>
      </c>
      <c r="I510" t="s">
        <v>58</v>
      </c>
      <c r="J510" t="s">
        <v>58</v>
      </c>
      <c r="K510">
        <v>5</v>
      </c>
      <c r="L510" t="s">
        <v>77</v>
      </c>
    </row>
    <row r="511" spans="1:12">
      <c r="A511">
        <v>510</v>
      </c>
      <c r="B511" t="s">
        <v>131</v>
      </c>
      <c r="C511" t="s">
        <v>92</v>
      </c>
      <c r="D511">
        <v>5</v>
      </c>
      <c r="E511" t="s">
        <v>165</v>
      </c>
      <c r="F511">
        <v>3</v>
      </c>
      <c r="G511" t="s">
        <v>58</v>
      </c>
      <c r="H511" t="s">
        <v>58</v>
      </c>
      <c r="I511" t="s">
        <v>58</v>
      </c>
      <c r="J511" t="s">
        <v>58</v>
      </c>
      <c r="K511">
        <v>0</v>
      </c>
      <c r="L511" t="s">
        <v>77</v>
      </c>
    </row>
    <row r="512" spans="1:12">
      <c r="A512">
        <v>511</v>
      </c>
      <c r="B512" t="s">
        <v>245</v>
      </c>
      <c r="C512" t="s">
        <v>95</v>
      </c>
      <c r="D512">
        <v>5</v>
      </c>
      <c r="E512" t="s">
        <v>165</v>
      </c>
      <c r="F512">
        <v>3</v>
      </c>
      <c r="G512" t="s">
        <v>58</v>
      </c>
      <c r="H512" t="s">
        <v>58</v>
      </c>
      <c r="I512" t="s">
        <v>58</v>
      </c>
      <c r="J512" t="s">
        <v>58</v>
      </c>
      <c r="K512">
        <v>0</v>
      </c>
      <c r="L512" t="s">
        <v>77</v>
      </c>
    </row>
    <row r="513" spans="1:12">
      <c r="A513">
        <v>512</v>
      </c>
      <c r="B513" t="s">
        <v>131</v>
      </c>
      <c r="C513" t="s">
        <v>99</v>
      </c>
      <c r="D513">
        <v>2</v>
      </c>
      <c r="E513" t="s">
        <v>165</v>
      </c>
      <c r="F513">
        <v>3</v>
      </c>
      <c r="G513" t="s">
        <v>58</v>
      </c>
      <c r="H513" t="s">
        <v>58</v>
      </c>
      <c r="I513" t="s">
        <v>119</v>
      </c>
      <c r="J513" t="s">
        <v>239</v>
      </c>
      <c r="K513">
        <v>0</v>
      </c>
      <c r="L513" t="s">
        <v>77</v>
      </c>
    </row>
    <row r="514" spans="1:12">
      <c r="A514">
        <v>513</v>
      </c>
      <c r="B514" t="s">
        <v>131</v>
      </c>
      <c r="C514" t="s">
        <v>102</v>
      </c>
      <c r="D514">
        <v>2</v>
      </c>
      <c r="E514" t="s">
        <v>165</v>
      </c>
      <c r="F514">
        <v>3</v>
      </c>
      <c r="G514" t="s">
        <v>58</v>
      </c>
      <c r="H514" t="s">
        <v>58</v>
      </c>
      <c r="I514" t="s">
        <v>141</v>
      </c>
      <c r="J514" t="s">
        <v>240</v>
      </c>
      <c r="K514">
        <v>0</v>
      </c>
      <c r="L514" t="s">
        <v>77</v>
      </c>
    </row>
    <row r="515" spans="1:12">
      <c r="A515">
        <v>514</v>
      </c>
      <c r="B515" t="s">
        <v>131</v>
      </c>
      <c r="C515" t="s">
        <v>247</v>
      </c>
      <c r="D515">
        <v>1</v>
      </c>
      <c r="E515" t="s">
        <v>165</v>
      </c>
      <c r="F515">
        <v>3</v>
      </c>
      <c r="G515" t="s">
        <v>162</v>
      </c>
      <c r="H515" t="s">
        <v>167</v>
      </c>
      <c r="I515" t="s">
        <v>58</v>
      </c>
      <c r="J515" t="s">
        <v>58</v>
      </c>
      <c r="K515">
        <v>0</v>
      </c>
      <c r="L515" t="s">
        <v>77</v>
      </c>
    </row>
    <row r="516" spans="1:12">
      <c r="A516">
        <v>515</v>
      </c>
      <c r="B516" t="s">
        <v>131</v>
      </c>
      <c r="C516" t="s">
        <v>90</v>
      </c>
      <c r="D516">
        <v>1</v>
      </c>
      <c r="E516" t="s">
        <v>165</v>
      </c>
      <c r="F516">
        <v>3</v>
      </c>
      <c r="G516" t="s">
        <v>109</v>
      </c>
      <c r="H516" t="s">
        <v>151</v>
      </c>
      <c r="I516" t="s">
        <v>58</v>
      </c>
      <c r="J516" t="s">
        <v>58</v>
      </c>
      <c r="K516">
        <v>0</v>
      </c>
      <c r="L516" t="s">
        <v>77</v>
      </c>
    </row>
    <row r="517" spans="1:12">
      <c r="A517">
        <v>516</v>
      </c>
      <c r="B517" t="s">
        <v>245</v>
      </c>
      <c r="C517" t="s">
        <v>92</v>
      </c>
      <c r="D517">
        <v>3</v>
      </c>
      <c r="E517" t="s">
        <v>165</v>
      </c>
      <c r="F517">
        <v>3</v>
      </c>
      <c r="G517" t="s">
        <v>58</v>
      </c>
      <c r="H517" t="s">
        <v>58</v>
      </c>
      <c r="I517" t="s">
        <v>58</v>
      </c>
      <c r="J517" t="s">
        <v>58</v>
      </c>
      <c r="K517">
        <v>0</v>
      </c>
      <c r="L517" t="s">
        <v>77</v>
      </c>
    </row>
    <row r="518" spans="1:12">
      <c r="A518">
        <v>517</v>
      </c>
      <c r="B518" t="s">
        <v>245</v>
      </c>
      <c r="C518" t="s">
        <v>95</v>
      </c>
      <c r="D518">
        <v>3</v>
      </c>
      <c r="E518" t="s">
        <v>165</v>
      </c>
      <c r="F518">
        <v>3</v>
      </c>
      <c r="G518" t="s">
        <v>58</v>
      </c>
      <c r="H518" t="s">
        <v>58</v>
      </c>
      <c r="I518" t="s">
        <v>58</v>
      </c>
      <c r="J518" t="s">
        <v>58</v>
      </c>
      <c r="K518">
        <v>0</v>
      </c>
      <c r="L518" t="s">
        <v>77</v>
      </c>
    </row>
    <row r="519" spans="1:12">
      <c r="A519">
        <v>518</v>
      </c>
      <c r="B519" t="s">
        <v>131</v>
      </c>
      <c r="C519" t="s">
        <v>99</v>
      </c>
      <c r="D519">
        <v>4</v>
      </c>
      <c r="E519" t="s">
        <v>165</v>
      </c>
      <c r="F519">
        <v>3</v>
      </c>
      <c r="G519" t="s">
        <v>58</v>
      </c>
      <c r="H519" t="s">
        <v>58</v>
      </c>
      <c r="I519" t="s">
        <v>58</v>
      </c>
      <c r="J519" t="s">
        <v>58</v>
      </c>
      <c r="K519">
        <v>5</v>
      </c>
      <c r="L519" t="s">
        <v>77</v>
      </c>
    </row>
    <row r="520" spans="1:12">
      <c r="A520">
        <v>519</v>
      </c>
      <c r="B520" t="s">
        <v>131</v>
      </c>
      <c r="C520" t="s">
        <v>102</v>
      </c>
      <c r="D520">
        <v>4</v>
      </c>
      <c r="E520" t="s">
        <v>165</v>
      </c>
      <c r="F520">
        <v>3</v>
      </c>
      <c r="G520" t="s">
        <v>58</v>
      </c>
      <c r="H520" t="s">
        <v>58</v>
      </c>
      <c r="I520" t="s">
        <v>58</v>
      </c>
      <c r="J520" t="s">
        <v>58</v>
      </c>
      <c r="K520">
        <v>5</v>
      </c>
      <c r="L520" t="s">
        <v>77</v>
      </c>
    </row>
    <row r="521" spans="1:12">
      <c r="A521">
        <v>520</v>
      </c>
      <c r="B521" t="s">
        <v>180</v>
      </c>
      <c r="C521" t="s">
        <v>247</v>
      </c>
      <c r="D521">
        <v>0</v>
      </c>
      <c r="E521" t="s">
        <v>165</v>
      </c>
      <c r="F521">
        <v>3</v>
      </c>
      <c r="G521" t="s">
        <v>58</v>
      </c>
      <c r="H521" t="s">
        <v>58</v>
      </c>
      <c r="I521" t="s">
        <v>58</v>
      </c>
      <c r="J521" t="s">
        <v>58</v>
      </c>
      <c r="K521">
        <v>0</v>
      </c>
      <c r="L521" t="s">
        <v>77</v>
      </c>
    </row>
    <row r="522" spans="1:12">
      <c r="A522">
        <v>521</v>
      </c>
      <c r="B522" t="s">
        <v>131</v>
      </c>
      <c r="C522" t="s">
        <v>90</v>
      </c>
      <c r="D522">
        <v>2</v>
      </c>
      <c r="E522" t="s">
        <v>165</v>
      </c>
      <c r="F522">
        <v>3</v>
      </c>
      <c r="G522" t="s">
        <v>58</v>
      </c>
      <c r="H522" t="s">
        <v>58</v>
      </c>
      <c r="I522" t="s">
        <v>105</v>
      </c>
      <c r="J522" t="s">
        <v>244</v>
      </c>
      <c r="K522">
        <v>0</v>
      </c>
      <c r="L522" t="s">
        <v>77</v>
      </c>
    </row>
    <row r="523" spans="1:12">
      <c r="A523">
        <v>522</v>
      </c>
      <c r="B523" t="s">
        <v>131</v>
      </c>
      <c r="C523" t="s">
        <v>92</v>
      </c>
      <c r="D523">
        <v>1</v>
      </c>
      <c r="E523" t="s">
        <v>165</v>
      </c>
      <c r="F523">
        <v>3</v>
      </c>
      <c r="G523" t="s">
        <v>162</v>
      </c>
      <c r="H523" t="s">
        <v>167</v>
      </c>
      <c r="I523" t="s">
        <v>58</v>
      </c>
      <c r="J523" t="s">
        <v>58</v>
      </c>
      <c r="K523">
        <v>0</v>
      </c>
      <c r="L523" t="s">
        <v>77</v>
      </c>
    </row>
    <row r="524" spans="1:12">
      <c r="A524">
        <v>523</v>
      </c>
      <c r="B524" t="s">
        <v>131</v>
      </c>
      <c r="C524" t="s">
        <v>95</v>
      </c>
      <c r="D524">
        <v>1</v>
      </c>
      <c r="E524" t="s">
        <v>165</v>
      </c>
      <c r="F524">
        <v>3</v>
      </c>
      <c r="G524" t="s">
        <v>166</v>
      </c>
      <c r="H524" t="s">
        <v>167</v>
      </c>
      <c r="I524" t="s">
        <v>58</v>
      </c>
      <c r="J524" t="s">
        <v>58</v>
      </c>
      <c r="K524">
        <v>0</v>
      </c>
      <c r="L524" t="s">
        <v>77</v>
      </c>
    </row>
    <row r="525" spans="1:12">
      <c r="A525">
        <v>524</v>
      </c>
      <c r="B525" t="s">
        <v>245</v>
      </c>
      <c r="C525" t="s">
        <v>99</v>
      </c>
      <c r="D525">
        <v>3</v>
      </c>
      <c r="E525" t="s">
        <v>165</v>
      </c>
      <c r="F525">
        <v>3</v>
      </c>
      <c r="G525" t="s">
        <v>58</v>
      </c>
      <c r="H525" t="s">
        <v>58</v>
      </c>
      <c r="I525" t="s">
        <v>58</v>
      </c>
      <c r="J525" t="s">
        <v>58</v>
      </c>
      <c r="K525">
        <v>0</v>
      </c>
      <c r="L525" t="s">
        <v>77</v>
      </c>
    </row>
    <row r="526" spans="1:12">
      <c r="A526">
        <v>525</v>
      </c>
      <c r="B526" t="s">
        <v>245</v>
      </c>
      <c r="C526" t="s">
        <v>102</v>
      </c>
      <c r="D526">
        <v>3</v>
      </c>
      <c r="E526" t="s">
        <v>165</v>
      </c>
      <c r="F526">
        <v>3</v>
      </c>
      <c r="G526" t="s">
        <v>58</v>
      </c>
      <c r="H526" t="s">
        <v>58</v>
      </c>
      <c r="I526" t="s">
        <v>58</v>
      </c>
      <c r="J526" t="s">
        <v>58</v>
      </c>
      <c r="K526">
        <v>0</v>
      </c>
      <c r="L526" t="s">
        <v>77</v>
      </c>
    </row>
    <row r="527" spans="1:12">
      <c r="A527">
        <v>526</v>
      </c>
      <c r="B527" t="s">
        <v>131</v>
      </c>
      <c r="C527" t="s">
        <v>247</v>
      </c>
      <c r="D527">
        <v>4</v>
      </c>
      <c r="E527" t="s">
        <v>165</v>
      </c>
      <c r="F527">
        <v>3</v>
      </c>
      <c r="G527" t="s">
        <v>58</v>
      </c>
      <c r="H527" t="s">
        <v>58</v>
      </c>
      <c r="I527" t="s">
        <v>58</v>
      </c>
      <c r="J527" t="s">
        <v>58</v>
      </c>
      <c r="K527">
        <v>5</v>
      </c>
      <c r="L527" t="s">
        <v>77</v>
      </c>
    </row>
    <row r="528" spans="1:12">
      <c r="A528">
        <v>527</v>
      </c>
      <c r="B528" t="s">
        <v>131</v>
      </c>
      <c r="C528" t="s">
        <v>90</v>
      </c>
      <c r="D528">
        <v>4</v>
      </c>
      <c r="E528" t="s">
        <v>165</v>
      </c>
      <c r="F528">
        <v>3</v>
      </c>
      <c r="G528" t="s">
        <v>58</v>
      </c>
      <c r="H528" t="s">
        <v>58</v>
      </c>
      <c r="I528" t="s">
        <v>58</v>
      </c>
      <c r="J528" t="s">
        <v>58</v>
      </c>
      <c r="K528">
        <v>5</v>
      </c>
      <c r="L528" t="s">
        <v>77</v>
      </c>
    </row>
    <row r="529" spans="1:12">
      <c r="A529">
        <v>528</v>
      </c>
      <c r="B529" t="s">
        <v>131</v>
      </c>
      <c r="C529" t="s">
        <v>92</v>
      </c>
      <c r="D529">
        <v>5</v>
      </c>
      <c r="E529" t="s">
        <v>165</v>
      </c>
      <c r="F529">
        <v>3</v>
      </c>
      <c r="G529" t="s">
        <v>58</v>
      </c>
      <c r="H529" t="s">
        <v>58</v>
      </c>
      <c r="I529" t="s">
        <v>58</v>
      </c>
      <c r="J529" t="s">
        <v>58</v>
      </c>
      <c r="K529">
        <v>0</v>
      </c>
      <c r="L529" t="s">
        <v>77</v>
      </c>
    </row>
    <row r="530" spans="1:12">
      <c r="A530">
        <v>529</v>
      </c>
      <c r="B530" t="s">
        <v>245</v>
      </c>
      <c r="C530" t="s">
        <v>95</v>
      </c>
      <c r="D530">
        <v>5</v>
      </c>
      <c r="E530" t="s">
        <v>165</v>
      </c>
      <c r="F530">
        <v>3</v>
      </c>
      <c r="G530" t="s">
        <v>58</v>
      </c>
      <c r="H530" t="s">
        <v>58</v>
      </c>
      <c r="I530" t="s">
        <v>58</v>
      </c>
      <c r="J530" t="s">
        <v>58</v>
      </c>
      <c r="K530">
        <v>0</v>
      </c>
      <c r="L530" t="s">
        <v>77</v>
      </c>
    </row>
    <row r="531" spans="1:12">
      <c r="A531">
        <v>530</v>
      </c>
      <c r="B531" t="s">
        <v>245</v>
      </c>
      <c r="C531" t="s">
        <v>95</v>
      </c>
      <c r="D531">
        <v>5</v>
      </c>
      <c r="E531" t="s">
        <v>165</v>
      </c>
      <c r="F531">
        <v>3</v>
      </c>
      <c r="G531" t="s">
        <v>58</v>
      </c>
      <c r="H531" t="s">
        <v>58</v>
      </c>
      <c r="I531" t="s">
        <v>58</v>
      </c>
      <c r="J531" t="s">
        <v>58</v>
      </c>
      <c r="K531">
        <v>0</v>
      </c>
      <c r="L531" t="s">
        <v>77</v>
      </c>
    </row>
    <row r="532" spans="1:12">
      <c r="A532">
        <v>531</v>
      </c>
      <c r="B532" t="s">
        <v>131</v>
      </c>
      <c r="C532" t="s">
        <v>99</v>
      </c>
      <c r="D532">
        <v>2</v>
      </c>
      <c r="E532" t="s">
        <v>165</v>
      </c>
      <c r="F532">
        <v>3</v>
      </c>
      <c r="G532" t="s">
        <v>58</v>
      </c>
      <c r="H532" t="s">
        <v>58</v>
      </c>
      <c r="I532" t="s">
        <v>119</v>
      </c>
      <c r="J532" t="s">
        <v>239</v>
      </c>
      <c r="K532">
        <v>0</v>
      </c>
      <c r="L532" t="s">
        <v>77</v>
      </c>
    </row>
    <row r="533" spans="1:12">
      <c r="A533">
        <v>532</v>
      </c>
      <c r="B533" t="s">
        <v>131</v>
      </c>
      <c r="C533" t="s">
        <v>102</v>
      </c>
      <c r="D533">
        <v>2</v>
      </c>
      <c r="E533" t="s">
        <v>165</v>
      </c>
      <c r="F533">
        <v>3</v>
      </c>
      <c r="G533" t="s">
        <v>58</v>
      </c>
      <c r="H533" t="s">
        <v>58</v>
      </c>
      <c r="I533" t="s">
        <v>141</v>
      </c>
      <c r="J533" t="s">
        <v>240</v>
      </c>
      <c r="K533">
        <v>0</v>
      </c>
      <c r="L533" t="s">
        <v>77</v>
      </c>
    </row>
    <row r="534" spans="1:12">
      <c r="A534">
        <v>533</v>
      </c>
      <c r="B534" t="s">
        <v>131</v>
      </c>
      <c r="C534" t="s">
        <v>247</v>
      </c>
      <c r="D534">
        <v>1</v>
      </c>
      <c r="E534" t="s">
        <v>165</v>
      </c>
      <c r="F534">
        <v>3</v>
      </c>
      <c r="G534" t="s">
        <v>162</v>
      </c>
      <c r="H534" t="s">
        <v>167</v>
      </c>
      <c r="I534" t="s">
        <v>58</v>
      </c>
      <c r="J534" t="s">
        <v>58</v>
      </c>
      <c r="K534">
        <v>0</v>
      </c>
      <c r="L534" t="s">
        <v>77</v>
      </c>
    </row>
    <row r="535" spans="1:12">
      <c r="A535">
        <v>534</v>
      </c>
      <c r="B535" t="s">
        <v>131</v>
      </c>
      <c r="C535" t="s">
        <v>90</v>
      </c>
      <c r="D535">
        <v>1</v>
      </c>
      <c r="E535" t="s">
        <v>165</v>
      </c>
      <c r="F535">
        <v>3</v>
      </c>
      <c r="G535" t="s">
        <v>109</v>
      </c>
      <c r="H535" t="s">
        <v>151</v>
      </c>
      <c r="I535" t="s">
        <v>58</v>
      </c>
      <c r="J535" t="s">
        <v>58</v>
      </c>
      <c r="K535">
        <v>0</v>
      </c>
      <c r="L535" t="s">
        <v>77</v>
      </c>
    </row>
    <row r="536" spans="1:12">
      <c r="A536">
        <v>535</v>
      </c>
      <c r="B536" t="s">
        <v>245</v>
      </c>
      <c r="C536" t="s">
        <v>92</v>
      </c>
      <c r="D536">
        <v>3</v>
      </c>
      <c r="E536" t="s">
        <v>165</v>
      </c>
      <c r="F536">
        <v>3</v>
      </c>
      <c r="G536" t="s">
        <v>58</v>
      </c>
      <c r="H536" t="s">
        <v>58</v>
      </c>
      <c r="I536" t="s">
        <v>58</v>
      </c>
      <c r="J536" t="s">
        <v>58</v>
      </c>
      <c r="K536">
        <v>0</v>
      </c>
      <c r="L536" t="s">
        <v>77</v>
      </c>
    </row>
    <row r="537" spans="1:12">
      <c r="A537">
        <v>536</v>
      </c>
      <c r="B537" t="s">
        <v>245</v>
      </c>
      <c r="C537" t="s">
        <v>95</v>
      </c>
      <c r="D537">
        <v>3</v>
      </c>
      <c r="E537" t="s">
        <v>165</v>
      </c>
      <c r="F537">
        <v>3</v>
      </c>
      <c r="G537" t="s">
        <v>58</v>
      </c>
      <c r="H537" t="s">
        <v>58</v>
      </c>
      <c r="I537" t="s">
        <v>58</v>
      </c>
      <c r="J537" t="s">
        <v>58</v>
      </c>
      <c r="K537">
        <v>0</v>
      </c>
      <c r="L537" t="s">
        <v>77</v>
      </c>
    </row>
    <row r="538" spans="1:12">
      <c r="A538">
        <v>537</v>
      </c>
      <c r="B538" t="s">
        <v>131</v>
      </c>
      <c r="C538" t="s">
        <v>99</v>
      </c>
      <c r="D538">
        <v>4</v>
      </c>
      <c r="E538" t="s">
        <v>165</v>
      </c>
      <c r="F538">
        <v>3</v>
      </c>
      <c r="G538" t="s">
        <v>58</v>
      </c>
      <c r="H538" t="s">
        <v>58</v>
      </c>
      <c r="I538" t="s">
        <v>58</v>
      </c>
      <c r="J538" t="s">
        <v>58</v>
      </c>
      <c r="K538">
        <v>5</v>
      </c>
      <c r="L538" t="s">
        <v>77</v>
      </c>
    </row>
    <row r="539" spans="1:12">
      <c r="A539">
        <v>538</v>
      </c>
      <c r="B539" t="s">
        <v>131</v>
      </c>
      <c r="C539" t="s">
        <v>102</v>
      </c>
      <c r="D539">
        <v>4</v>
      </c>
      <c r="E539" t="s">
        <v>165</v>
      </c>
      <c r="F539">
        <v>3</v>
      </c>
      <c r="G539" t="s">
        <v>58</v>
      </c>
      <c r="H539" t="s">
        <v>58</v>
      </c>
      <c r="I539" t="s">
        <v>58</v>
      </c>
      <c r="J539" t="s">
        <v>58</v>
      </c>
      <c r="K539">
        <v>5</v>
      </c>
      <c r="L539" t="s">
        <v>77</v>
      </c>
    </row>
    <row r="540" spans="1:12">
      <c r="A540">
        <v>539</v>
      </c>
      <c r="B540" t="s">
        <v>180</v>
      </c>
      <c r="C540" t="s">
        <v>247</v>
      </c>
      <c r="D540">
        <v>0</v>
      </c>
      <c r="E540" t="s">
        <v>165</v>
      </c>
      <c r="F540">
        <v>3</v>
      </c>
      <c r="G540" t="s">
        <v>58</v>
      </c>
      <c r="H540" t="s">
        <v>58</v>
      </c>
      <c r="I540" t="s">
        <v>58</v>
      </c>
      <c r="J540" t="s">
        <v>58</v>
      </c>
      <c r="K540">
        <v>0</v>
      </c>
      <c r="L540" t="s">
        <v>77</v>
      </c>
    </row>
    <row r="541" spans="1:12">
      <c r="A541">
        <v>540</v>
      </c>
      <c r="B541" t="s">
        <v>131</v>
      </c>
      <c r="C541" t="s">
        <v>90</v>
      </c>
      <c r="D541">
        <v>2</v>
      </c>
      <c r="E541" t="s">
        <v>165</v>
      </c>
      <c r="F541">
        <v>3</v>
      </c>
      <c r="G541" t="s">
        <v>58</v>
      </c>
      <c r="H541" t="s">
        <v>58</v>
      </c>
      <c r="I541" t="s">
        <v>105</v>
      </c>
      <c r="J541" t="s">
        <v>244</v>
      </c>
      <c r="K541">
        <v>0</v>
      </c>
      <c r="L541" t="s">
        <v>77</v>
      </c>
    </row>
    <row r="542" spans="1:12">
      <c r="A542">
        <v>541</v>
      </c>
      <c r="B542" t="s">
        <v>131</v>
      </c>
      <c r="C542" t="s">
        <v>92</v>
      </c>
      <c r="D542">
        <v>1</v>
      </c>
      <c r="E542" t="s">
        <v>165</v>
      </c>
      <c r="F542">
        <v>3</v>
      </c>
      <c r="G542" t="s">
        <v>162</v>
      </c>
      <c r="H542" t="s">
        <v>167</v>
      </c>
      <c r="I542" t="s">
        <v>58</v>
      </c>
      <c r="J542" t="s">
        <v>58</v>
      </c>
      <c r="K542">
        <v>0</v>
      </c>
      <c r="L542" t="s">
        <v>77</v>
      </c>
    </row>
    <row r="543" spans="1:12">
      <c r="A543">
        <v>542</v>
      </c>
      <c r="B543" t="s">
        <v>131</v>
      </c>
      <c r="C543" t="s">
        <v>95</v>
      </c>
      <c r="D543">
        <v>1</v>
      </c>
      <c r="E543" t="s">
        <v>165</v>
      </c>
      <c r="F543">
        <v>3</v>
      </c>
      <c r="G543" t="s">
        <v>166</v>
      </c>
      <c r="H543" t="s">
        <v>167</v>
      </c>
      <c r="I543" t="s">
        <v>58</v>
      </c>
      <c r="J543" t="s">
        <v>58</v>
      </c>
      <c r="K543">
        <v>0</v>
      </c>
      <c r="L543" t="s">
        <v>77</v>
      </c>
    </row>
    <row r="544" spans="1:12">
      <c r="A544">
        <v>543</v>
      </c>
      <c r="B544" t="s">
        <v>245</v>
      </c>
      <c r="C544" t="s">
        <v>99</v>
      </c>
      <c r="D544">
        <v>3</v>
      </c>
      <c r="E544" t="s">
        <v>165</v>
      </c>
      <c r="F544">
        <v>3</v>
      </c>
      <c r="G544" t="s">
        <v>58</v>
      </c>
      <c r="H544" t="s">
        <v>58</v>
      </c>
      <c r="I544" t="s">
        <v>58</v>
      </c>
      <c r="J544" t="s">
        <v>58</v>
      </c>
      <c r="K544">
        <v>0</v>
      </c>
      <c r="L544" t="s">
        <v>77</v>
      </c>
    </row>
    <row r="545" spans="1:12">
      <c r="A545">
        <v>544</v>
      </c>
      <c r="B545" t="s">
        <v>245</v>
      </c>
      <c r="C545" t="s">
        <v>102</v>
      </c>
      <c r="D545">
        <v>3</v>
      </c>
      <c r="E545" t="s">
        <v>165</v>
      </c>
      <c r="F545">
        <v>3</v>
      </c>
      <c r="G545" t="s">
        <v>58</v>
      </c>
      <c r="H545" t="s">
        <v>58</v>
      </c>
      <c r="I545" t="s">
        <v>58</v>
      </c>
      <c r="J545" t="s">
        <v>58</v>
      </c>
      <c r="K545">
        <v>0</v>
      </c>
      <c r="L545" t="s">
        <v>77</v>
      </c>
    </row>
    <row r="546" spans="1:12">
      <c r="A546">
        <v>545</v>
      </c>
      <c r="B546" t="s">
        <v>245</v>
      </c>
      <c r="C546" t="s">
        <v>90</v>
      </c>
      <c r="D546">
        <v>1</v>
      </c>
      <c r="E546" t="s">
        <v>165</v>
      </c>
      <c r="F546">
        <v>3</v>
      </c>
      <c r="G546" t="s">
        <v>109</v>
      </c>
      <c r="H546" t="s">
        <v>151</v>
      </c>
      <c r="I546" t="s">
        <v>58</v>
      </c>
      <c r="J546" t="s">
        <v>58</v>
      </c>
      <c r="K546">
        <v>0</v>
      </c>
      <c r="L546" t="s">
        <v>77</v>
      </c>
    </row>
    <row r="547" spans="1:12">
      <c r="A547">
        <v>546</v>
      </c>
      <c r="B547" t="s">
        <v>131</v>
      </c>
      <c r="C547" t="s">
        <v>92</v>
      </c>
      <c r="D547">
        <v>3</v>
      </c>
      <c r="E547" t="s">
        <v>165</v>
      </c>
      <c r="F547">
        <v>3</v>
      </c>
      <c r="G547" t="s">
        <v>58</v>
      </c>
      <c r="H547" t="s">
        <v>58</v>
      </c>
      <c r="I547" t="s">
        <v>58</v>
      </c>
      <c r="J547" t="s">
        <v>58</v>
      </c>
      <c r="K547">
        <v>0</v>
      </c>
      <c r="L547" t="s">
        <v>77</v>
      </c>
    </row>
    <row r="548" spans="1:12">
      <c r="A548">
        <v>547</v>
      </c>
      <c r="B548" t="s">
        <v>131</v>
      </c>
      <c r="C548" t="s">
        <v>95</v>
      </c>
      <c r="D548">
        <v>3</v>
      </c>
      <c r="E548" t="s">
        <v>165</v>
      </c>
      <c r="F548">
        <v>3</v>
      </c>
      <c r="G548" t="s">
        <v>58</v>
      </c>
      <c r="H548" t="s">
        <v>58</v>
      </c>
      <c r="I548" t="s">
        <v>58</v>
      </c>
      <c r="J548" t="s">
        <v>58</v>
      </c>
      <c r="K548">
        <v>0</v>
      </c>
      <c r="L548" t="s">
        <v>77</v>
      </c>
    </row>
    <row r="549" spans="1:12">
      <c r="A549">
        <v>548</v>
      </c>
      <c r="B549" t="s">
        <v>131</v>
      </c>
      <c r="C549" t="s">
        <v>99</v>
      </c>
      <c r="D549">
        <v>4</v>
      </c>
      <c r="E549" t="s">
        <v>165</v>
      </c>
      <c r="F549">
        <v>3</v>
      </c>
      <c r="G549" t="s">
        <v>58</v>
      </c>
      <c r="H549" t="s">
        <v>58</v>
      </c>
      <c r="I549" t="s">
        <v>58</v>
      </c>
      <c r="J549" t="s">
        <v>58</v>
      </c>
      <c r="K549">
        <v>5</v>
      </c>
      <c r="L549" t="s">
        <v>77</v>
      </c>
    </row>
    <row r="550" spans="1:12">
      <c r="A550">
        <v>549</v>
      </c>
      <c r="B550" t="s">
        <v>131</v>
      </c>
      <c r="C550" t="s">
        <v>102</v>
      </c>
      <c r="D550">
        <v>4</v>
      </c>
      <c r="E550" t="s">
        <v>165</v>
      </c>
      <c r="F550">
        <v>3</v>
      </c>
      <c r="G550" t="s">
        <v>58</v>
      </c>
      <c r="H550" t="s">
        <v>58</v>
      </c>
      <c r="I550" t="s">
        <v>58</v>
      </c>
      <c r="J550" t="s">
        <v>58</v>
      </c>
      <c r="K550">
        <v>5</v>
      </c>
      <c r="L550" t="s">
        <v>77</v>
      </c>
    </row>
    <row r="551" spans="1:12">
      <c r="A551">
        <v>550</v>
      </c>
      <c r="B551" t="s">
        <v>180</v>
      </c>
      <c r="C551" t="s">
        <v>247</v>
      </c>
      <c r="D551">
        <v>0</v>
      </c>
      <c r="E551" t="s">
        <v>165</v>
      </c>
      <c r="F551">
        <v>3</v>
      </c>
      <c r="G551" t="s">
        <v>58</v>
      </c>
      <c r="H551" t="s">
        <v>58</v>
      </c>
      <c r="I551" t="s">
        <v>58</v>
      </c>
      <c r="J551" t="s">
        <v>58</v>
      </c>
      <c r="K551">
        <v>0</v>
      </c>
      <c r="L551" t="s">
        <v>77</v>
      </c>
    </row>
    <row r="552" spans="1:12">
      <c r="A552">
        <v>551</v>
      </c>
      <c r="B552" t="s">
        <v>131</v>
      </c>
      <c r="C552" t="s">
        <v>102</v>
      </c>
      <c r="D552">
        <v>5</v>
      </c>
      <c r="E552" t="s">
        <v>165</v>
      </c>
      <c r="F552">
        <v>3</v>
      </c>
      <c r="G552" t="s">
        <v>58</v>
      </c>
      <c r="H552" t="s">
        <v>58</v>
      </c>
      <c r="I552" t="s">
        <v>58</v>
      </c>
      <c r="J552" t="s">
        <v>58</v>
      </c>
      <c r="K552">
        <v>0</v>
      </c>
      <c r="L552" t="s">
        <v>77</v>
      </c>
    </row>
    <row r="553" spans="1:12">
      <c r="A553">
        <v>552</v>
      </c>
      <c r="B553" t="s">
        <v>131</v>
      </c>
      <c r="C553" t="s">
        <v>247</v>
      </c>
      <c r="D553">
        <v>2</v>
      </c>
      <c r="E553" t="s">
        <v>165</v>
      </c>
      <c r="F553">
        <v>3</v>
      </c>
      <c r="G553" t="s">
        <v>58</v>
      </c>
      <c r="H553" t="s">
        <v>58</v>
      </c>
      <c r="I553" t="s">
        <v>153</v>
      </c>
      <c r="J553" t="s">
        <v>233</v>
      </c>
      <c r="K553">
        <v>0</v>
      </c>
      <c r="L553" t="s">
        <v>77</v>
      </c>
    </row>
    <row r="554" spans="1:12">
      <c r="A554">
        <v>553</v>
      </c>
      <c r="B554" t="s">
        <v>131</v>
      </c>
      <c r="C554" t="s">
        <v>90</v>
      </c>
      <c r="D554">
        <v>2</v>
      </c>
      <c r="E554" t="s">
        <v>165</v>
      </c>
      <c r="F554">
        <v>3</v>
      </c>
      <c r="G554" t="s">
        <v>58</v>
      </c>
      <c r="H554" t="s">
        <v>58</v>
      </c>
      <c r="I554" t="s">
        <v>105</v>
      </c>
      <c r="J554" t="s">
        <v>244</v>
      </c>
      <c r="K554">
        <v>0</v>
      </c>
      <c r="L554" t="s">
        <v>77</v>
      </c>
    </row>
    <row r="555" spans="1:12">
      <c r="A555">
        <v>554</v>
      </c>
      <c r="B555" t="s">
        <v>131</v>
      </c>
      <c r="C555" t="s">
        <v>92</v>
      </c>
      <c r="D555">
        <v>1</v>
      </c>
      <c r="E555" t="s">
        <v>165</v>
      </c>
      <c r="F555">
        <v>3</v>
      </c>
      <c r="G555" t="s">
        <v>162</v>
      </c>
      <c r="H555" t="s">
        <v>167</v>
      </c>
      <c r="I555" t="s">
        <v>58</v>
      </c>
      <c r="J555" t="s">
        <v>58</v>
      </c>
      <c r="K555">
        <v>0</v>
      </c>
      <c r="L555" t="s">
        <v>77</v>
      </c>
    </row>
    <row r="556" spans="1:12">
      <c r="A556">
        <v>555</v>
      </c>
      <c r="B556" t="s">
        <v>131</v>
      </c>
      <c r="C556" t="s">
        <v>95</v>
      </c>
      <c r="D556">
        <v>1</v>
      </c>
      <c r="E556" t="s">
        <v>165</v>
      </c>
      <c r="F556">
        <v>3</v>
      </c>
      <c r="G556" t="s">
        <v>166</v>
      </c>
      <c r="H556" t="s">
        <v>167</v>
      </c>
      <c r="I556" t="s">
        <v>58</v>
      </c>
      <c r="J556" t="s">
        <v>58</v>
      </c>
      <c r="K556">
        <v>0</v>
      </c>
      <c r="L556" t="s">
        <v>77</v>
      </c>
    </row>
    <row r="557" spans="1:12">
      <c r="A557">
        <v>556</v>
      </c>
      <c r="B557" t="s">
        <v>245</v>
      </c>
      <c r="C557" t="s">
        <v>99</v>
      </c>
      <c r="D557">
        <v>3</v>
      </c>
      <c r="E557" t="s">
        <v>165</v>
      </c>
      <c r="F557">
        <v>3</v>
      </c>
      <c r="G557" t="s">
        <v>58</v>
      </c>
      <c r="H557" t="s">
        <v>58</v>
      </c>
      <c r="I557" t="s">
        <v>58</v>
      </c>
      <c r="J557" t="s">
        <v>58</v>
      </c>
      <c r="K557">
        <v>0</v>
      </c>
      <c r="L557" t="s">
        <v>77</v>
      </c>
    </row>
    <row r="558" spans="1:12">
      <c r="A558">
        <v>557</v>
      </c>
      <c r="B558" t="s">
        <v>245</v>
      </c>
      <c r="C558" t="s">
        <v>102</v>
      </c>
      <c r="D558">
        <v>5</v>
      </c>
      <c r="E558" t="s">
        <v>165</v>
      </c>
      <c r="F558">
        <v>3</v>
      </c>
      <c r="G558" t="s">
        <v>58</v>
      </c>
      <c r="H558" t="s">
        <v>58</v>
      </c>
      <c r="I558" t="s">
        <v>58</v>
      </c>
      <c r="J558" t="s">
        <v>58</v>
      </c>
      <c r="K558">
        <v>0</v>
      </c>
      <c r="L558" t="s">
        <v>77</v>
      </c>
    </row>
    <row r="559" spans="1:12">
      <c r="A559">
        <v>558</v>
      </c>
      <c r="B559" t="s">
        <v>245</v>
      </c>
      <c r="C559" t="s">
        <v>247</v>
      </c>
      <c r="D559">
        <v>2</v>
      </c>
      <c r="E559" t="s">
        <v>165</v>
      </c>
      <c r="F559">
        <v>3</v>
      </c>
      <c r="G559" t="s">
        <v>58</v>
      </c>
      <c r="H559" t="s">
        <v>58</v>
      </c>
      <c r="I559" t="s">
        <v>153</v>
      </c>
      <c r="J559" t="s">
        <v>233</v>
      </c>
      <c r="K559">
        <v>0</v>
      </c>
      <c r="L559" t="s">
        <v>77</v>
      </c>
    </row>
    <row r="560" spans="1:12">
      <c r="A560">
        <v>559</v>
      </c>
      <c r="B560" t="s">
        <v>131</v>
      </c>
      <c r="C560" t="s">
        <v>90</v>
      </c>
      <c r="D560">
        <v>2</v>
      </c>
      <c r="E560" t="s">
        <v>165</v>
      </c>
      <c r="F560">
        <v>3</v>
      </c>
      <c r="G560" t="s">
        <v>58</v>
      </c>
      <c r="H560" t="s">
        <v>58</v>
      </c>
      <c r="I560" t="s">
        <v>105</v>
      </c>
      <c r="J560" t="s">
        <v>244</v>
      </c>
      <c r="K560">
        <v>0</v>
      </c>
      <c r="L560" t="s">
        <v>77</v>
      </c>
    </row>
    <row r="561" spans="1:12">
      <c r="A561">
        <v>560</v>
      </c>
      <c r="B561" t="s">
        <v>131</v>
      </c>
      <c r="C561" t="s">
        <v>92</v>
      </c>
      <c r="D561">
        <v>1</v>
      </c>
      <c r="E561" t="s">
        <v>165</v>
      </c>
      <c r="F561">
        <v>3</v>
      </c>
      <c r="G561" t="s">
        <v>162</v>
      </c>
      <c r="H561" t="s">
        <v>167</v>
      </c>
      <c r="I561" t="s">
        <v>58</v>
      </c>
      <c r="J561" t="s">
        <v>58</v>
      </c>
      <c r="K561">
        <v>0</v>
      </c>
      <c r="L561" t="s">
        <v>77</v>
      </c>
    </row>
    <row r="562" spans="1:12">
      <c r="A562">
        <v>561</v>
      </c>
      <c r="B562" t="s">
        <v>131</v>
      </c>
      <c r="C562" t="s">
        <v>95</v>
      </c>
      <c r="D562">
        <v>1</v>
      </c>
      <c r="E562" t="s">
        <v>165</v>
      </c>
      <c r="F562">
        <v>3</v>
      </c>
      <c r="G562" t="s">
        <v>166</v>
      </c>
      <c r="H562" t="s">
        <v>167</v>
      </c>
      <c r="I562" t="s">
        <v>58</v>
      </c>
      <c r="J562" t="s">
        <v>58</v>
      </c>
      <c r="K562">
        <v>0</v>
      </c>
      <c r="L562" t="s">
        <v>77</v>
      </c>
    </row>
    <row r="563" spans="1:12">
      <c r="A563">
        <v>562</v>
      </c>
      <c r="B563" t="s">
        <v>245</v>
      </c>
      <c r="C563" t="s">
        <v>99</v>
      </c>
      <c r="D563">
        <v>3</v>
      </c>
      <c r="E563" t="s">
        <v>165</v>
      </c>
      <c r="F563">
        <v>3</v>
      </c>
      <c r="G563" t="s">
        <v>58</v>
      </c>
      <c r="H563" t="s">
        <v>58</v>
      </c>
      <c r="I563" t="s">
        <v>58</v>
      </c>
      <c r="J563" t="s">
        <v>58</v>
      </c>
      <c r="K563">
        <v>0</v>
      </c>
      <c r="L563" t="s">
        <v>77</v>
      </c>
    </row>
    <row r="564" spans="1:12">
      <c r="A564">
        <v>563</v>
      </c>
      <c r="B564" t="s">
        <v>245</v>
      </c>
      <c r="C564" t="s">
        <v>102</v>
      </c>
      <c r="D564">
        <v>3</v>
      </c>
      <c r="E564" t="s">
        <v>165</v>
      </c>
      <c r="F564">
        <v>3</v>
      </c>
      <c r="G564" t="s">
        <v>58</v>
      </c>
      <c r="H564" t="s">
        <v>58</v>
      </c>
      <c r="I564" t="s">
        <v>58</v>
      </c>
      <c r="J564" t="s">
        <v>58</v>
      </c>
      <c r="K564">
        <v>0</v>
      </c>
      <c r="L564" t="s">
        <v>77</v>
      </c>
    </row>
    <row r="565" spans="1:12">
      <c r="A565">
        <v>564</v>
      </c>
      <c r="B565" t="s">
        <v>131</v>
      </c>
      <c r="C565" t="s">
        <v>247</v>
      </c>
      <c r="D565">
        <v>4</v>
      </c>
      <c r="E565" t="s">
        <v>165</v>
      </c>
      <c r="F565">
        <v>3</v>
      </c>
      <c r="G565" t="s">
        <v>58</v>
      </c>
      <c r="H565" t="s">
        <v>58</v>
      </c>
      <c r="I565" t="s">
        <v>58</v>
      </c>
      <c r="J565" t="s">
        <v>58</v>
      </c>
      <c r="K565">
        <v>5</v>
      </c>
      <c r="L565" t="s">
        <v>77</v>
      </c>
    </row>
    <row r="566" spans="1:12">
      <c r="A566">
        <v>565</v>
      </c>
      <c r="B566" t="s">
        <v>131</v>
      </c>
      <c r="C566" t="s">
        <v>90</v>
      </c>
      <c r="D566">
        <v>4</v>
      </c>
      <c r="E566" t="s">
        <v>165</v>
      </c>
      <c r="F566">
        <v>3</v>
      </c>
      <c r="G566" t="s">
        <v>58</v>
      </c>
      <c r="H566" t="s">
        <v>58</v>
      </c>
      <c r="I566" t="s">
        <v>58</v>
      </c>
      <c r="J566" t="s">
        <v>58</v>
      </c>
      <c r="K566">
        <v>5</v>
      </c>
      <c r="L566" t="s">
        <v>77</v>
      </c>
    </row>
    <row r="567" spans="1:12">
      <c r="A567">
        <v>566</v>
      </c>
      <c r="B567" t="s">
        <v>131</v>
      </c>
      <c r="C567" t="s">
        <v>92</v>
      </c>
      <c r="D567">
        <v>5</v>
      </c>
      <c r="E567" t="s">
        <v>165</v>
      </c>
      <c r="F567">
        <v>3</v>
      </c>
      <c r="G567" t="s">
        <v>58</v>
      </c>
      <c r="H567" t="s">
        <v>58</v>
      </c>
      <c r="I567" t="s">
        <v>58</v>
      </c>
      <c r="J567" t="s">
        <v>58</v>
      </c>
      <c r="K567">
        <v>0</v>
      </c>
      <c r="L567" t="s">
        <v>77</v>
      </c>
    </row>
    <row r="568" spans="1:12">
      <c r="A568">
        <v>567</v>
      </c>
      <c r="B568" t="s">
        <v>131</v>
      </c>
      <c r="C568" t="s">
        <v>95</v>
      </c>
      <c r="D568">
        <v>5</v>
      </c>
      <c r="E568" t="s">
        <v>165</v>
      </c>
      <c r="F568">
        <v>3</v>
      </c>
      <c r="G568" t="s">
        <v>58</v>
      </c>
      <c r="H568" t="s">
        <v>58</v>
      </c>
      <c r="I568" t="s">
        <v>58</v>
      </c>
      <c r="J568" t="s">
        <v>58</v>
      </c>
      <c r="K568">
        <v>0</v>
      </c>
      <c r="L568" t="s">
        <v>77</v>
      </c>
    </row>
    <row r="569" spans="1:12">
      <c r="A569">
        <v>568</v>
      </c>
      <c r="B569" t="s">
        <v>131</v>
      </c>
      <c r="C569" t="s">
        <v>99</v>
      </c>
      <c r="D569">
        <v>2</v>
      </c>
      <c r="E569" t="s">
        <v>165</v>
      </c>
      <c r="F569">
        <v>3</v>
      </c>
      <c r="G569" t="s">
        <v>58</v>
      </c>
      <c r="H569" t="s">
        <v>58</v>
      </c>
      <c r="I569" t="s">
        <v>119</v>
      </c>
      <c r="J569" t="s">
        <v>239</v>
      </c>
      <c r="K569">
        <v>0</v>
      </c>
      <c r="L569" t="s">
        <v>77</v>
      </c>
    </row>
    <row r="570" spans="1:12">
      <c r="A570">
        <v>569</v>
      </c>
      <c r="B570" t="s">
        <v>131</v>
      </c>
      <c r="C570" t="s">
        <v>102</v>
      </c>
      <c r="D570">
        <v>2</v>
      </c>
      <c r="E570" t="s">
        <v>165</v>
      </c>
      <c r="F570">
        <v>3</v>
      </c>
      <c r="G570" t="s">
        <v>58</v>
      </c>
      <c r="H570" t="s">
        <v>58</v>
      </c>
      <c r="I570" t="s">
        <v>141</v>
      </c>
      <c r="J570" t="s">
        <v>240</v>
      </c>
      <c r="K570">
        <v>0</v>
      </c>
      <c r="L570" t="s">
        <v>77</v>
      </c>
    </row>
    <row r="571" spans="1:12">
      <c r="A571">
        <v>570</v>
      </c>
      <c r="B571" t="s">
        <v>245</v>
      </c>
      <c r="C571" t="s">
        <v>247</v>
      </c>
      <c r="D571">
        <v>1</v>
      </c>
      <c r="E571" t="s">
        <v>165</v>
      </c>
      <c r="F571">
        <v>3</v>
      </c>
      <c r="G571" t="s">
        <v>162</v>
      </c>
      <c r="H571" t="s">
        <v>167</v>
      </c>
      <c r="I571" t="s">
        <v>58</v>
      </c>
      <c r="J571" t="s">
        <v>58</v>
      </c>
      <c r="K571">
        <v>0</v>
      </c>
      <c r="L571" t="s">
        <v>77</v>
      </c>
    </row>
    <row r="572" spans="1:12">
      <c r="A572">
        <v>571</v>
      </c>
      <c r="B572" t="s">
        <v>245</v>
      </c>
      <c r="C572" t="s">
        <v>90</v>
      </c>
      <c r="D572">
        <v>1</v>
      </c>
      <c r="E572" t="s">
        <v>165</v>
      </c>
      <c r="F572">
        <v>3</v>
      </c>
      <c r="G572" t="s">
        <v>109</v>
      </c>
      <c r="H572" t="s">
        <v>151</v>
      </c>
      <c r="I572" t="s">
        <v>58</v>
      </c>
      <c r="J572" t="s">
        <v>58</v>
      </c>
      <c r="K572">
        <v>0</v>
      </c>
      <c r="L572" t="s">
        <v>77</v>
      </c>
    </row>
    <row r="573" spans="1:12">
      <c r="A573">
        <v>572</v>
      </c>
      <c r="B573" t="s">
        <v>131</v>
      </c>
      <c r="C573" t="s">
        <v>92</v>
      </c>
      <c r="D573">
        <v>3</v>
      </c>
      <c r="E573" t="s">
        <v>165</v>
      </c>
      <c r="F573">
        <v>3</v>
      </c>
      <c r="G573" t="s">
        <v>58</v>
      </c>
      <c r="H573" t="s">
        <v>58</v>
      </c>
      <c r="I573" t="s">
        <v>58</v>
      </c>
      <c r="J573" t="s">
        <v>58</v>
      </c>
      <c r="K573">
        <v>0</v>
      </c>
      <c r="L573" t="s">
        <v>77</v>
      </c>
    </row>
    <row r="574" spans="1:12">
      <c r="A574">
        <v>573</v>
      </c>
      <c r="B574" t="s">
        <v>131</v>
      </c>
      <c r="C574" t="s">
        <v>95</v>
      </c>
      <c r="D574">
        <v>3</v>
      </c>
      <c r="E574" t="s">
        <v>165</v>
      </c>
      <c r="F574">
        <v>3</v>
      </c>
      <c r="G574" t="s">
        <v>58</v>
      </c>
      <c r="H574" t="s">
        <v>58</v>
      </c>
      <c r="I574" t="s">
        <v>58</v>
      </c>
      <c r="J574" t="s">
        <v>58</v>
      </c>
      <c r="K574">
        <v>0</v>
      </c>
      <c r="L574" t="s">
        <v>77</v>
      </c>
    </row>
    <row r="575" spans="1:12">
      <c r="A575">
        <v>574</v>
      </c>
      <c r="B575" t="s">
        <v>131</v>
      </c>
      <c r="C575" t="s">
        <v>99</v>
      </c>
      <c r="D575">
        <v>4</v>
      </c>
      <c r="E575" t="s">
        <v>165</v>
      </c>
      <c r="F575">
        <v>3</v>
      </c>
      <c r="G575" t="s">
        <v>58</v>
      </c>
      <c r="H575" t="s">
        <v>58</v>
      </c>
      <c r="I575" t="s">
        <v>58</v>
      </c>
      <c r="J575" t="s">
        <v>58</v>
      </c>
      <c r="K575">
        <v>5</v>
      </c>
      <c r="L575" t="s">
        <v>77</v>
      </c>
    </row>
    <row r="576" spans="1:12">
      <c r="A576">
        <v>575</v>
      </c>
      <c r="B576" t="s">
        <v>131</v>
      </c>
      <c r="C576" t="s">
        <v>102</v>
      </c>
      <c r="D576">
        <v>4</v>
      </c>
      <c r="E576" t="s">
        <v>165</v>
      </c>
      <c r="F576">
        <v>3</v>
      </c>
      <c r="G576" t="s">
        <v>58</v>
      </c>
      <c r="H576" t="s">
        <v>58</v>
      </c>
      <c r="I576" t="s">
        <v>58</v>
      </c>
      <c r="J576" t="s">
        <v>58</v>
      </c>
      <c r="K576">
        <v>5</v>
      </c>
      <c r="L576" t="s">
        <v>77</v>
      </c>
    </row>
    <row r="577" spans="1:12">
      <c r="A577">
        <v>576</v>
      </c>
      <c r="B577" t="s">
        <v>180</v>
      </c>
      <c r="C577" t="s">
        <v>247</v>
      </c>
      <c r="D577">
        <v>0</v>
      </c>
      <c r="E577" t="s">
        <v>165</v>
      </c>
      <c r="F577">
        <v>3</v>
      </c>
      <c r="G577" t="s">
        <v>58</v>
      </c>
      <c r="H577" t="s">
        <v>58</v>
      </c>
      <c r="I577" t="s">
        <v>58</v>
      </c>
      <c r="J577" t="s">
        <v>58</v>
      </c>
      <c r="K577">
        <v>0</v>
      </c>
      <c r="L577" t="s">
        <v>77</v>
      </c>
    </row>
    <row r="578" spans="1:12">
      <c r="A578">
        <v>577</v>
      </c>
      <c r="B578" t="s">
        <v>131</v>
      </c>
      <c r="C578" t="s">
        <v>102</v>
      </c>
      <c r="D578">
        <v>5</v>
      </c>
      <c r="E578" t="s">
        <v>165</v>
      </c>
      <c r="F578">
        <v>3</v>
      </c>
      <c r="G578" t="s">
        <v>58</v>
      </c>
      <c r="H578" t="s">
        <v>58</v>
      </c>
      <c r="I578" t="s">
        <v>58</v>
      </c>
      <c r="J578" t="s">
        <v>58</v>
      </c>
      <c r="K578">
        <v>0</v>
      </c>
      <c r="L578" t="s">
        <v>77</v>
      </c>
    </row>
    <row r="579" spans="1:12">
      <c r="A579">
        <v>578</v>
      </c>
      <c r="B579" t="s">
        <v>131</v>
      </c>
      <c r="C579" t="s">
        <v>247</v>
      </c>
      <c r="D579">
        <v>2</v>
      </c>
      <c r="E579" t="s">
        <v>165</v>
      </c>
      <c r="F579">
        <v>3</v>
      </c>
      <c r="G579" t="s">
        <v>58</v>
      </c>
      <c r="H579" t="s">
        <v>58</v>
      </c>
      <c r="I579" t="s">
        <v>153</v>
      </c>
      <c r="J579" t="s">
        <v>233</v>
      </c>
      <c r="K579">
        <v>0</v>
      </c>
      <c r="L579" t="s">
        <v>77</v>
      </c>
    </row>
    <row r="580" spans="1:12">
      <c r="A580">
        <v>579</v>
      </c>
      <c r="B580" t="s">
        <v>131</v>
      </c>
      <c r="C580" t="s">
        <v>90</v>
      </c>
      <c r="D580">
        <v>2</v>
      </c>
      <c r="E580" t="s">
        <v>165</v>
      </c>
      <c r="F580">
        <v>3</v>
      </c>
      <c r="G580" t="s">
        <v>58</v>
      </c>
      <c r="H580" t="s">
        <v>58</v>
      </c>
      <c r="I580" t="s">
        <v>105</v>
      </c>
      <c r="J580" t="s">
        <v>244</v>
      </c>
      <c r="K580">
        <v>0</v>
      </c>
      <c r="L580" t="s">
        <v>77</v>
      </c>
    </row>
    <row r="581" spans="1:12">
      <c r="A581">
        <v>580</v>
      </c>
      <c r="B581" t="s">
        <v>131</v>
      </c>
      <c r="C581" t="s">
        <v>92</v>
      </c>
      <c r="D581">
        <v>1</v>
      </c>
      <c r="E581" t="s">
        <v>165</v>
      </c>
      <c r="F581">
        <v>3</v>
      </c>
      <c r="G581" t="s">
        <v>162</v>
      </c>
      <c r="H581" t="s">
        <v>167</v>
      </c>
      <c r="I581" t="s">
        <v>58</v>
      </c>
      <c r="J581" t="s">
        <v>58</v>
      </c>
      <c r="K581">
        <v>0</v>
      </c>
      <c r="L581" t="s">
        <v>77</v>
      </c>
    </row>
    <row r="582" spans="1:12">
      <c r="A582">
        <v>581</v>
      </c>
      <c r="B582" t="s">
        <v>131</v>
      </c>
      <c r="C582" t="s">
        <v>95</v>
      </c>
      <c r="D582">
        <v>1</v>
      </c>
      <c r="E582" t="s">
        <v>165</v>
      </c>
      <c r="F582">
        <v>3</v>
      </c>
      <c r="G582" t="s">
        <v>166</v>
      </c>
      <c r="H582" t="s">
        <v>167</v>
      </c>
      <c r="I582" t="s">
        <v>58</v>
      </c>
      <c r="J582" t="s">
        <v>58</v>
      </c>
      <c r="K582">
        <v>0</v>
      </c>
      <c r="L582" t="s">
        <v>77</v>
      </c>
    </row>
    <row r="583" spans="1:12">
      <c r="A583">
        <v>582</v>
      </c>
      <c r="B583" t="s">
        <v>245</v>
      </c>
      <c r="C583" t="s">
        <v>99</v>
      </c>
      <c r="D583">
        <v>3</v>
      </c>
      <c r="E583" t="s">
        <v>165</v>
      </c>
      <c r="F583">
        <v>3</v>
      </c>
      <c r="G583" t="s">
        <v>58</v>
      </c>
      <c r="H583" t="s">
        <v>58</v>
      </c>
      <c r="I583" t="s">
        <v>58</v>
      </c>
      <c r="J583" t="s">
        <v>58</v>
      </c>
      <c r="K583">
        <v>0</v>
      </c>
      <c r="L583" t="s">
        <v>77</v>
      </c>
    </row>
    <row r="584" spans="1:12">
      <c r="A584">
        <v>583</v>
      </c>
      <c r="B584" t="s">
        <v>245</v>
      </c>
      <c r="C584" t="s">
        <v>102</v>
      </c>
      <c r="D584">
        <v>3</v>
      </c>
      <c r="E584" t="s">
        <v>165</v>
      </c>
      <c r="F584">
        <v>3</v>
      </c>
      <c r="G584" t="s">
        <v>58</v>
      </c>
      <c r="H584" t="s">
        <v>58</v>
      </c>
      <c r="I584" t="s">
        <v>58</v>
      </c>
      <c r="J584" t="s">
        <v>58</v>
      </c>
      <c r="K584">
        <v>0</v>
      </c>
      <c r="L584" t="s">
        <v>77</v>
      </c>
    </row>
    <row r="585" spans="1:12">
      <c r="A585">
        <v>584</v>
      </c>
      <c r="B585" t="s">
        <v>131</v>
      </c>
      <c r="C585" t="s">
        <v>247</v>
      </c>
      <c r="D585">
        <v>4</v>
      </c>
      <c r="E585" t="s">
        <v>165</v>
      </c>
      <c r="F585">
        <v>3</v>
      </c>
      <c r="G585" t="s">
        <v>58</v>
      </c>
      <c r="H585" t="s">
        <v>58</v>
      </c>
      <c r="I585" t="s">
        <v>58</v>
      </c>
      <c r="J585" t="s">
        <v>58</v>
      </c>
      <c r="K585">
        <v>5</v>
      </c>
      <c r="L585" t="s">
        <v>77</v>
      </c>
    </row>
    <row r="586" spans="1:12">
      <c r="A586">
        <v>585</v>
      </c>
      <c r="B586" t="s">
        <v>131</v>
      </c>
      <c r="C586" t="s">
        <v>90</v>
      </c>
      <c r="D586">
        <v>4</v>
      </c>
      <c r="E586" t="s">
        <v>165</v>
      </c>
      <c r="F586">
        <v>3</v>
      </c>
      <c r="G586" t="s">
        <v>58</v>
      </c>
      <c r="H586" t="s">
        <v>58</v>
      </c>
      <c r="I586" t="s">
        <v>58</v>
      </c>
      <c r="J586" t="s">
        <v>58</v>
      </c>
      <c r="K586">
        <v>5</v>
      </c>
      <c r="L586" t="s">
        <v>77</v>
      </c>
    </row>
    <row r="587" spans="1:12">
      <c r="A587">
        <v>586</v>
      </c>
      <c r="B587" t="s">
        <v>131</v>
      </c>
      <c r="C587" t="s">
        <v>92</v>
      </c>
      <c r="D587">
        <v>5</v>
      </c>
      <c r="E587" t="s">
        <v>165</v>
      </c>
      <c r="F587">
        <v>3</v>
      </c>
      <c r="G587" t="s">
        <v>58</v>
      </c>
      <c r="H587" t="s">
        <v>58</v>
      </c>
      <c r="I587" t="s">
        <v>58</v>
      </c>
      <c r="J587" t="s">
        <v>58</v>
      </c>
      <c r="K587">
        <v>0</v>
      </c>
      <c r="L587" t="s">
        <v>77</v>
      </c>
    </row>
    <row r="588" spans="1:12">
      <c r="A588">
        <v>587</v>
      </c>
      <c r="B588" t="s">
        <v>245</v>
      </c>
      <c r="C588" t="s">
        <v>95</v>
      </c>
      <c r="D588">
        <v>5</v>
      </c>
      <c r="E588" t="s">
        <v>165</v>
      </c>
      <c r="F588">
        <v>3</v>
      </c>
      <c r="G588" t="s">
        <v>58</v>
      </c>
      <c r="H588" t="s">
        <v>58</v>
      </c>
      <c r="I588" t="s">
        <v>58</v>
      </c>
      <c r="J588" t="s">
        <v>58</v>
      </c>
      <c r="K588">
        <v>0</v>
      </c>
      <c r="L588" t="s">
        <v>77</v>
      </c>
    </row>
    <row r="589" spans="1:12">
      <c r="A589">
        <v>588</v>
      </c>
      <c r="B589" t="s">
        <v>131</v>
      </c>
      <c r="C589" t="s">
        <v>99</v>
      </c>
      <c r="D589">
        <v>2</v>
      </c>
      <c r="E589" t="s">
        <v>165</v>
      </c>
      <c r="F589">
        <v>3</v>
      </c>
      <c r="G589" t="s">
        <v>58</v>
      </c>
      <c r="H589" t="s">
        <v>58</v>
      </c>
      <c r="I589" t="s">
        <v>119</v>
      </c>
      <c r="J589" t="s">
        <v>239</v>
      </c>
      <c r="K589">
        <v>0</v>
      </c>
      <c r="L589" t="s">
        <v>77</v>
      </c>
    </row>
    <row r="590" spans="1:12">
      <c r="A590">
        <v>589</v>
      </c>
      <c r="B590" t="s">
        <v>131</v>
      </c>
      <c r="C590" t="s">
        <v>102</v>
      </c>
      <c r="D590">
        <v>2</v>
      </c>
      <c r="E590" t="s">
        <v>165</v>
      </c>
      <c r="F590">
        <v>3</v>
      </c>
      <c r="G590" t="s">
        <v>58</v>
      </c>
      <c r="H590" t="s">
        <v>58</v>
      </c>
      <c r="I590" t="s">
        <v>141</v>
      </c>
      <c r="J590" t="s">
        <v>240</v>
      </c>
      <c r="K590">
        <v>0</v>
      </c>
      <c r="L590" t="s">
        <v>77</v>
      </c>
    </row>
    <row r="591" spans="1:12">
      <c r="A591">
        <v>590</v>
      </c>
      <c r="B591" t="s">
        <v>131</v>
      </c>
      <c r="C591" t="s">
        <v>247</v>
      </c>
      <c r="D591">
        <v>1</v>
      </c>
      <c r="E591" t="s">
        <v>165</v>
      </c>
      <c r="F591">
        <v>3</v>
      </c>
      <c r="G591" t="s">
        <v>162</v>
      </c>
      <c r="H591" t="s">
        <v>167</v>
      </c>
      <c r="I591" t="s">
        <v>58</v>
      </c>
      <c r="J591" t="s">
        <v>58</v>
      </c>
      <c r="K591">
        <v>0</v>
      </c>
      <c r="L591" t="s">
        <v>77</v>
      </c>
    </row>
    <row r="592" spans="1:12">
      <c r="A592">
        <v>591</v>
      </c>
      <c r="B592" t="s">
        <v>131</v>
      </c>
      <c r="C592" t="s">
        <v>90</v>
      </c>
      <c r="D592">
        <v>1</v>
      </c>
      <c r="E592" t="s">
        <v>165</v>
      </c>
      <c r="F592">
        <v>3</v>
      </c>
      <c r="G592" t="s">
        <v>109</v>
      </c>
      <c r="H592" t="s">
        <v>151</v>
      </c>
      <c r="I592" t="s">
        <v>58</v>
      </c>
      <c r="J592" t="s">
        <v>58</v>
      </c>
      <c r="K592">
        <v>0</v>
      </c>
      <c r="L592" t="s">
        <v>77</v>
      </c>
    </row>
    <row r="593" spans="1:12">
      <c r="A593">
        <v>592</v>
      </c>
      <c r="B593" t="s">
        <v>245</v>
      </c>
      <c r="C593" t="s">
        <v>92</v>
      </c>
      <c r="D593">
        <v>3</v>
      </c>
      <c r="E593" t="s">
        <v>165</v>
      </c>
      <c r="F593">
        <v>3</v>
      </c>
      <c r="G593" t="s">
        <v>58</v>
      </c>
      <c r="H593" t="s">
        <v>58</v>
      </c>
      <c r="I593" t="s">
        <v>58</v>
      </c>
      <c r="J593" t="s">
        <v>58</v>
      </c>
      <c r="K593">
        <v>0</v>
      </c>
      <c r="L593" t="s">
        <v>77</v>
      </c>
    </row>
    <row r="594" spans="1:12">
      <c r="A594">
        <v>593</v>
      </c>
      <c r="B594" t="s">
        <v>245</v>
      </c>
      <c r="C594" t="s">
        <v>95</v>
      </c>
      <c r="D594">
        <v>3</v>
      </c>
      <c r="E594" t="s">
        <v>165</v>
      </c>
      <c r="F594">
        <v>3</v>
      </c>
      <c r="G594" t="s">
        <v>58</v>
      </c>
      <c r="H594" t="s">
        <v>58</v>
      </c>
      <c r="I594" t="s">
        <v>58</v>
      </c>
      <c r="J594" t="s">
        <v>58</v>
      </c>
      <c r="K594">
        <v>0</v>
      </c>
      <c r="L594" t="s">
        <v>77</v>
      </c>
    </row>
    <row r="595" spans="1:12">
      <c r="A595">
        <v>594</v>
      </c>
      <c r="B595" t="s">
        <v>131</v>
      </c>
      <c r="C595" t="s">
        <v>99</v>
      </c>
      <c r="D595">
        <v>4</v>
      </c>
      <c r="E595" t="s">
        <v>165</v>
      </c>
      <c r="F595">
        <v>3</v>
      </c>
      <c r="G595" t="s">
        <v>58</v>
      </c>
      <c r="H595" t="s">
        <v>58</v>
      </c>
      <c r="I595" t="s">
        <v>58</v>
      </c>
      <c r="J595" t="s">
        <v>58</v>
      </c>
      <c r="K595">
        <v>5</v>
      </c>
      <c r="L595" t="s">
        <v>77</v>
      </c>
    </row>
    <row r="596" spans="1:12">
      <c r="A596">
        <v>595</v>
      </c>
      <c r="B596" t="s">
        <v>131</v>
      </c>
      <c r="C596" t="s">
        <v>102</v>
      </c>
      <c r="D596">
        <v>4</v>
      </c>
      <c r="E596" t="s">
        <v>165</v>
      </c>
      <c r="F596">
        <v>3</v>
      </c>
      <c r="G596" t="s">
        <v>58</v>
      </c>
      <c r="H596" t="s">
        <v>58</v>
      </c>
      <c r="I596" t="s">
        <v>58</v>
      </c>
      <c r="J596" t="s">
        <v>58</v>
      </c>
      <c r="K596">
        <v>5</v>
      </c>
      <c r="L596" t="s">
        <v>77</v>
      </c>
    </row>
    <row r="597" spans="1:12">
      <c r="A597">
        <v>596</v>
      </c>
      <c r="B597" t="s">
        <v>180</v>
      </c>
      <c r="C597" t="s">
        <v>247</v>
      </c>
      <c r="D597">
        <v>0</v>
      </c>
      <c r="E597" t="s">
        <v>165</v>
      </c>
      <c r="F597">
        <v>3</v>
      </c>
      <c r="G597" t="s">
        <v>58</v>
      </c>
      <c r="H597" t="s">
        <v>58</v>
      </c>
      <c r="I597" t="s">
        <v>58</v>
      </c>
      <c r="J597" t="s">
        <v>58</v>
      </c>
      <c r="K597">
        <v>0</v>
      </c>
      <c r="L597" t="s">
        <v>77</v>
      </c>
    </row>
    <row r="598" spans="1:12">
      <c r="A598">
        <v>597</v>
      </c>
      <c r="B598" t="s">
        <v>131</v>
      </c>
      <c r="C598" t="s">
        <v>90</v>
      </c>
      <c r="D598">
        <v>2</v>
      </c>
      <c r="E598" t="s">
        <v>165</v>
      </c>
      <c r="F598">
        <v>3</v>
      </c>
      <c r="G598" t="s">
        <v>58</v>
      </c>
      <c r="H598" t="s">
        <v>58</v>
      </c>
      <c r="I598" t="s">
        <v>105</v>
      </c>
      <c r="J598" t="s">
        <v>244</v>
      </c>
      <c r="K598">
        <v>0</v>
      </c>
      <c r="L598" t="s">
        <v>77</v>
      </c>
    </row>
    <row r="599" spans="1:12">
      <c r="A599">
        <v>598</v>
      </c>
      <c r="B599" t="s">
        <v>131</v>
      </c>
      <c r="C599" t="s">
        <v>92</v>
      </c>
      <c r="D599">
        <v>1</v>
      </c>
      <c r="E599" t="s">
        <v>165</v>
      </c>
      <c r="F599">
        <v>3</v>
      </c>
      <c r="G599" t="s">
        <v>162</v>
      </c>
      <c r="H599" t="s">
        <v>167</v>
      </c>
      <c r="I599" t="s">
        <v>58</v>
      </c>
      <c r="J599" t="s">
        <v>58</v>
      </c>
      <c r="K599">
        <v>0</v>
      </c>
      <c r="L599" t="s">
        <v>77</v>
      </c>
    </row>
    <row r="600" spans="1:12">
      <c r="A600">
        <v>599</v>
      </c>
      <c r="B600" t="s">
        <v>131</v>
      </c>
      <c r="C600" t="s">
        <v>95</v>
      </c>
      <c r="D600">
        <v>1</v>
      </c>
      <c r="E600" t="s">
        <v>165</v>
      </c>
      <c r="F600">
        <v>3</v>
      </c>
      <c r="G600" t="s">
        <v>166</v>
      </c>
      <c r="H600" t="s">
        <v>167</v>
      </c>
      <c r="I600" t="s">
        <v>58</v>
      </c>
      <c r="J600" t="s">
        <v>58</v>
      </c>
      <c r="K600">
        <v>0</v>
      </c>
      <c r="L600" t="s">
        <v>77</v>
      </c>
    </row>
    <row r="601" spans="1:12">
      <c r="A601">
        <v>600</v>
      </c>
      <c r="B601" t="s">
        <v>245</v>
      </c>
      <c r="C601" t="s">
        <v>99</v>
      </c>
      <c r="D601">
        <v>3</v>
      </c>
      <c r="E601" t="s">
        <v>165</v>
      </c>
      <c r="F601">
        <v>3</v>
      </c>
      <c r="G601" t="s">
        <v>58</v>
      </c>
      <c r="H601" t="s">
        <v>58</v>
      </c>
      <c r="I601" t="s">
        <v>58</v>
      </c>
      <c r="J601" t="s">
        <v>58</v>
      </c>
      <c r="K601">
        <v>0</v>
      </c>
      <c r="L601" t="s">
        <v>77</v>
      </c>
    </row>
    <row r="602" spans="1:12">
      <c r="A602">
        <v>601</v>
      </c>
      <c r="B602" t="s">
        <v>245</v>
      </c>
      <c r="C602" t="s">
        <v>102</v>
      </c>
      <c r="D602">
        <v>3</v>
      </c>
      <c r="E602" t="s">
        <v>165</v>
      </c>
      <c r="F602">
        <v>3</v>
      </c>
      <c r="G602" t="s">
        <v>58</v>
      </c>
      <c r="H602" t="s">
        <v>58</v>
      </c>
      <c r="I602" t="s">
        <v>58</v>
      </c>
      <c r="J602" t="s">
        <v>58</v>
      </c>
      <c r="K602">
        <v>0</v>
      </c>
      <c r="L602" t="s">
        <v>77</v>
      </c>
    </row>
    <row r="603" spans="1:12">
      <c r="A603">
        <v>602</v>
      </c>
      <c r="B603" t="s">
        <v>131</v>
      </c>
      <c r="C603" t="s">
        <v>247</v>
      </c>
      <c r="D603">
        <v>4</v>
      </c>
      <c r="E603" t="s">
        <v>165</v>
      </c>
      <c r="F603">
        <v>3</v>
      </c>
      <c r="G603" t="s">
        <v>58</v>
      </c>
      <c r="H603" t="s">
        <v>58</v>
      </c>
      <c r="I603" t="s">
        <v>58</v>
      </c>
      <c r="J603" t="s">
        <v>58</v>
      </c>
      <c r="K603">
        <v>5</v>
      </c>
      <c r="L603" t="s">
        <v>77</v>
      </c>
    </row>
    <row r="604" spans="1:12">
      <c r="A604">
        <v>603</v>
      </c>
      <c r="B604" t="s">
        <v>131</v>
      </c>
      <c r="C604" t="s">
        <v>90</v>
      </c>
      <c r="D604">
        <v>4</v>
      </c>
      <c r="E604" t="s">
        <v>165</v>
      </c>
      <c r="F604">
        <v>3</v>
      </c>
      <c r="G604" t="s">
        <v>58</v>
      </c>
      <c r="H604" t="s">
        <v>58</v>
      </c>
      <c r="I604" t="s">
        <v>58</v>
      </c>
      <c r="J604" t="s">
        <v>58</v>
      </c>
      <c r="K604">
        <v>5</v>
      </c>
      <c r="L604" t="s">
        <v>77</v>
      </c>
    </row>
    <row r="605" spans="1:12">
      <c r="A605">
        <v>604</v>
      </c>
      <c r="B605" t="s">
        <v>131</v>
      </c>
      <c r="C605" t="s">
        <v>92</v>
      </c>
      <c r="D605">
        <v>5</v>
      </c>
      <c r="E605" t="s">
        <v>165</v>
      </c>
      <c r="F605">
        <v>3</v>
      </c>
      <c r="G605" t="s">
        <v>58</v>
      </c>
      <c r="H605" t="s">
        <v>58</v>
      </c>
      <c r="I605" t="s">
        <v>58</v>
      </c>
      <c r="J605" t="s">
        <v>58</v>
      </c>
      <c r="K605">
        <v>0</v>
      </c>
      <c r="L605" t="s">
        <v>77</v>
      </c>
    </row>
    <row r="606" spans="1:12">
      <c r="A606">
        <v>605</v>
      </c>
      <c r="B606" t="s">
        <v>245</v>
      </c>
      <c r="C606" t="s">
        <v>95</v>
      </c>
      <c r="D606">
        <v>5</v>
      </c>
      <c r="E606" t="s">
        <v>165</v>
      </c>
      <c r="F606">
        <v>3</v>
      </c>
      <c r="G606" t="s">
        <v>58</v>
      </c>
      <c r="H606" t="s">
        <v>58</v>
      </c>
      <c r="I606" t="s">
        <v>58</v>
      </c>
      <c r="J606" t="s">
        <v>58</v>
      </c>
      <c r="K606">
        <v>0</v>
      </c>
      <c r="L606" t="s">
        <v>77</v>
      </c>
    </row>
    <row r="607" spans="1:12">
      <c r="A607">
        <v>606</v>
      </c>
      <c r="B607" t="s">
        <v>245</v>
      </c>
      <c r="C607" t="s">
        <v>95</v>
      </c>
      <c r="D607">
        <v>5</v>
      </c>
      <c r="E607" t="s">
        <v>165</v>
      </c>
      <c r="F607">
        <v>3</v>
      </c>
      <c r="G607" t="s">
        <v>58</v>
      </c>
      <c r="H607" t="s">
        <v>58</v>
      </c>
      <c r="I607" t="s">
        <v>58</v>
      </c>
      <c r="J607" t="s">
        <v>58</v>
      </c>
      <c r="K607">
        <v>0</v>
      </c>
      <c r="L607" t="s">
        <v>77</v>
      </c>
    </row>
    <row r="608" spans="1:12">
      <c r="A608">
        <v>607</v>
      </c>
      <c r="B608" t="s">
        <v>131</v>
      </c>
      <c r="C608" t="s">
        <v>99</v>
      </c>
      <c r="D608">
        <v>2</v>
      </c>
      <c r="E608" t="s">
        <v>165</v>
      </c>
      <c r="F608">
        <v>3</v>
      </c>
      <c r="G608" t="s">
        <v>58</v>
      </c>
      <c r="H608" t="s">
        <v>58</v>
      </c>
      <c r="I608" t="s">
        <v>119</v>
      </c>
      <c r="J608" t="s">
        <v>239</v>
      </c>
      <c r="K608">
        <v>0</v>
      </c>
      <c r="L608" t="s">
        <v>77</v>
      </c>
    </row>
    <row r="609" spans="1:12">
      <c r="A609">
        <v>608</v>
      </c>
      <c r="B609" t="s">
        <v>131</v>
      </c>
      <c r="C609" t="s">
        <v>102</v>
      </c>
      <c r="D609">
        <v>2</v>
      </c>
      <c r="E609" t="s">
        <v>165</v>
      </c>
      <c r="F609">
        <v>3</v>
      </c>
      <c r="G609" t="s">
        <v>58</v>
      </c>
      <c r="H609" t="s">
        <v>58</v>
      </c>
      <c r="I609" t="s">
        <v>141</v>
      </c>
      <c r="J609" t="s">
        <v>240</v>
      </c>
      <c r="K609">
        <v>0</v>
      </c>
      <c r="L609" t="s">
        <v>77</v>
      </c>
    </row>
    <row r="610" spans="1:12">
      <c r="A610">
        <v>609</v>
      </c>
      <c r="B610" t="s">
        <v>131</v>
      </c>
      <c r="C610" t="s">
        <v>247</v>
      </c>
      <c r="D610">
        <v>1</v>
      </c>
      <c r="E610" t="s">
        <v>165</v>
      </c>
      <c r="F610">
        <v>3</v>
      </c>
      <c r="G610" t="s">
        <v>162</v>
      </c>
      <c r="H610" t="s">
        <v>167</v>
      </c>
      <c r="I610" t="s">
        <v>58</v>
      </c>
      <c r="J610" t="s">
        <v>58</v>
      </c>
      <c r="K610">
        <v>0</v>
      </c>
      <c r="L610" t="s">
        <v>77</v>
      </c>
    </row>
    <row r="611" spans="1:12">
      <c r="A611">
        <v>610</v>
      </c>
      <c r="B611" t="s">
        <v>131</v>
      </c>
      <c r="C611" t="s">
        <v>90</v>
      </c>
      <c r="D611">
        <v>1</v>
      </c>
      <c r="E611" t="s">
        <v>165</v>
      </c>
      <c r="F611">
        <v>3</v>
      </c>
      <c r="G611" t="s">
        <v>109</v>
      </c>
      <c r="H611" t="s">
        <v>151</v>
      </c>
      <c r="I611" t="s">
        <v>58</v>
      </c>
      <c r="J611" t="s">
        <v>58</v>
      </c>
      <c r="K611">
        <v>0</v>
      </c>
      <c r="L611" t="s">
        <v>77</v>
      </c>
    </row>
    <row r="612" spans="1:12">
      <c r="A612">
        <v>611</v>
      </c>
      <c r="B612" t="s">
        <v>245</v>
      </c>
      <c r="C612" t="s">
        <v>92</v>
      </c>
      <c r="D612">
        <v>3</v>
      </c>
      <c r="E612" t="s">
        <v>165</v>
      </c>
      <c r="F612">
        <v>3</v>
      </c>
      <c r="G612" t="s">
        <v>58</v>
      </c>
      <c r="H612" t="s">
        <v>58</v>
      </c>
      <c r="I612" t="s">
        <v>58</v>
      </c>
      <c r="J612" t="s">
        <v>58</v>
      </c>
      <c r="K612">
        <v>0</v>
      </c>
      <c r="L612" t="s">
        <v>77</v>
      </c>
    </row>
    <row r="613" spans="1:12">
      <c r="A613">
        <v>612</v>
      </c>
      <c r="B613" t="s">
        <v>245</v>
      </c>
      <c r="C613" t="s">
        <v>95</v>
      </c>
      <c r="D613">
        <v>3</v>
      </c>
      <c r="E613" t="s">
        <v>165</v>
      </c>
      <c r="F613">
        <v>3</v>
      </c>
      <c r="G613" t="s">
        <v>58</v>
      </c>
      <c r="H613" t="s">
        <v>58</v>
      </c>
      <c r="I613" t="s">
        <v>58</v>
      </c>
      <c r="J613" t="s">
        <v>58</v>
      </c>
      <c r="K613">
        <v>0</v>
      </c>
      <c r="L613" t="s">
        <v>77</v>
      </c>
    </row>
    <row r="614" spans="1:12">
      <c r="A614">
        <v>613</v>
      </c>
      <c r="B614" t="s">
        <v>131</v>
      </c>
      <c r="C614" t="s">
        <v>99</v>
      </c>
      <c r="D614">
        <v>4</v>
      </c>
      <c r="E614" t="s">
        <v>165</v>
      </c>
      <c r="F614">
        <v>3</v>
      </c>
      <c r="G614" t="s">
        <v>58</v>
      </c>
      <c r="H614" t="s">
        <v>58</v>
      </c>
      <c r="I614" t="s">
        <v>58</v>
      </c>
      <c r="J614" t="s">
        <v>58</v>
      </c>
      <c r="K614">
        <v>5</v>
      </c>
      <c r="L614" t="s">
        <v>77</v>
      </c>
    </row>
    <row r="615" spans="1:12">
      <c r="A615">
        <v>614</v>
      </c>
      <c r="B615" t="s">
        <v>131</v>
      </c>
      <c r="C615" t="s">
        <v>102</v>
      </c>
      <c r="D615">
        <v>4</v>
      </c>
      <c r="E615" t="s">
        <v>165</v>
      </c>
      <c r="F615">
        <v>3</v>
      </c>
      <c r="G615" t="s">
        <v>58</v>
      </c>
      <c r="H615" t="s">
        <v>58</v>
      </c>
      <c r="I615" t="s">
        <v>58</v>
      </c>
      <c r="J615" t="s">
        <v>58</v>
      </c>
      <c r="K615">
        <v>5</v>
      </c>
      <c r="L615" t="s">
        <v>77</v>
      </c>
    </row>
    <row r="616" spans="1:12">
      <c r="A616">
        <v>615</v>
      </c>
      <c r="B616" t="s">
        <v>180</v>
      </c>
      <c r="C616" t="s">
        <v>247</v>
      </c>
      <c r="D616">
        <v>0</v>
      </c>
      <c r="E616" t="s">
        <v>165</v>
      </c>
      <c r="F616">
        <v>3</v>
      </c>
      <c r="G616" t="s">
        <v>58</v>
      </c>
      <c r="H616" t="s">
        <v>58</v>
      </c>
      <c r="I616" t="s">
        <v>58</v>
      </c>
      <c r="J616" t="s">
        <v>58</v>
      </c>
      <c r="K616">
        <v>0</v>
      </c>
      <c r="L616" t="s">
        <v>77</v>
      </c>
    </row>
    <row r="617" spans="1:12">
      <c r="A617">
        <v>616</v>
      </c>
      <c r="B617" t="s">
        <v>131</v>
      </c>
      <c r="C617" t="s">
        <v>90</v>
      </c>
      <c r="D617">
        <v>2</v>
      </c>
      <c r="E617" t="s">
        <v>165</v>
      </c>
      <c r="F617">
        <v>3</v>
      </c>
      <c r="G617" t="s">
        <v>58</v>
      </c>
      <c r="H617" t="s">
        <v>58</v>
      </c>
      <c r="I617" t="s">
        <v>105</v>
      </c>
      <c r="J617" t="s">
        <v>244</v>
      </c>
      <c r="K617">
        <v>0</v>
      </c>
      <c r="L617" t="s">
        <v>77</v>
      </c>
    </row>
    <row r="618" spans="1:12">
      <c r="A618">
        <v>617</v>
      </c>
      <c r="B618" t="s">
        <v>131</v>
      </c>
      <c r="C618" t="s">
        <v>92</v>
      </c>
      <c r="D618">
        <v>1</v>
      </c>
      <c r="E618" t="s">
        <v>165</v>
      </c>
      <c r="F618">
        <v>3</v>
      </c>
      <c r="G618" t="s">
        <v>162</v>
      </c>
      <c r="H618" t="s">
        <v>167</v>
      </c>
      <c r="I618" t="s">
        <v>58</v>
      </c>
      <c r="J618" t="s">
        <v>58</v>
      </c>
      <c r="K618">
        <v>0</v>
      </c>
      <c r="L618" t="s">
        <v>77</v>
      </c>
    </row>
    <row r="619" spans="1:12">
      <c r="A619">
        <v>618</v>
      </c>
      <c r="B619" t="s">
        <v>131</v>
      </c>
      <c r="C619" t="s">
        <v>95</v>
      </c>
      <c r="D619">
        <v>1</v>
      </c>
      <c r="E619" t="s">
        <v>165</v>
      </c>
      <c r="F619">
        <v>3</v>
      </c>
      <c r="G619" t="s">
        <v>166</v>
      </c>
      <c r="H619" t="s">
        <v>167</v>
      </c>
      <c r="I619" t="s">
        <v>58</v>
      </c>
      <c r="J619" t="s">
        <v>58</v>
      </c>
      <c r="K619">
        <v>0</v>
      </c>
      <c r="L619" t="s">
        <v>77</v>
      </c>
    </row>
    <row r="620" spans="1:12">
      <c r="A620">
        <v>619</v>
      </c>
      <c r="B620" t="s">
        <v>245</v>
      </c>
      <c r="C620" t="s">
        <v>99</v>
      </c>
      <c r="D620">
        <v>3</v>
      </c>
      <c r="E620" t="s">
        <v>165</v>
      </c>
      <c r="F620">
        <v>3</v>
      </c>
      <c r="G620" t="s">
        <v>58</v>
      </c>
      <c r="H620" t="s">
        <v>58</v>
      </c>
      <c r="I620" t="s">
        <v>58</v>
      </c>
      <c r="J620" t="s">
        <v>58</v>
      </c>
      <c r="K620">
        <v>0</v>
      </c>
      <c r="L620" t="s">
        <v>77</v>
      </c>
    </row>
    <row r="621" spans="1:12">
      <c r="A621">
        <v>620</v>
      </c>
      <c r="B621" t="s">
        <v>245</v>
      </c>
      <c r="C621" t="s">
        <v>102</v>
      </c>
      <c r="D621">
        <v>3</v>
      </c>
      <c r="E621" t="s">
        <v>165</v>
      </c>
      <c r="F621">
        <v>3</v>
      </c>
      <c r="G621" t="s">
        <v>58</v>
      </c>
      <c r="H621" t="s">
        <v>58</v>
      </c>
      <c r="I621" t="s">
        <v>58</v>
      </c>
      <c r="J621" t="s">
        <v>58</v>
      </c>
      <c r="K621">
        <v>0</v>
      </c>
      <c r="L621" t="s">
        <v>77</v>
      </c>
    </row>
    <row r="622" spans="1:12">
      <c r="A622">
        <v>621</v>
      </c>
      <c r="B622" t="s">
        <v>245</v>
      </c>
      <c r="C622" t="s">
        <v>90</v>
      </c>
      <c r="D622">
        <v>1</v>
      </c>
      <c r="E622" t="s">
        <v>165</v>
      </c>
      <c r="F622">
        <v>3</v>
      </c>
      <c r="G622" t="s">
        <v>109</v>
      </c>
      <c r="H622" t="s">
        <v>151</v>
      </c>
      <c r="I622" t="s">
        <v>58</v>
      </c>
      <c r="J622" t="s">
        <v>58</v>
      </c>
      <c r="K622">
        <v>0</v>
      </c>
      <c r="L622" t="s">
        <v>77</v>
      </c>
    </row>
    <row r="623" spans="1:12">
      <c r="A623">
        <v>622</v>
      </c>
      <c r="B623" t="s">
        <v>131</v>
      </c>
      <c r="C623" t="s">
        <v>92</v>
      </c>
      <c r="D623">
        <v>3</v>
      </c>
      <c r="E623" t="s">
        <v>165</v>
      </c>
      <c r="F623">
        <v>3</v>
      </c>
      <c r="G623" t="s">
        <v>58</v>
      </c>
      <c r="H623" t="s">
        <v>58</v>
      </c>
      <c r="I623" t="s">
        <v>58</v>
      </c>
      <c r="J623" t="s">
        <v>58</v>
      </c>
      <c r="K623">
        <v>0</v>
      </c>
      <c r="L623" t="s">
        <v>77</v>
      </c>
    </row>
    <row r="624" spans="1:12">
      <c r="A624">
        <v>623</v>
      </c>
      <c r="B624" t="s">
        <v>131</v>
      </c>
      <c r="C624" t="s">
        <v>95</v>
      </c>
      <c r="D624">
        <v>3</v>
      </c>
      <c r="E624" t="s">
        <v>165</v>
      </c>
      <c r="F624">
        <v>3</v>
      </c>
      <c r="G624" t="s">
        <v>58</v>
      </c>
      <c r="H624" t="s">
        <v>58</v>
      </c>
      <c r="I624" t="s">
        <v>58</v>
      </c>
      <c r="J624" t="s">
        <v>58</v>
      </c>
      <c r="K624">
        <v>0</v>
      </c>
      <c r="L624" t="s">
        <v>77</v>
      </c>
    </row>
    <row r="625" spans="1:12">
      <c r="A625">
        <v>624</v>
      </c>
      <c r="B625" t="s">
        <v>131</v>
      </c>
      <c r="C625" t="s">
        <v>99</v>
      </c>
      <c r="D625">
        <v>4</v>
      </c>
      <c r="E625" t="s">
        <v>165</v>
      </c>
      <c r="F625">
        <v>3</v>
      </c>
      <c r="G625" t="s">
        <v>58</v>
      </c>
      <c r="H625" t="s">
        <v>58</v>
      </c>
      <c r="I625" t="s">
        <v>58</v>
      </c>
      <c r="J625" t="s">
        <v>58</v>
      </c>
      <c r="K625">
        <v>5</v>
      </c>
      <c r="L625" t="s">
        <v>77</v>
      </c>
    </row>
    <row r="626" spans="1:12">
      <c r="A626">
        <v>625</v>
      </c>
      <c r="B626" t="s">
        <v>131</v>
      </c>
      <c r="C626" t="s">
        <v>102</v>
      </c>
      <c r="D626">
        <v>4</v>
      </c>
      <c r="E626" t="s">
        <v>165</v>
      </c>
      <c r="F626">
        <v>3</v>
      </c>
      <c r="G626" t="s">
        <v>58</v>
      </c>
      <c r="H626" t="s">
        <v>58</v>
      </c>
      <c r="I626" t="s">
        <v>58</v>
      </c>
      <c r="J626" t="s">
        <v>58</v>
      </c>
      <c r="K626">
        <v>5</v>
      </c>
      <c r="L626" t="s">
        <v>77</v>
      </c>
    </row>
    <row r="627" spans="1:12">
      <c r="A627">
        <v>626</v>
      </c>
      <c r="B627" t="s">
        <v>180</v>
      </c>
      <c r="C627" t="s">
        <v>247</v>
      </c>
      <c r="D627">
        <v>0</v>
      </c>
      <c r="E627" t="s">
        <v>165</v>
      </c>
      <c r="F627">
        <v>3</v>
      </c>
      <c r="G627" t="s">
        <v>58</v>
      </c>
      <c r="H627" t="s">
        <v>58</v>
      </c>
      <c r="I627" t="s">
        <v>58</v>
      </c>
      <c r="J627" t="s">
        <v>58</v>
      </c>
      <c r="K627">
        <v>0</v>
      </c>
      <c r="L627" t="s">
        <v>77</v>
      </c>
    </row>
    <row r="628" spans="1:12">
      <c r="A628">
        <v>627</v>
      </c>
      <c r="B628" t="s">
        <v>131</v>
      </c>
      <c r="C628" t="s">
        <v>102</v>
      </c>
      <c r="D628">
        <v>5</v>
      </c>
      <c r="E628" t="s">
        <v>165</v>
      </c>
      <c r="F628">
        <v>3</v>
      </c>
      <c r="G628" t="s">
        <v>58</v>
      </c>
      <c r="H628" t="s">
        <v>58</v>
      </c>
      <c r="I628" t="s">
        <v>58</v>
      </c>
      <c r="J628" t="s">
        <v>58</v>
      </c>
      <c r="K628">
        <v>0</v>
      </c>
      <c r="L628" t="s">
        <v>77</v>
      </c>
    </row>
    <row r="629" spans="1:12">
      <c r="A629">
        <v>628</v>
      </c>
      <c r="B629" t="s">
        <v>131</v>
      </c>
      <c r="C629" t="s">
        <v>247</v>
      </c>
      <c r="D629">
        <v>2</v>
      </c>
      <c r="E629" t="s">
        <v>165</v>
      </c>
      <c r="F629">
        <v>3</v>
      </c>
      <c r="G629" t="s">
        <v>58</v>
      </c>
      <c r="H629" t="s">
        <v>58</v>
      </c>
      <c r="I629" t="s">
        <v>153</v>
      </c>
      <c r="J629" t="s">
        <v>233</v>
      </c>
      <c r="K629">
        <v>0</v>
      </c>
      <c r="L629" t="s">
        <v>77</v>
      </c>
    </row>
    <row r="630" spans="1:12">
      <c r="A630">
        <v>629</v>
      </c>
      <c r="B630" t="s">
        <v>131</v>
      </c>
      <c r="C630" t="s">
        <v>90</v>
      </c>
      <c r="D630">
        <v>2</v>
      </c>
      <c r="E630" t="s">
        <v>165</v>
      </c>
      <c r="F630">
        <v>3</v>
      </c>
      <c r="G630" t="s">
        <v>58</v>
      </c>
      <c r="H630" t="s">
        <v>58</v>
      </c>
      <c r="I630" t="s">
        <v>105</v>
      </c>
      <c r="J630" t="s">
        <v>244</v>
      </c>
      <c r="K630">
        <v>0</v>
      </c>
      <c r="L630" t="s">
        <v>77</v>
      </c>
    </row>
    <row r="631" spans="1:12">
      <c r="A631">
        <v>630</v>
      </c>
      <c r="B631" t="s">
        <v>131</v>
      </c>
      <c r="C631" t="s">
        <v>92</v>
      </c>
      <c r="D631">
        <v>1</v>
      </c>
      <c r="E631" t="s">
        <v>165</v>
      </c>
      <c r="F631">
        <v>3</v>
      </c>
      <c r="G631" t="s">
        <v>162</v>
      </c>
      <c r="H631" t="s">
        <v>167</v>
      </c>
      <c r="I631" t="s">
        <v>58</v>
      </c>
      <c r="J631" t="s">
        <v>58</v>
      </c>
      <c r="K631">
        <v>0</v>
      </c>
      <c r="L631" t="s">
        <v>77</v>
      </c>
    </row>
    <row r="632" spans="1:12">
      <c r="A632">
        <v>631</v>
      </c>
      <c r="B632" t="s">
        <v>131</v>
      </c>
      <c r="C632" t="s">
        <v>95</v>
      </c>
      <c r="D632">
        <v>1</v>
      </c>
      <c r="E632" t="s">
        <v>165</v>
      </c>
      <c r="F632">
        <v>3</v>
      </c>
      <c r="G632" t="s">
        <v>166</v>
      </c>
      <c r="H632" t="s">
        <v>167</v>
      </c>
      <c r="I632" t="s">
        <v>58</v>
      </c>
      <c r="J632" t="s">
        <v>58</v>
      </c>
      <c r="K632">
        <v>0</v>
      </c>
      <c r="L632" t="s">
        <v>77</v>
      </c>
    </row>
    <row r="633" spans="1:12">
      <c r="A633">
        <v>632</v>
      </c>
      <c r="B633" t="s">
        <v>245</v>
      </c>
      <c r="C633" t="s">
        <v>99</v>
      </c>
      <c r="D633">
        <v>3</v>
      </c>
      <c r="E633" t="s">
        <v>165</v>
      </c>
      <c r="F633">
        <v>3</v>
      </c>
      <c r="G633" t="s">
        <v>58</v>
      </c>
      <c r="H633" t="s">
        <v>58</v>
      </c>
      <c r="I633" t="s">
        <v>58</v>
      </c>
      <c r="J633" t="s">
        <v>58</v>
      </c>
      <c r="K633">
        <v>0</v>
      </c>
      <c r="L633" t="s">
        <v>77</v>
      </c>
    </row>
    <row r="634" spans="1:12">
      <c r="A634">
        <v>633</v>
      </c>
      <c r="B634" t="s">
        <v>245</v>
      </c>
      <c r="C634" t="s">
        <v>102</v>
      </c>
      <c r="D634">
        <v>5</v>
      </c>
      <c r="E634" t="s">
        <v>165</v>
      </c>
      <c r="F634">
        <v>3</v>
      </c>
      <c r="G634" t="s">
        <v>58</v>
      </c>
      <c r="H634" t="s">
        <v>58</v>
      </c>
      <c r="I634" t="s">
        <v>58</v>
      </c>
      <c r="J634" t="s">
        <v>58</v>
      </c>
      <c r="K634">
        <v>0</v>
      </c>
      <c r="L634" t="s">
        <v>77</v>
      </c>
    </row>
    <row r="635" spans="1:12">
      <c r="A635">
        <v>634</v>
      </c>
      <c r="B635" t="s">
        <v>245</v>
      </c>
      <c r="C635" t="s">
        <v>247</v>
      </c>
      <c r="D635">
        <v>2</v>
      </c>
      <c r="E635" t="s">
        <v>165</v>
      </c>
      <c r="F635">
        <v>3</v>
      </c>
      <c r="G635" t="s">
        <v>58</v>
      </c>
      <c r="H635" t="s">
        <v>58</v>
      </c>
      <c r="I635" t="s">
        <v>153</v>
      </c>
      <c r="J635" t="s">
        <v>233</v>
      </c>
      <c r="K635">
        <v>0</v>
      </c>
      <c r="L635" t="s">
        <v>77</v>
      </c>
    </row>
    <row r="636" spans="1:12">
      <c r="A636">
        <v>635</v>
      </c>
      <c r="B636" t="s">
        <v>131</v>
      </c>
      <c r="C636" t="s">
        <v>90</v>
      </c>
      <c r="D636">
        <v>2</v>
      </c>
      <c r="E636" t="s">
        <v>165</v>
      </c>
      <c r="F636">
        <v>3</v>
      </c>
      <c r="G636" t="s">
        <v>58</v>
      </c>
      <c r="H636" t="s">
        <v>58</v>
      </c>
      <c r="I636" t="s">
        <v>105</v>
      </c>
      <c r="J636" t="s">
        <v>244</v>
      </c>
      <c r="K636">
        <v>0</v>
      </c>
      <c r="L636" t="s">
        <v>77</v>
      </c>
    </row>
    <row r="637" spans="1:12">
      <c r="A637">
        <v>636</v>
      </c>
      <c r="B637" t="s">
        <v>131</v>
      </c>
      <c r="C637" t="s">
        <v>92</v>
      </c>
      <c r="D637">
        <v>1</v>
      </c>
      <c r="E637" t="s">
        <v>165</v>
      </c>
      <c r="F637">
        <v>3</v>
      </c>
      <c r="G637" t="s">
        <v>162</v>
      </c>
      <c r="H637" t="s">
        <v>167</v>
      </c>
      <c r="I637" t="s">
        <v>58</v>
      </c>
      <c r="J637" t="s">
        <v>58</v>
      </c>
      <c r="K637">
        <v>0</v>
      </c>
      <c r="L637" t="s">
        <v>77</v>
      </c>
    </row>
    <row r="638" spans="1:12">
      <c r="A638">
        <v>637</v>
      </c>
      <c r="B638" t="s">
        <v>131</v>
      </c>
      <c r="C638" t="s">
        <v>95</v>
      </c>
      <c r="D638">
        <v>1</v>
      </c>
      <c r="E638" t="s">
        <v>165</v>
      </c>
      <c r="F638">
        <v>3</v>
      </c>
      <c r="G638" t="s">
        <v>166</v>
      </c>
      <c r="H638" t="s">
        <v>167</v>
      </c>
      <c r="I638" t="s">
        <v>58</v>
      </c>
      <c r="J638" t="s">
        <v>58</v>
      </c>
      <c r="K638">
        <v>0</v>
      </c>
      <c r="L638" t="s">
        <v>77</v>
      </c>
    </row>
    <row r="639" spans="1:12">
      <c r="A639">
        <v>638</v>
      </c>
      <c r="B639" t="s">
        <v>245</v>
      </c>
      <c r="C639" t="s">
        <v>99</v>
      </c>
      <c r="D639">
        <v>3</v>
      </c>
      <c r="E639" t="s">
        <v>165</v>
      </c>
      <c r="F639">
        <v>3</v>
      </c>
      <c r="G639" t="s">
        <v>58</v>
      </c>
      <c r="H639" t="s">
        <v>58</v>
      </c>
      <c r="I639" t="s">
        <v>58</v>
      </c>
      <c r="J639" t="s">
        <v>58</v>
      </c>
      <c r="K639">
        <v>0</v>
      </c>
      <c r="L639" t="s">
        <v>77</v>
      </c>
    </row>
    <row r="640" spans="1:12">
      <c r="A640">
        <v>639</v>
      </c>
      <c r="B640" t="s">
        <v>245</v>
      </c>
      <c r="C640" t="s">
        <v>102</v>
      </c>
      <c r="D640">
        <v>3</v>
      </c>
      <c r="E640" t="s">
        <v>165</v>
      </c>
      <c r="F640">
        <v>3</v>
      </c>
      <c r="G640" t="s">
        <v>58</v>
      </c>
      <c r="H640" t="s">
        <v>58</v>
      </c>
      <c r="I640" t="s">
        <v>58</v>
      </c>
      <c r="J640" t="s">
        <v>58</v>
      </c>
      <c r="K640">
        <v>0</v>
      </c>
      <c r="L640" t="s">
        <v>77</v>
      </c>
    </row>
    <row r="641" spans="1:12">
      <c r="A641">
        <v>640</v>
      </c>
      <c r="B641" t="s">
        <v>131</v>
      </c>
      <c r="C641" t="s">
        <v>247</v>
      </c>
      <c r="D641">
        <v>4</v>
      </c>
      <c r="E641" t="s">
        <v>165</v>
      </c>
      <c r="F641">
        <v>3</v>
      </c>
      <c r="G641" t="s">
        <v>58</v>
      </c>
      <c r="H641" t="s">
        <v>58</v>
      </c>
      <c r="I641" t="s">
        <v>58</v>
      </c>
      <c r="J641" t="s">
        <v>58</v>
      </c>
      <c r="K641">
        <v>5</v>
      </c>
      <c r="L641" t="s">
        <v>77</v>
      </c>
    </row>
    <row r="642" spans="1:12">
      <c r="A642">
        <v>641</v>
      </c>
      <c r="B642" t="s">
        <v>131</v>
      </c>
      <c r="C642" t="s">
        <v>90</v>
      </c>
      <c r="D642">
        <v>4</v>
      </c>
      <c r="E642" t="s">
        <v>165</v>
      </c>
      <c r="F642">
        <v>3</v>
      </c>
      <c r="G642" t="s">
        <v>58</v>
      </c>
      <c r="H642" t="s">
        <v>58</v>
      </c>
      <c r="I642" t="s">
        <v>58</v>
      </c>
      <c r="J642" t="s">
        <v>58</v>
      </c>
      <c r="K642">
        <v>5</v>
      </c>
      <c r="L642" t="s">
        <v>77</v>
      </c>
    </row>
    <row r="643" spans="1:12">
      <c r="A643">
        <v>642</v>
      </c>
      <c r="B643" t="s">
        <v>131</v>
      </c>
      <c r="C643" t="s">
        <v>92</v>
      </c>
      <c r="D643">
        <v>5</v>
      </c>
      <c r="E643" t="s">
        <v>165</v>
      </c>
      <c r="F643">
        <v>3</v>
      </c>
      <c r="G643" t="s">
        <v>58</v>
      </c>
      <c r="H643" t="s">
        <v>58</v>
      </c>
      <c r="I643" t="s">
        <v>58</v>
      </c>
      <c r="J643" t="s">
        <v>58</v>
      </c>
      <c r="K643">
        <v>0</v>
      </c>
      <c r="L643" t="s">
        <v>77</v>
      </c>
    </row>
    <row r="644" spans="1:12">
      <c r="A644">
        <v>643</v>
      </c>
      <c r="B644" t="s">
        <v>131</v>
      </c>
      <c r="C644" t="s">
        <v>95</v>
      </c>
      <c r="D644">
        <v>5</v>
      </c>
      <c r="E644" t="s">
        <v>165</v>
      </c>
      <c r="F644">
        <v>3</v>
      </c>
      <c r="G644" t="s">
        <v>58</v>
      </c>
      <c r="H644" t="s">
        <v>58</v>
      </c>
      <c r="I644" t="s">
        <v>58</v>
      </c>
      <c r="J644" t="s">
        <v>58</v>
      </c>
      <c r="K644">
        <v>0</v>
      </c>
      <c r="L644" t="s">
        <v>77</v>
      </c>
    </row>
    <row r="645" spans="1:12">
      <c r="A645">
        <v>644</v>
      </c>
      <c r="B645" t="s">
        <v>131</v>
      </c>
      <c r="C645" t="s">
        <v>99</v>
      </c>
      <c r="D645">
        <v>2</v>
      </c>
      <c r="E645" t="s">
        <v>165</v>
      </c>
      <c r="F645">
        <v>3</v>
      </c>
      <c r="G645" t="s">
        <v>58</v>
      </c>
      <c r="H645" t="s">
        <v>58</v>
      </c>
      <c r="I645" t="s">
        <v>119</v>
      </c>
      <c r="J645" t="s">
        <v>239</v>
      </c>
      <c r="K645">
        <v>0</v>
      </c>
      <c r="L645" t="s">
        <v>77</v>
      </c>
    </row>
    <row r="646" spans="1:12">
      <c r="A646">
        <v>645</v>
      </c>
      <c r="B646" t="s">
        <v>131</v>
      </c>
      <c r="C646" t="s">
        <v>102</v>
      </c>
      <c r="D646">
        <v>2</v>
      </c>
      <c r="E646" t="s">
        <v>165</v>
      </c>
      <c r="F646">
        <v>3</v>
      </c>
      <c r="G646" t="s">
        <v>58</v>
      </c>
      <c r="H646" t="s">
        <v>58</v>
      </c>
      <c r="I646" t="s">
        <v>141</v>
      </c>
      <c r="J646" t="s">
        <v>240</v>
      </c>
      <c r="K646">
        <v>0</v>
      </c>
      <c r="L646" t="s">
        <v>77</v>
      </c>
    </row>
    <row r="647" spans="1:12">
      <c r="A647">
        <v>646</v>
      </c>
      <c r="B647" t="s">
        <v>245</v>
      </c>
      <c r="C647" t="s">
        <v>247</v>
      </c>
      <c r="D647">
        <v>1</v>
      </c>
      <c r="E647" t="s">
        <v>165</v>
      </c>
      <c r="F647">
        <v>3</v>
      </c>
      <c r="G647" t="s">
        <v>162</v>
      </c>
      <c r="H647" t="s">
        <v>167</v>
      </c>
      <c r="I647" t="s">
        <v>58</v>
      </c>
      <c r="J647" t="s">
        <v>58</v>
      </c>
      <c r="K647">
        <v>0</v>
      </c>
      <c r="L647" t="s">
        <v>77</v>
      </c>
    </row>
    <row r="648" spans="1:12">
      <c r="A648">
        <v>647</v>
      </c>
      <c r="B648" t="s">
        <v>245</v>
      </c>
      <c r="C648" t="s">
        <v>90</v>
      </c>
      <c r="D648">
        <v>1</v>
      </c>
      <c r="E648" t="s">
        <v>165</v>
      </c>
      <c r="F648">
        <v>3</v>
      </c>
      <c r="G648" t="s">
        <v>109</v>
      </c>
      <c r="H648" t="s">
        <v>151</v>
      </c>
      <c r="I648" t="s">
        <v>58</v>
      </c>
      <c r="J648" t="s">
        <v>58</v>
      </c>
      <c r="K648">
        <v>0</v>
      </c>
      <c r="L648" t="s">
        <v>77</v>
      </c>
    </row>
    <row r="649" spans="1:12">
      <c r="A649">
        <v>648</v>
      </c>
      <c r="B649" t="s">
        <v>131</v>
      </c>
      <c r="C649" t="s">
        <v>92</v>
      </c>
      <c r="D649">
        <v>3</v>
      </c>
      <c r="E649" t="s">
        <v>165</v>
      </c>
      <c r="F649">
        <v>3</v>
      </c>
      <c r="G649" t="s">
        <v>58</v>
      </c>
      <c r="H649" t="s">
        <v>58</v>
      </c>
      <c r="I649" t="s">
        <v>58</v>
      </c>
      <c r="J649" t="s">
        <v>58</v>
      </c>
      <c r="K649">
        <v>0</v>
      </c>
      <c r="L649" t="s">
        <v>77</v>
      </c>
    </row>
    <row r="650" spans="1:12">
      <c r="A650">
        <v>649</v>
      </c>
      <c r="B650" t="s">
        <v>131</v>
      </c>
      <c r="C650" t="s">
        <v>95</v>
      </c>
      <c r="D650">
        <v>3</v>
      </c>
      <c r="E650" t="s">
        <v>165</v>
      </c>
      <c r="F650">
        <v>3</v>
      </c>
      <c r="G650" t="s">
        <v>58</v>
      </c>
      <c r="H650" t="s">
        <v>58</v>
      </c>
      <c r="I650" t="s">
        <v>58</v>
      </c>
      <c r="J650" t="s">
        <v>58</v>
      </c>
      <c r="K650">
        <v>0</v>
      </c>
      <c r="L650" t="s">
        <v>77</v>
      </c>
    </row>
    <row r="651" spans="1:12">
      <c r="A651">
        <v>650</v>
      </c>
      <c r="B651" t="s">
        <v>131</v>
      </c>
      <c r="C651" t="s">
        <v>99</v>
      </c>
      <c r="D651">
        <v>4</v>
      </c>
      <c r="E651" t="s">
        <v>165</v>
      </c>
      <c r="F651">
        <v>3</v>
      </c>
      <c r="G651" t="s">
        <v>58</v>
      </c>
      <c r="H651" t="s">
        <v>58</v>
      </c>
      <c r="I651" t="s">
        <v>58</v>
      </c>
      <c r="J651" t="s">
        <v>58</v>
      </c>
      <c r="K651">
        <v>5</v>
      </c>
      <c r="L651" t="s">
        <v>77</v>
      </c>
    </row>
    <row r="652" spans="1:12">
      <c r="A652">
        <v>651</v>
      </c>
      <c r="B652" t="s">
        <v>131</v>
      </c>
      <c r="C652" t="s">
        <v>102</v>
      </c>
      <c r="D652">
        <v>4</v>
      </c>
      <c r="E652" t="s">
        <v>165</v>
      </c>
      <c r="F652">
        <v>3</v>
      </c>
      <c r="G652" t="s">
        <v>58</v>
      </c>
      <c r="H652" t="s">
        <v>58</v>
      </c>
      <c r="I652" t="s">
        <v>58</v>
      </c>
      <c r="J652" t="s">
        <v>58</v>
      </c>
      <c r="K652">
        <v>5</v>
      </c>
      <c r="L652" t="s">
        <v>77</v>
      </c>
    </row>
    <row r="653" spans="1:12">
      <c r="A653">
        <v>652</v>
      </c>
      <c r="B653" t="s">
        <v>180</v>
      </c>
      <c r="C653" t="s">
        <v>247</v>
      </c>
      <c r="D653">
        <v>0</v>
      </c>
      <c r="E653" t="s">
        <v>165</v>
      </c>
      <c r="F653">
        <v>3</v>
      </c>
      <c r="G653" t="s">
        <v>58</v>
      </c>
      <c r="H653" t="s">
        <v>58</v>
      </c>
      <c r="I653" t="s">
        <v>58</v>
      </c>
      <c r="J653" t="s">
        <v>58</v>
      </c>
      <c r="K653">
        <v>0</v>
      </c>
      <c r="L653" t="s">
        <v>77</v>
      </c>
    </row>
    <row r="654" spans="1:12">
      <c r="A654">
        <v>653</v>
      </c>
      <c r="B654" t="s">
        <v>131</v>
      </c>
      <c r="C654" t="s">
        <v>102</v>
      </c>
      <c r="D654">
        <v>5</v>
      </c>
      <c r="E654" t="s">
        <v>165</v>
      </c>
      <c r="F654">
        <v>3</v>
      </c>
      <c r="G654" t="s">
        <v>58</v>
      </c>
      <c r="H654" t="s">
        <v>58</v>
      </c>
      <c r="I654" t="s">
        <v>58</v>
      </c>
      <c r="J654" t="s">
        <v>58</v>
      </c>
      <c r="K654">
        <v>0</v>
      </c>
      <c r="L654" t="s">
        <v>77</v>
      </c>
    </row>
    <row r="655" spans="1:12">
      <c r="A655">
        <v>654</v>
      </c>
      <c r="B655" t="s">
        <v>131</v>
      </c>
      <c r="C655" t="s">
        <v>247</v>
      </c>
      <c r="D655">
        <v>2</v>
      </c>
      <c r="E655" t="s">
        <v>165</v>
      </c>
      <c r="F655">
        <v>3</v>
      </c>
      <c r="G655" t="s">
        <v>58</v>
      </c>
      <c r="H655" t="s">
        <v>58</v>
      </c>
      <c r="I655" t="s">
        <v>153</v>
      </c>
      <c r="J655" t="s">
        <v>233</v>
      </c>
      <c r="K655">
        <v>0</v>
      </c>
      <c r="L655" t="s">
        <v>77</v>
      </c>
    </row>
    <row r="656" spans="1:12">
      <c r="A656">
        <v>655</v>
      </c>
      <c r="B656" t="s">
        <v>131</v>
      </c>
      <c r="C656" t="s">
        <v>90</v>
      </c>
      <c r="D656">
        <v>2</v>
      </c>
      <c r="E656" t="s">
        <v>165</v>
      </c>
      <c r="F656">
        <v>3</v>
      </c>
      <c r="G656" t="s">
        <v>58</v>
      </c>
      <c r="H656" t="s">
        <v>58</v>
      </c>
      <c r="I656" t="s">
        <v>105</v>
      </c>
      <c r="J656" t="s">
        <v>244</v>
      </c>
      <c r="K656">
        <v>0</v>
      </c>
      <c r="L656" t="s">
        <v>77</v>
      </c>
    </row>
    <row r="657" spans="1:12">
      <c r="A657">
        <v>656</v>
      </c>
      <c r="B657" t="s">
        <v>131</v>
      </c>
      <c r="C657" t="s">
        <v>92</v>
      </c>
      <c r="D657">
        <v>1</v>
      </c>
      <c r="E657" t="s">
        <v>165</v>
      </c>
      <c r="F657">
        <v>3</v>
      </c>
      <c r="G657" t="s">
        <v>162</v>
      </c>
      <c r="H657" t="s">
        <v>167</v>
      </c>
      <c r="I657" t="s">
        <v>58</v>
      </c>
      <c r="J657" t="s">
        <v>58</v>
      </c>
      <c r="K657">
        <v>0</v>
      </c>
      <c r="L657" t="s">
        <v>77</v>
      </c>
    </row>
    <row r="658" spans="1:12">
      <c r="A658">
        <v>657</v>
      </c>
      <c r="B658" t="s">
        <v>131</v>
      </c>
      <c r="C658" t="s">
        <v>95</v>
      </c>
      <c r="D658">
        <v>1</v>
      </c>
      <c r="E658" t="s">
        <v>165</v>
      </c>
      <c r="F658">
        <v>3</v>
      </c>
      <c r="G658" t="s">
        <v>166</v>
      </c>
      <c r="H658" t="s">
        <v>167</v>
      </c>
      <c r="I658" t="s">
        <v>58</v>
      </c>
      <c r="J658" t="s">
        <v>58</v>
      </c>
      <c r="K658">
        <v>0</v>
      </c>
      <c r="L658" t="s">
        <v>77</v>
      </c>
    </row>
    <row r="659" spans="1:12">
      <c r="A659">
        <v>658</v>
      </c>
      <c r="B659" t="s">
        <v>245</v>
      </c>
      <c r="C659" t="s">
        <v>99</v>
      </c>
      <c r="D659">
        <v>3</v>
      </c>
      <c r="E659" t="s">
        <v>165</v>
      </c>
      <c r="F659">
        <v>3</v>
      </c>
      <c r="G659" t="s">
        <v>58</v>
      </c>
      <c r="H659" t="s">
        <v>58</v>
      </c>
      <c r="I659" t="s">
        <v>58</v>
      </c>
      <c r="J659" t="s">
        <v>58</v>
      </c>
      <c r="K659">
        <v>0</v>
      </c>
      <c r="L659" t="s">
        <v>77</v>
      </c>
    </row>
    <row r="660" spans="1:12">
      <c r="A660">
        <v>659</v>
      </c>
      <c r="B660" t="s">
        <v>245</v>
      </c>
      <c r="C660" t="s">
        <v>102</v>
      </c>
      <c r="D660">
        <v>3</v>
      </c>
      <c r="E660" t="s">
        <v>165</v>
      </c>
      <c r="F660">
        <v>3</v>
      </c>
      <c r="G660" t="s">
        <v>58</v>
      </c>
      <c r="H660" t="s">
        <v>58</v>
      </c>
      <c r="I660" t="s">
        <v>58</v>
      </c>
      <c r="J660" t="s">
        <v>58</v>
      </c>
      <c r="K660">
        <v>0</v>
      </c>
      <c r="L660" t="s">
        <v>77</v>
      </c>
    </row>
    <row r="661" spans="1:12">
      <c r="A661">
        <v>660</v>
      </c>
      <c r="B661" t="s">
        <v>131</v>
      </c>
      <c r="C661" t="s">
        <v>247</v>
      </c>
      <c r="D661">
        <v>4</v>
      </c>
      <c r="E661" t="s">
        <v>165</v>
      </c>
      <c r="F661">
        <v>3</v>
      </c>
      <c r="G661" t="s">
        <v>58</v>
      </c>
      <c r="H661" t="s">
        <v>58</v>
      </c>
      <c r="I661" t="s">
        <v>58</v>
      </c>
      <c r="J661" t="s">
        <v>58</v>
      </c>
      <c r="K661">
        <v>5</v>
      </c>
      <c r="L661" t="s">
        <v>77</v>
      </c>
    </row>
    <row r="662" spans="1:12">
      <c r="A662">
        <v>661</v>
      </c>
      <c r="B662" t="s">
        <v>131</v>
      </c>
      <c r="C662" t="s">
        <v>90</v>
      </c>
      <c r="D662">
        <v>4</v>
      </c>
      <c r="E662" t="s">
        <v>165</v>
      </c>
      <c r="F662">
        <v>3</v>
      </c>
      <c r="G662" t="s">
        <v>58</v>
      </c>
      <c r="H662" t="s">
        <v>58</v>
      </c>
      <c r="I662" t="s">
        <v>58</v>
      </c>
      <c r="J662" t="s">
        <v>58</v>
      </c>
      <c r="K662">
        <v>5</v>
      </c>
      <c r="L662" t="s">
        <v>77</v>
      </c>
    </row>
    <row r="663" spans="1:12">
      <c r="A663">
        <v>662</v>
      </c>
      <c r="B663" t="s">
        <v>131</v>
      </c>
      <c r="C663" t="s">
        <v>92</v>
      </c>
      <c r="D663">
        <v>5</v>
      </c>
      <c r="E663" t="s">
        <v>165</v>
      </c>
      <c r="F663">
        <v>3</v>
      </c>
      <c r="G663" t="s">
        <v>58</v>
      </c>
      <c r="H663" t="s">
        <v>58</v>
      </c>
      <c r="I663" t="s">
        <v>58</v>
      </c>
      <c r="J663" t="s">
        <v>58</v>
      </c>
      <c r="K663">
        <v>0</v>
      </c>
      <c r="L663" t="s">
        <v>77</v>
      </c>
    </row>
    <row r="664" spans="1:12">
      <c r="A664">
        <v>663</v>
      </c>
      <c r="B664" t="s">
        <v>245</v>
      </c>
      <c r="C664" t="s">
        <v>95</v>
      </c>
      <c r="D664">
        <v>5</v>
      </c>
      <c r="E664" t="s">
        <v>165</v>
      </c>
      <c r="F664">
        <v>3</v>
      </c>
      <c r="G664" t="s">
        <v>58</v>
      </c>
      <c r="H664" t="s">
        <v>58</v>
      </c>
      <c r="I664" t="s">
        <v>58</v>
      </c>
      <c r="J664" t="s">
        <v>58</v>
      </c>
      <c r="K664">
        <v>0</v>
      </c>
      <c r="L664" t="s">
        <v>77</v>
      </c>
    </row>
    <row r="665" spans="1:12">
      <c r="A665">
        <v>664</v>
      </c>
      <c r="B665" t="s">
        <v>131</v>
      </c>
      <c r="C665" t="s">
        <v>99</v>
      </c>
      <c r="D665">
        <v>2</v>
      </c>
      <c r="E665" t="s">
        <v>165</v>
      </c>
      <c r="F665">
        <v>3</v>
      </c>
      <c r="G665" t="s">
        <v>58</v>
      </c>
      <c r="H665" t="s">
        <v>58</v>
      </c>
      <c r="I665" t="s">
        <v>119</v>
      </c>
      <c r="J665" t="s">
        <v>239</v>
      </c>
      <c r="K665">
        <v>0</v>
      </c>
      <c r="L665" t="s">
        <v>77</v>
      </c>
    </row>
    <row r="666" spans="1:12">
      <c r="A666">
        <v>665</v>
      </c>
      <c r="B666" t="s">
        <v>131</v>
      </c>
      <c r="C666" t="s">
        <v>102</v>
      </c>
      <c r="D666">
        <v>2</v>
      </c>
      <c r="E666" t="s">
        <v>165</v>
      </c>
      <c r="F666">
        <v>3</v>
      </c>
      <c r="G666" t="s">
        <v>58</v>
      </c>
      <c r="H666" t="s">
        <v>58</v>
      </c>
      <c r="I666" t="s">
        <v>141</v>
      </c>
      <c r="J666" t="s">
        <v>240</v>
      </c>
      <c r="K666">
        <v>0</v>
      </c>
      <c r="L666" t="s">
        <v>77</v>
      </c>
    </row>
    <row r="667" spans="1:12">
      <c r="A667">
        <v>666</v>
      </c>
      <c r="B667" t="s">
        <v>131</v>
      </c>
      <c r="C667" t="s">
        <v>247</v>
      </c>
      <c r="D667">
        <v>1</v>
      </c>
      <c r="E667" t="s">
        <v>165</v>
      </c>
      <c r="F667">
        <v>3</v>
      </c>
      <c r="G667" t="s">
        <v>162</v>
      </c>
      <c r="H667" t="s">
        <v>167</v>
      </c>
      <c r="I667" t="s">
        <v>58</v>
      </c>
      <c r="J667" t="s">
        <v>58</v>
      </c>
      <c r="K667">
        <v>0</v>
      </c>
      <c r="L667" t="s">
        <v>77</v>
      </c>
    </row>
    <row r="668" spans="1:12">
      <c r="A668">
        <v>667</v>
      </c>
      <c r="B668" t="s">
        <v>131</v>
      </c>
      <c r="C668" t="s">
        <v>90</v>
      </c>
      <c r="D668">
        <v>1</v>
      </c>
      <c r="E668" t="s">
        <v>165</v>
      </c>
      <c r="F668">
        <v>3</v>
      </c>
      <c r="G668" t="s">
        <v>109</v>
      </c>
      <c r="H668" t="s">
        <v>151</v>
      </c>
      <c r="I668" t="s">
        <v>58</v>
      </c>
      <c r="J668" t="s">
        <v>58</v>
      </c>
      <c r="K668">
        <v>0</v>
      </c>
      <c r="L668" t="s">
        <v>77</v>
      </c>
    </row>
    <row r="669" spans="1:12">
      <c r="A669">
        <v>668</v>
      </c>
      <c r="B669" t="s">
        <v>245</v>
      </c>
      <c r="C669" t="s">
        <v>92</v>
      </c>
      <c r="D669">
        <v>3</v>
      </c>
      <c r="E669" t="s">
        <v>165</v>
      </c>
      <c r="F669">
        <v>3</v>
      </c>
      <c r="G669" t="s">
        <v>58</v>
      </c>
      <c r="H669" t="s">
        <v>58</v>
      </c>
      <c r="I669" t="s">
        <v>58</v>
      </c>
      <c r="J669" t="s">
        <v>58</v>
      </c>
      <c r="K669">
        <v>0</v>
      </c>
      <c r="L669" t="s">
        <v>77</v>
      </c>
    </row>
    <row r="670" spans="1:12">
      <c r="A670">
        <v>669</v>
      </c>
      <c r="B670" t="s">
        <v>245</v>
      </c>
      <c r="C670" t="s">
        <v>95</v>
      </c>
      <c r="D670">
        <v>3</v>
      </c>
      <c r="E670" t="s">
        <v>165</v>
      </c>
      <c r="F670">
        <v>3</v>
      </c>
      <c r="G670" t="s">
        <v>58</v>
      </c>
      <c r="H670" t="s">
        <v>58</v>
      </c>
      <c r="I670" t="s">
        <v>58</v>
      </c>
      <c r="J670" t="s">
        <v>58</v>
      </c>
      <c r="K670">
        <v>0</v>
      </c>
      <c r="L670" t="s">
        <v>77</v>
      </c>
    </row>
    <row r="671" spans="1:12">
      <c r="A671">
        <v>670</v>
      </c>
      <c r="B671" t="s">
        <v>131</v>
      </c>
      <c r="C671" t="s">
        <v>99</v>
      </c>
      <c r="D671">
        <v>4</v>
      </c>
      <c r="E671" t="s">
        <v>165</v>
      </c>
      <c r="F671">
        <v>3</v>
      </c>
      <c r="G671" t="s">
        <v>58</v>
      </c>
      <c r="H671" t="s">
        <v>58</v>
      </c>
      <c r="I671" t="s">
        <v>58</v>
      </c>
      <c r="J671" t="s">
        <v>58</v>
      </c>
      <c r="K671">
        <v>5</v>
      </c>
      <c r="L671" t="s">
        <v>77</v>
      </c>
    </row>
    <row r="672" spans="1:12">
      <c r="A672">
        <v>671</v>
      </c>
      <c r="B672" t="s">
        <v>131</v>
      </c>
      <c r="C672" t="s">
        <v>102</v>
      </c>
      <c r="D672">
        <v>4</v>
      </c>
      <c r="E672" t="s">
        <v>165</v>
      </c>
      <c r="F672">
        <v>3</v>
      </c>
      <c r="G672" t="s">
        <v>58</v>
      </c>
      <c r="H672" t="s">
        <v>58</v>
      </c>
      <c r="I672" t="s">
        <v>58</v>
      </c>
      <c r="J672" t="s">
        <v>58</v>
      </c>
      <c r="K672">
        <v>5</v>
      </c>
      <c r="L672" t="s">
        <v>77</v>
      </c>
    </row>
    <row r="673" spans="1:12">
      <c r="A673">
        <v>672</v>
      </c>
      <c r="B673" t="s">
        <v>180</v>
      </c>
      <c r="C673" t="s">
        <v>247</v>
      </c>
      <c r="D673">
        <v>0</v>
      </c>
      <c r="E673" t="s">
        <v>165</v>
      </c>
      <c r="F673">
        <v>3</v>
      </c>
      <c r="G673" t="s">
        <v>58</v>
      </c>
      <c r="H673" t="s">
        <v>58</v>
      </c>
      <c r="I673" t="s">
        <v>58</v>
      </c>
      <c r="J673" t="s">
        <v>58</v>
      </c>
      <c r="K673">
        <v>0</v>
      </c>
      <c r="L673" t="s">
        <v>77</v>
      </c>
    </row>
    <row r="674" spans="1:12">
      <c r="A674">
        <v>673</v>
      </c>
      <c r="B674" t="s">
        <v>131</v>
      </c>
      <c r="C674" t="s">
        <v>90</v>
      </c>
      <c r="D674">
        <v>2</v>
      </c>
      <c r="E674" t="s">
        <v>165</v>
      </c>
      <c r="F674">
        <v>3</v>
      </c>
      <c r="G674" t="s">
        <v>58</v>
      </c>
      <c r="H674" t="s">
        <v>58</v>
      </c>
      <c r="I674" t="s">
        <v>105</v>
      </c>
      <c r="J674" t="s">
        <v>244</v>
      </c>
      <c r="K674">
        <v>0</v>
      </c>
      <c r="L674" t="s">
        <v>77</v>
      </c>
    </row>
    <row r="675" spans="1:12">
      <c r="A675">
        <v>674</v>
      </c>
      <c r="B675" t="s">
        <v>131</v>
      </c>
      <c r="C675" t="s">
        <v>92</v>
      </c>
      <c r="D675">
        <v>1</v>
      </c>
      <c r="E675" t="s">
        <v>165</v>
      </c>
      <c r="F675">
        <v>3</v>
      </c>
      <c r="G675" t="s">
        <v>162</v>
      </c>
      <c r="H675" t="s">
        <v>167</v>
      </c>
      <c r="I675" t="s">
        <v>58</v>
      </c>
      <c r="J675" t="s">
        <v>58</v>
      </c>
      <c r="K675">
        <v>0</v>
      </c>
      <c r="L675" t="s">
        <v>77</v>
      </c>
    </row>
    <row r="676" spans="1:12">
      <c r="A676">
        <v>675</v>
      </c>
      <c r="B676" t="s">
        <v>131</v>
      </c>
      <c r="C676" t="s">
        <v>95</v>
      </c>
      <c r="D676">
        <v>1</v>
      </c>
      <c r="E676" t="s">
        <v>165</v>
      </c>
      <c r="F676">
        <v>3</v>
      </c>
      <c r="G676" t="s">
        <v>166</v>
      </c>
      <c r="H676" t="s">
        <v>167</v>
      </c>
      <c r="I676" t="s">
        <v>58</v>
      </c>
      <c r="J676" t="s">
        <v>58</v>
      </c>
      <c r="K676">
        <v>0</v>
      </c>
      <c r="L676" t="s">
        <v>77</v>
      </c>
    </row>
    <row r="677" spans="1:12">
      <c r="A677">
        <v>676</v>
      </c>
      <c r="B677" t="s">
        <v>245</v>
      </c>
      <c r="C677" t="s">
        <v>99</v>
      </c>
      <c r="D677">
        <v>3</v>
      </c>
      <c r="E677" t="s">
        <v>165</v>
      </c>
      <c r="F677">
        <v>3</v>
      </c>
      <c r="G677" t="s">
        <v>58</v>
      </c>
      <c r="H677" t="s">
        <v>58</v>
      </c>
      <c r="I677" t="s">
        <v>58</v>
      </c>
      <c r="J677" t="s">
        <v>58</v>
      </c>
      <c r="K677">
        <v>0</v>
      </c>
      <c r="L677" t="s">
        <v>77</v>
      </c>
    </row>
    <row r="678" spans="1:12">
      <c r="A678">
        <v>677</v>
      </c>
      <c r="B678" t="s">
        <v>245</v>
      </c>
      <c r="C678" t="s">
        <v>102</v>
      </c>
      <c r="D678">
        <v>3</v>
      </c>
      <c r="E678" t="s">
        <v>165</v>
      </c>
      <c r="F678">
        <v>3</v>
      </c>
      <c r="G678" t="s">
        <v>58</v>
      </c>
      <c r="H678" t="s">
        <v>58</v>
      </c>
      <c r="I678" t="s">
        <v>58</v>
      </c>
      <c r="J678" t="s">
        <v>58</v>
      </c>
      <c r="K678">
        <v>0</v>
      </c>
      <c r="L678" t="s">
        <v>77</v>
      </c>
    </row>
    <row r="679" spans="1:12">
      <c r="A679">
        <v>678</v>
      </c>
      <c r="B679" t="s">
        <v>131</v>
      </c>
      <c r="C679" t="s">
        <v>247</v>
      </c>
      <c r="D679">
        <v>4</v>
      </c>
      <c r="E679" t="s">
        <v>165</v>
      </c>
      <c r="F679">
        <v>3</v>
      </c>
      <c r="G679" t="s">
        <v>58</v>
      </c>
      <c r="H679" t="s">
        <v>58</v>
      </c>
      <c r="I679" t="s">
        <v>58</v>
      </c>
      <c r="J679" t="s">
        <v>58</v>
      </c>
      <c r="K679">
        <v>5</v>
      </c>
      <c r="L679" t="s">
        <v>77</v>
      </c>
    </row>
    <row r="680" spans="1:12">
      <c r="A680">
        <v>679</v>
      </c>
      <c r="B680" t="s">
        <v>131</v>
      </c>
      <c r="C680" t="s">
        <v>90</v>
      </c>
      <c r="D680">
        <v>4</v>
      </c>
      <c r="E680" t="s">
        <v>165</v>
      </c>
      <c r="F680">
        <v>3</v>
      </c>
      <c r="G680" t="s">
        <v>58</v>
      </c>
      <c r="H680" t="s">
        <v>58</v>
      </c>
      <c r="I680" t="s">
        <v>58</v>
      </c>
      <c r="J680" t="s">
        <v>58</v>
      </c>
      <c r="K680">
        <v>5</v>
      </c>
      <c r="L680" t="s">
        <v>77</v>
      </c>
    </row>
    <row r="681" spans="1:12">
      <c r="A681">
        <v>680</v>
      </c>
      <c r="B681" t="s">
        <v>131</v>
      </c>
      <c r="C681" t="s">
        <v>92</v>
      </c>
      <c r="D681">
        <v>5</v>
      </c>
      <c r="E681" t="s">
        <v>165</v>
      </c>
      <c r="F681">
        <v>3</v>
      </c>
      <c r="G681" t="s">
        <v>58</v>
      </c>
      <c r="H681" t="s">
        <v>58</v>
      </c>
      <c r="I681" t="s">
        <v>58</v>
      </c>
      <c r="J681" t="s">
        <v>58</v>
      </c>
      <c r="K681">
        <v>0</v>
      </c>
      <c r="L681" t="s">
        <v>77</v>
      </c>
    </row>
    <row r="682" spans="1:12">
      <c r="A682">
        <v>681</v>
      </c>
      <c r="B682" t="s">
        <v>245</v>
      </c>
      <c r="C682" t="s">
        <v>95</v>
      </c>
      <c r="D682">
        <v>5</v>
      </c>
      <c r="E682" t="s">
        <v>165</v>
      </c>
      <c r="F682">
        <v>3</v>
      </c>
      <c r="G682" t="s">
        <v>58</v>
      </c>
      <c r="H682" t="s">
        <v>58</v>
      </c>
      <c r="I682" t="s">
        <v>58</v>
      </c>
      <c r="J682" t="s">
        <v>58</v>
      </c>
      <c r="K682">
        <v>0</v>
      </c>
      <c r="L682" t="s">
        <v>77</v>
      </c>
    </row>
    <row r="683" spans="1:12">
      <c r="A683">
        <v>682</v>
      </c>
      <c r="B683" t="s">
        <v>245</v>
      </c>
      <c r="C683" t="s">
        <v>95</v>
      </c>
      <c r="D683">
        <v>5</v>
      </c>
      <c r="E683" t="s">
        <v>165</v>
      </c>
      <c r="F683">
        <v>3</v>
      </c>
      <c r="G683" t="s">
        <v>58</v>
      </c>
      <c r="H683" t="s">
        <v>58</v>
      </c>
      <c r="I683" t="s">
        <v>58</v>
      </c>
      <c r="J683" t="s">
        <v>58</v>
      </c>
      <c r="K683">
        <v>0</v>
      </c>
      <c r="L683" t="s">
        <v>77</v>
      </c>
    </row>
    <row r="684" spans="1:12">
      <c r="A684">
        <v>683</v>
      </c>
      <c r="B684" t="s">
        <v>131</v>
      </c>
      <c r="C684" t="s">
        <v>99</v>
      </c>
      <c r="D684">
        <v>2</v>
      </c>
      <c r="E684" t="s">
        <v>165</v>
      </c>
      <c r="F684">
        <v>3</v>
      </c>
      <c r="G684" t="s">
        <v>58</v>
      </c>
      <c r="H684" t="s">
        <v>58</v>
      </c>
      <c r="I684" t="s">
        <v>119</v>
      </c>
      <c r="J684" t="s">
        <v>239</v>
      </c>
      <c r="K684">
        <v>0</v>
      </c>
      <c r="L684" t="s">
        <v>77</v>
      </c>
    </row>
    <row r="685" spans="1:12">
      <c r="A685">
        <v>684</v>
      </c>
      <c r="B685" t="s">
        <v>131</v>
      </c>
      <c r="C685" t="s">
        <v>102</v>
      </c>
      <c r="D685">
        <v>2</v>
      </c>
      <c r="E685" t="s">
        <v>165</v>
      </c>
      <c r="F685">
        <v>3</v>
      </c>
      <c r="G685" t="s">
        <v>58</v>
      </c>
      <c r="H685" t="s">
        <v>58</v>
      </c>
      <c r="I685" t="s">
        <v>141</v>
      </c>
      <c r="J685" t="s">
        <v>240</v>
      </c>
      <c r="K685">
        <v>0</v>
      </c>
      <c r="L685" t="s">
        <v>77</v>
      </c>
    </row>
    <row r="686" spans="1:12">
      <c r="A686">
        <v>685</v>
      </c>
      <c r="B686" t="s">
        <v>131</v>
      </c>
      <c r="C686" t="s">
        <v>247</v>
      </c>
      <c r="D686">
        <v>1</v>
      </c>
      <c r="E686" t="s">
        <v>165</v>
      </c>
      <c r="F686">
        <v>3</v>
      </c>
      <c r="G686" t="s">
        <v>162</v>
      </c>
      <c r="H686" t="s">
        <v>167</v>
      </c>
      <c r="I686" t="s">
        <v>58</v>
      </c>
      <c r="J686" t="s">
        <v>58</v>
      </c>
      <c r="K686">
        <v>0</v>
      </c>
      <c r="L686" t="s">
        <v>77</v>
      </c>
    </row>
    <row r="687" spans="1:12">
      <c r="A687">
        <v>686</v>
      </c>
      <c r="B687" t="s">
        <v>131</v>
      </c>
      <c r="C687" t="s">
        <v>90</v>
      </c>
      <c r="D687">
        <v>1</v>
      </c>
      <c r="E687" t="s">
        <v>165</v>
      </c>
      <c r="F687">
        <v>3</v>
      </c>
      <c r="G687" t="s">
        <v>109</v>
      </c>
      <c r="H687" t="s">
        <v>151</v>
      </c>
      <c r="I687" t="s">
        <v>58</v>
      </c>
      <c r="J687" t="s">
        <v>58</v>
      </c>
      <c r="K687">
        <v>0</v>
      </c>
      <c r="L687" t="s">
        <v>77</v>
      </c>
    </row>
    <row r="688" spans="1:12">
      <c r="A688">
        <v>687</v>
      </c>
      <c r="B688" t="s">
        <v>245</v>
      </c>
      <c r="C688" t="s">
        <v>92</v>
      </c>
      <c r="D688">
        <v>3</v>
      </c>
      <c r="E688" t="s">
        <v>165</v>
      </c>
      <c r="F688">
        <v>3</v>
      </c>
      <c r="G688" t="s">
        <v>58</v>
      </c>
      <c r="H688" t="s">
        <v>58</v>
      </c>
      <c r="I688" t="s">
        <v>58</v>
      </c>
      <c r="J688" t="s">
        <v>58</v>
      </c>
      <c r="K688">
        <v>0</v>
      </c>
      <c r="L688" t="s">
        <v>77</v>
      </c>
    </row>
    <row r="689" spans="1:12">
      <c r="A689">
        <v>688</v>
      </c>
      <c r="B689" t="s">
        <v>245</v>
      </c>
      <c r="C689" t="s">
        <v>95</v>
      </c>
      <c r="D689">
        <v>3</v>
      </c>
      <c r="E689" t="s">
        <v>165</v>
      </c>
      <c r="F689">
        <v>3</v>
      </c>
      <c r="G689" t="s">
        <v>58</v>
      </c>
      <c r="H689" t="s">
        <v>58</v>
      </c>
      <c r="I689" t="s">
        <v>58</v>
      </c>
      <c r="J689" t="s">
        <v>58</v>
      </c>
      <c r="K689">
        <v>0</v>
      </c>
      <c r="L689" t="s">
        <v>77</v>
      </c>
    </row>
    <row r="690" spans="1:12">
      <c r="A690">
        <v>689</v>
      </c>
      <c r="B690" t="s">
        <v>131</v>
      </c>
      <c r="C690" t="s">
        <v>99</v>
      </c>
      <c r="D690">
        <v>4</v>
      </c>
      <c r="E690" t="s">
        <v>165</v>
      </c>
      <c r="F690">
        <v>3</v>
      </c>
      <c r="G690" t="s">
        <v>58</v>
      </c>
      <c r="H690" t="s">
        <v>58</v>
      </c>
      <c r="I690" t="s">
        <v>58</v>
      </c>
      <c r="J690" t="s">
        <v>58</v>
      </c>
      <c r="K690">
        <v>5</v>
      </c>
      <c r="L690" t="s">
        <v>77</v>
      </c>
    </row>
    <row r="691" spans="1:12">
      <c r="A691">
        <v>690</v>
      </c>
      <c r="B691" t="s">
        <v>131</v>
      </c>
      <c r="C691" t="s">
        <v>102</v>
      </c>
      <c r="D691">
        <v>4</v>
      </c>
      <c r="E691" t="s">
        <v>165</v>
      </c>
      <c r="F691">
        <v>3</v>
      </c>
      <c r="G691" t="s">
        <v>58</v>
      </c>
      <c r="H691" t="s">
        <v>58</v>
      </c>
      <c r="I691" t="s">
        <v>58</v>
      </c>
      <c r="J691" t="s">
        <v>58</v>
      </c>
      <c r="K691">
        <v>5</v>
      </c>
      <c r="L691" t="s">
        <v>77</v>
      </c>
    </row>
    <row r="692" spans="1:12">
      <c r="A692">
        <v>691</v>
      </c>
      <c r="B692" t="s">
        <v>180</v>
      </c>
      <c r="C692" t="s">
        <v>247</v>
      </c>
      <c r="D692">
        <v>0</v>
      </c>
      <c r="E692" t="s">
        <v>165</v>
      </c>
      <c r="F692">
        <v>3</v>
      </c>
      <c r="G692" t="s">
        <v>58</v>
      </c>
      <c r="H692" t="s">
        <v>58</v>
      </c>
      <c r="I692" t="s">
        <v>58</v>
      </c>
      <c r="J692" t="s">
        <v>58</v>
      </c>
      <c r="K692">
        <v>0</v>
      </c>
      <c r="L692" t="s">
        <v>77</v>
      </c>
    </row>
    <row r="693" spans="1:12">
      <c r="A693">
        <v>692</v>
      </c>
      <c r="B693" t="s">
        <v>131</v>
      </c>
      <c r="C693" t="s">
        <v>90</v>
      </c>
      <c r="D693">
        <v>2</v>
      </c>
      <c r="E693" t="s">
        <v>165</v>
      </c>
      <c r="F693">
        <v>3</v>
      </c>
      <c r="G693" t="s">
        <v>58</v>
      </c>
      <c r="H693" t="s">
        <v>58</v>
      </c>
      <c r="I693" t="s">
        <v>105</v>
      </c>
      <c r="J693" t="s">
        <v>244</v>
      </c>
      <c r="K693">
        <v>0</v>
      </c>
      <c r="L693" t="s">
        <v>77</v>
      </c>
    </row>
    <row r="694" spans="1:12">
      <c r="A694">
        <v>693</v>
      </c>
      <c r="B694" t="s">
        <v>131</v>
      </c>
      <c r="C694" t="s">
        <v>92</v>
      </c>
      <c r="D694">
        <v>1</v>
      </c>
      <c r="E694" t="s">
        <v>165</v>
      </c>
      <c r="F694">
        <v>3</v>
      </c>
      <c r="G694" t="s">
        <v>162</v>
      </c>
      <c r="H694" t="s">
        <v>167</v>
      </c>
      <c r="I694" t="s">
        <v>58</v>
      </c>
      <c r="J694" t="s">
        <v>58</v>
      </c>
      <c r="K694">
        <v>0</v>
      </c>
      <c r="L694" t="s">
        <v>77</v>
      </c>
    </row>
    <row r="695" spans="1:12">
      <c r="A695">
        <v>694</v>
      </c>
      <c r="B695" t="s">
        <v>131</v>
      </c>
      <c r="C695" t="s">
        <v>95</v>
      </c>
      <c r="D695">
        <v>1</v>
      </c>
      <c r="E695" t="s">
        <v>165</v>
      </c>
      <c r="F695">
        <v>3</v>
      </c>
      <c r="G695" t="s">
        <v>166</v>
      </c>
      <c r="H695" t="s">
        <v>167</v>
      </c>
      <c r="I695" t="s">
        <v>58</v>
      </c>
      <c r="J695" t="s">
        <v>58</v>
      </c>
      <c r="K695">
        <v>0</v>
      </c>
      <c r="L695" t="s">
        <v>77</v>
      </c>
    </row>
    <row r="696" spans="1:12">
      <c r="A696">
        <v>695</v>
      </c>
      <c r="B696" t="s">
        <v>245</v>
      </c>
      <c r="C696" t="s">
        <v>99</v>
      </c>
      <c r="D696">
        <v>3</v>
      </c>
      <c r="E696" t="s">
        <v>165</v>
      </c>
      <c r="F696">
        <v>3</v>
      </c>
      <c r="G696" t="s">
        <v>58</v>
      </c>
      <c r="H696" t="s">
        <v>58</v>
      </c>
      <c r="I696" t="s">
        <v>58</v>
      </c>
      <c r="J696" t="s">
        <v>58</v>
      </c>
      <c r="K696">
        <v>0</v>
      </c>
      <c r="L696" t="s">
        <v>77</v>
      </c>
    </row>
    <row r="697" spans="1:12">
      <c r="A697">
        <v>696</v>
      </c>
      <c r="B697" t="s">
        <v>245</v>
      </c>
      <c r="C697" t="s">
        <v>102</v>
      </c>
      <c r="D697">
        <v>3</v>
      </c>
      <c r="E697" t="s">
        <v>165</v>
      </c>
      <c r="F697">
        <v>3</v>
      </c>
      <c r="G697" t="s">
        <v>58</v>
      </c>
      <c r="H697" t="s">
        <v>58</v>
      </c>
      <c r="I697" t="s">
        <v>58</v>
      </c>
      <c r="J697" t="s">
        <v>58</v>
      </c>
      <c r="K697">
        <v>0</v>
      </c>
      <c r="L697" t="s">
        <v>77</v>
      </c>
    </row>
    <row r="698" spans="1:12">
      <c r="A698">
        <v>697</v>
      </c>
      <c r="B698" t="s">
        <v>245</v>
      </c>
      <c r="C698" t="s">
        <v>90</v>
      </c>
      <c r="D698">
        <v>1</v>
      </c>
      <c r="E698" t="s">
        <v>165</v>
      </c>
      <c r="F698">
        <v>3</v>
      </c>
      <c r="G698" t="s">
        <v>109</v>
      </c>
      <c r="H698" t="s">
        <v>151</v>
      </c>
      <c r="I698" t="s">
        <v>58</v>
      </c>
      <c r="J698" t="s">
        <v>58</v>
      </c>
      <c r="K698">
        <v>0</v>
      </c>
      <c r="L698" t="s">
        <v>77</v>
      </c>
    </row>
    <row r="699" spans="1:12">
      <c r="A699">
        <v>698</v>
      </c>
      <c r="B699" t="s">
        <v>131</v>
      </c>
      <c r="C699" t="s">
        <v>92</v>
      </c>
      <c r="D699">
        <v>3</v>
      </c>
      <c r="E699" t="s">
        <v>165</v>
      </c>
      <c r="F699">
        <v>3</v>
      </c>
      <c r="G699" t="s">
        <v>58</v>
      </c>
      <c r="H699" t="s">
        <v>58</v>
      </c>
      <c r="I699" t="s">
        <v>58</v>
      </c>
      <c r="J699" t="s">
        <v>58</v>
      </c>
      <c r="K699">
        <v>0</v>
      </c>
      <c r="L699" t="s">
        <v>77</v>
      </c>
    </row>
    <row r="700" spans="1:12">
      <c r="A700">
        <v>699</v>
      </c>
      <c r="B700" t="s">
        <v>131</v>
      </c>
      <c r="C700" t="s">
        <v>95</v>
      </c>
      <c r="D700">
        <v>3</v>
      </c>
      <c r="E700" t="s">
        <v>165</v>
      </c>
      <c r="F700">
        <v>3</v>
      </c>
      <c r="G700" t="s">
        <v>58</v>
      </c>
      <c r="H700" t="s">
        <v>58</v>
      </c>
      <c r="I700" t="s">
        <v>58</v>
      </c>
      <c r="J700" t="s">
        <v>58</v>
      </c>
      <c r="K700">
        <v>0</v>
      </c>
      <c r="L700" t="s">
        <v>77</v>
      </c>
    </row>
    <row r="701" spans="1:12">
      <c r="A701">
        <v>700</v>
      </c>
      <c r="B701" t="s">
        <v>131</v>
      </c>
      <c r="C701" t="s">
        <v>99</v>
      </c>
      <c r="D701">
        <v>4</v>
      </c>
      <c r="E701" t="s">
        <v>165</v>
      </c>
      <c r="F701">
        <v>3</v>
      </c>
      <c r="G701" t="s">
        <v>58</v>
      </c>
      <c r="H701" t="s">
        <v>58</v>
      </c>
      <c r="I701" t="s">
        <v>58</v>
      </c>
      <c r="J701" t="s">
        <v>58</v>
      </c>
      <c r="K701">
        <v>5</v>
      </c>
      <c r="L701" t="s">
        <v>77</v>
      </c>
    </row>
    <row r="702" spans="1:12">
      <c r="A702">
        <v>701</v>
      </c>
      <c r="B702" t="s">
        <v>131</v>
      </c>
      <c r="C702" t="s">
        <v>102</v>
      </c>
      <c r="D702">
        <v>4</v>
      </c>
      <c r="E702" t="s">
        <v>165</v>
      </c>
      <c r="F702">
        <v>3</v>
      </c>
      <c r="G702" t="s">
        <v>58</v>
      </c>
      <c r="H702" t="s">
        <v>58</v>
      </c>
      <c r="I702" t="s">
        <v>58</v>
      </c>
      <c r="J702" t="s">
        <v>58</v>
      </c>
      <c r="K702">
        <v>5</v>
      </c>
      <c r="L702" t="s">
        <v>77</v>
      </c>
    </row>
    <row r="703" spans="1:12">
      <c r="A703">
        <v>702</v>
      </c>
      <c r="B703" t="s">
        <v>180</v>
      </c>
      <c r="C703" t="s">
        <v>247</v>
      </c>
      <c r="D703">
        <v>0</v>
      </c>
      <c r="E703" t="s">
        <v>165</v>
      </c>
      <c r="F703">
        <v>3</v>
      </c>
      <c r="G703" t="s">
        <v>58</v>
      </c>
      <c r="H703" t="s">
        <v>58</v>
      </c>
      <c r="I703" t="s">
        <v>58</v>
      </c>
      <c r="J703" t="s">
        <v>58</v>
      </c>
      <c r="K703">
        <v>0</v>
      </c>
      <c r="L703" t="s">
        <v>77</v>
      </c>
    </row>
    <row r="704" spans="1:12">
      <c r="A704">
        <v>703</v>
      </c>
      <c r="B704" t="s">
        <v>131</v>
      </c>
      <c r="C704" t="s">
        <v>102</v>
      </c>
      <c r="D704">
        <v>5</v>
      </c>
      <c r="E704" t="s">
        <v>165</v>
      </c>
      <c r="F704">
        <v>3</v>
      </c>
      <c r="G704" t="s">
        <v>58</v>
      </c>
      <c r="H704" t="s">
        <v>58</v>
      </c>
      <c r="I704" t="s">
        <v>58</v>
      </c>
      <c r="J704" t="s">
        <v>58</v>
      </c>
      <c r="K704">
        <v>0</v>
      </c>
      <c r="L704" t="s">
        <v>77</v>
      </c>
    </row>
    <row r="705" spans="1:12">
      <c r="A705">
        <v>704</v>
      </c>
      <c r="B705" t="s">
        <v>131</v>
      </c>
      <c r="C705" t="s">
        <v>247</v>
      </c>
      <c r="D705">
        <v>2</v>
      </c>
      <c r="E705" t="s">
        <v>165</v>
      </c>
      <c r="F705">
        <v>3</v>
      </c>
      <c r="G705" t="s">
        <v>58</v>
      </c>
      <c r="H705" t="s">
        <v>58</v>
      </c>
      <c r="I705" t="s">
        <v>153</v>
      </c>
      <c r="J705" t="s">
        <v>233</v>
      </c>
      <c r="K705">
        <v>0</v>
      </c>
      <c r="L705" t="s">
        <v>77</v>
      </c>
    </row>
    <row r="706" spans="1:12">
      <c r="A706">
        <v>705</v>
      </c>
      <c r="B706" t="s">
        <v>131</v>
      </c>
      <c r="C706" t="s">
        <v>90</v>
      </c>
      <c r="D706">
        <v>2</v>
      </c>
      <c r="E706" t="s">
        <v>165</v>
      </c>
      <c r="F706">
        <v>3</v>
      </c>
      <c r="G706" t="s">
        <v>58</v>
      </c>
      <c r="H706" t="s">
        <v>58</v>
      </c>
      <c r="I706" t="s">
        <v>105</v>
      </c>
      <c r="J706" t="s">
        <v>244</v>
      </c>
      <c r="K706">
        <v>0</v>
      </c>
      <c r="L706" t="s">
        <v>77</v>
      </c>
    </row>
    <row r="707" spans="1:12">
      <c r="A707">
        <v>706</v>
      </c>
      <c r="B707" t="s">
        <v>131</v>
      </c>
      <c r="C707" t="s">
        <v>92</v>
      </c>
      <c r="D707">
        <v>1</v>
      </c>
      <c r="E707" t="s">
        <v>165</v>
      </c>
      <c r="F707">
        <v>3</v>
      </c>
      <c r="G707" t="s">
        <v>162</v>
      </c>
      <c r="H707" t="s">
        <v>167</v>
      </c>
      <c r="I707" t="s">
        <v>58</v>
      </c>
      <c r="J707" t="s">
        <v>58</v>
      </c>
      <c r="K707">
        <v>0</v>
      </c>
      <c r="L707" t="s">
        <v>77</v>
      </c>
    </row>
    <row r="708" spans="1:12">
      <c r="A708">
        <v>707</v>
      </c>
      <c r="B708" t="s">
        <v>131</v>
      </c>
      <c r="C708" t="s">
        <v>95</v>
      </c>
      <c r="D708">
        <v>1</v>
      </c>
      <c r="E708" t="s">
        <v>165</v>
      </c>
      <c r="F708">
        <v>3</v>
      </c>
      <c r="G708" t="s">
        <v>166</v>
      </c>
      <c r="H708" t="s">
        <v>167</v>
      </c>
      <c r="I708" t="s">
        <v>58</v>
      </c>
      <c r="J708" t="s">
        <v>58</v>
      </c>
      <c r="K708">
        <v>0</v>
      </c>
      <c r="L708" t="s">
        <v>77</v>
      </c>
    </row>
    <row r="709" spans="1:12">
      <c r="A709">
        <v>708</v>
      </c>
      <c r="B709" t="s">
        <v>245</v>
      </c>
      <c r="C709" t="s">
        <v>99</v>
      </c>
      <c r="D709">
        <v>3</v>
      </c>
      <c r="E709" t="s">
        <v>165</v>
      </c>
      <c r="F709">
        <v>3</v>
      </c>
      <c r="G709" t="s">
        <v>58</v>
      </c>
      <c r="H709" t="s">
        <v>58</v>
      </c>
      <c r="I709" t="s">
        <v>58</v>
      </c>
      <c r="J709" t="s">
        <v>58</v>
      </c>
      <c r="K709">
        <v>0</v>
      </c>
      <c r="L709" t="s">
        <v>77</v>
      </c>
    </row>
    <row r="710" spans="1:12">
      <c r="A710">
        <v>709</v>
      </c>
      <c r="B710" t="s">
        <v>131</v>
      </c>
      <c r="C710" t="s">
        <v>247</v>
      </c>
      <c r="D710">
        <v>2</v>
      </c>
      <c r="E710" t="s">
        <v>165</v>
      </c>
      <c r="F710">
        <v>3</v>
      </c>
      <c r="G710" t="s">
        <v>58</v>
      </c>
      <c r="H710" t="s">
        <v>58</v>
      </c>
      <c r="I710" t="s">
        <v>153</v>
      </c>
      <c r="J710" t="s">
        <v>233</v>
      </c>
      <c r="K710">
        <v>0</v>
      </c>
      <c r="L710" t="s">
        <v>77</v>
      </c>
    </row>
    <row r="711" spans="1:12">
      <c r="A711">
        <v>710</v>
      </c>
      <c r="B711" t="s">
        <v>131</v>
      </c>
      <c r="C711" t="s">
        <v>90</v>
      </c>
      <c r="D711">
        <v>2</v>
      </c>
      <c r="E711" t="s">
        <v>165</v>
      </c>
      <c r="F711">
        <v>3</v>
      </c>
      <c r="G711" t="s">
        <v>58</v>
      </c>
      <c r="H711" t="s">
        <v>58</v>
      </c>
      <c r="I711" t="s">
        <v>105</v>
      </c>
      <c r="J711" t="s">
        <v>244</v>
      </c>
      <c r="K711">
        <v>0</v>
      </c>
      <c r="L711" t="s">
        <v>77</v>
      </c>
    </row>
    <row r="712" spans="1:12">
      <c r="A712">
        <v>711</v>
      </c>
      <c r="B712" t="s">
        <v>131</v>
      </c>
      <c r="C712" t="s">
        <v>92</v>
      </c>
      <c r="D712">
        <v>1</v>
      </c>
      <c r="E712" t="s">
        <v>165</v>
      </c>
      <c r="F712">
        <v>3</v>
      </c>
      <c r="G712" t="s">
        <v>162</v>
      </c>
      <c r="H712" t="s">
        <v>167</v>
      </c>
      <c r="I712" t="s">
        <v>58</v>
      </c>
      <c r="J712" t="s">
        <v>58</v>
      </c>
      <c r="K712">
        <v>0</v>
      </c>
      <c r="L712" t="s">
        <v>77</v>
      </c>
    </row>
    <row r="713" spans="1:12">
      <c r="A713">
        <v>712</v>
      </c>
      <c r="B713" t="s">
        <v>131</v>
      </c>
      <c r="C713" t="s">
        <v>95</v>
      </c>
      <c r="D713">
        <v>1</v>
      </c>
      <c r="E713" t="s">
        <v>165</v>
      </c>
      <c r="F713">
        <v>3</v>
      </c>
      <c r="G713" t="s">
        <v>166</v>
      </c>
      <c r="H713" t="s">
        <v>167</v>
      </c>
      <c r="I713" t="s">
        <v>58</v>
      </c>
      <c r="J713" t="s">
        <v>58</v>
      </c>
      <c r="K713">
        <v>0</v>
      </c>
      <c r="L713" t="s">
        <v>77</v>
      </c>
    </row>
    <row r="714" spans="1:12">
      <c r="A714">
        <v>713</v>
      </c>
      <c r="B714" t="s">
        <v>131</v>
      </c>
      <c r="C714" t="s">
        <v>99</v>
      </c>
      <c r="D714">
        <v>3</v>
      </c>
      <c r="E714" t="s">
        <v>165</v>
      </c>
      <c r="F714">
        <v>3</v>
      </c>
      <c r="G714" t="s">
        <v>58</v>
      </c>
      <c r="H714" t="s">
        <v>58</v>
      </c>
      <c r="I714" t="s">
        <v>58</v>
      </c>
      <c r="J714" t="s">
        <v>58</v>
      </c>
      <c r="K714">
        <v>0</v>
      </c>
      <c r="L714" t="s">
        <v>77</v>
      </c>
    </row>
    <row r="715" spans="1:12">
      <c r="A715">
        <v>714</v>
      </c>
      <c r="B715" t="s">
        <v>131</v>
      </c>
      <c r="C715" t="s">
        <v>102</v>
      </c>
      <c r="D715">
        <v>3</v>
      </c>
      <c r="E715" t="s">
        <v>165</v>
      </c>
      <c r="F715">
        <v>3</v>
      </c>
      <c r="G715" t="s">
        <v>58</v>
      </c>
      <c r="H715" t="s">
        <v>58</v>
      </c>
      <c r="I715" t="s">
        <v>58</v>
      </c>
      <c r="J715" t="s">
        <v>58</v>
      </c>
      <c r="K715">
        <v>0</v>
      </c>
      <c r="L715" t="s">
        <v>77</v>
      </c>
    </row>
    <row r="716" spans="1:12">
      <c r="A716">
        <v>715</v>
      </c>
      <c r="B716" t="s">
        <v>131</v>
      </c>
      <c r="C716" t="s">
        <v>247</v>
      </c>
      <c r="D716">
        <v>4</v>
      </c>
      <c r="E716" t="s">
        <v>165</v>
      </c>
      <c r="F716">
        <v>3</v>
      </c>
      <c r="G716" t="s">
        <v>58</v>
      </c>
      <c r="H716" t="s">
        <v>58</v>
      </c>
      <c r="I716" t="s">
        <v>58</v>
      </c>
      <c r="J716" t="s">
        <v>58</v>
      </c>
      <c r="K716">
        <v>5</v>
      </c>
      <c r="L716" t="s">
        <v>77</v>
      </c>
    </row>
    <row r="717" spans="1:12">
      <c r="A717">
        <v>716</v>
      </c>
      <c r="B717" t="s">
        <v>131</v>
      </c>
      <c r="C717" t="s">
        <v>90</v>
      </c>
      <c r="D717">
        <v>4</v>
      </c>
      <c r="E717" t="s">
        <v>165</v>
      </c>
      <c r="F717">
        <v>3</v>
      </c>
      <c r="G717" t="s">
        <v>58</v>
      </c>
      <c r="H717" t="s">
        <v>58</v>
      </c>
      <c r="I717" t="s">
        <v>58</v>
      </c>
      <c r="J717" t="s">
        <v>58</v>
      </c>
      <c r="K717">
        <v>5</v>
      </c>
      <c r="L717" t="s">
        <v>77</v>
      </c>
    </row>
    <row r="718" spans="1:12">
      <c r="A718">
        <v>717</v>
      </c>
      <c r="B718" t="s">
        <v>131</v>
      </c>
      <c r="C718" t="s">
        <v>92</v>
      </c>
      <c r="D718">
        <v>5</v>
      </c>
      <c r="E718" t="s">
        <v>165</v>
      </c>
      <c r="F718">
        <v>3</v>
      </c>
      <c r="G718" t="s">
        <v>58</v>
      </c>
      <c r="H718" t="s">
        <v>58</v>
      </c>
      <c r="I718" t="s">
        <v>58</v>
      </c>
      <c r="J718" t="s">
        <v>58</v>
      </c>
      <c r="K718">
        <v>0</v>
      </c>
      <c r="L718" t="s">
        <v>77</v>
      </c>
    </row>
    <row r="719" spans="1:12">
      <c r="A719">
        <v>718</v>
      </c>
      <c r="B719" t="s">
        <v>131</v>
      </c>
      <c r="C719" t="s">
        <v>95</v>
      </c>
      <c r="D719">
        <v>5</v>
      </c>
      <c r="E719" t="s">
        <v>165</v>
      </c>
      <c r="F719">
        <v>3</v>
      </c>
      <c r="G719" t="s">
        <v>58</v>
      </c>
      <c r="H719" t="s">
        <v>58</v>
      </c>
      <c r="I719" t="s">
        <v>58</v>
      </c>
      <c r="J719" t="s">
        <v>58</v>
      </c>
      <c r="K719">
        <v>0</v>
      </c>
      <c r="L719" t="s">
        <v>77</v>
      </c>
    </row>
    <row r="720" spans="1:12">
      <c r="A720">
        <v>719</v>
      </c>
      <c r="B720" t="s">
        <v>131</v>
      </c>
      <c r="C720" t="s">
        <v>99</v>
      </c>
      <c r="D720">
        <v>2</v>
      </c>
      <c r="E720" t="s">
        <v>165</v>
      </c>
      <c r="F720">
        <v>3</v>
      </c>
      <c r="G720" t="s">
        <v>58</v>
      </c>
      <c r="H720" t="s">
        <v>58</v>
      </c>
      <c r="I720" t="s">
        <v>119</v>
      </c>
      <c r="J720" t="s">
        <v>239</v>
      </c>
      <c r="K720">
        <v>0</v>
      </c>
      <c r="L720" t="s">
        <v>77</v>
      </c>
    </row>
    <row r="721" spans="1:12">
      <c r="A721">
        <v>720</v>
      </c>
      <c r="B721" t="s">
        <v>131</v>
      </c>
      <c r="C721" t="s">
        <v>102</v>
      </c>
      <c r="D721">
        <v>2</v>
      </c>
      <c r="E721" t="s">
        <v>165</v>
      </c>
      <c r="F721">
        <v>3</v>
      </c>
      <c r="G721" t="s">
        <v>58</v>
      </c>
      <c r="H721" t="s">
        <v>58</v>
      </c>
      <c r="I721" t="s">
        <v>141</v>
      </c>
      <c r="J721" t="s">
        <v>240</v>
      </c>
      <c r="K721">
        <v>0</v>
      </c>
      <c r="L721" t="s">
        <v>77</v>
      </c>
    </row>
    <row r="722" spans="1:12">
      <c r="A722">
        <v>721</v>
      </c>
      <c r="B722" t="s">
        <v>131</v>
      </c>
      <c r="C722" t="s">
        <v>247</v>
      </c>
      <c r="D722">
        <v>1</v>
      </c>
      <c r="E722" t="s">
        <v>165</v>
      </c>
      <c r="F722">
        <v>3</v>
      </c>
      <c r="G722" t="s">
        <v>162</v>
      </c>
      <c r="H722" t="s">
        <v>167</v>
      </c>
      <c r="I722" t="s">
        <v>58</v>
      </c>
      <c r="J722" t="s">
        <v>58</v>
      </c>
      <c r="K722">
        <v>0</v>
      </c>
      <c r="L722" t="s">
        <v>77</v>
      </c>
    </row>
    <row r="723" spans="1:12">
      <c r="A723">
        <v>722</v>
      </c>
      <c r="B723" t="s">
        <v>131</v>
      </c>
      <c r="C723" t="s">
        <v>90</v>
      </c>
      <c r="D723">
        <v>1</v>
      </c>
      <c r="E723" t="s">
        <v>165</v>
      </c>
      <c r="F723">
        <v>3</v>
      </c>
      <c r="G723" t="s">
        <v>109</v>
      </c>
      <c r="H723" t="s">
        <v>151</v>
      </c>
      <c r="I723" t="s">
        <v>58</v>
      </c>
      <c r="J723" t="s">
        <v>58</v>
      </c>
      <c r="K723">
        <v>0</v>
      </c>
      <c r="L723" t="s">
        <v>77</v>
      </c>
    </row>
    <row r="724" spans="1:12">
      <c r="A724">
        <v>723</v>
      </c>
      <c r="B724" t="s">
        <v>131</v>
      </c>
      <c r="C724" t="s">
        <v>92</v>
      </c>
      <c r="D724">
        <v>3</v>
      </c>
      <c r="E724" t="s">
        <v>165</v>
      </c>
      <c r="F724">
        <v>3</v>
      </c>
      <c r="G724" t="s">
        <v>58</v>
      </c>
      <c r="H724" t="s">
        <v>58</v>
      </c>
      <c r="I724" t="s">
        <v>58</v>
      </c>
      <c r="J724" t="s">
        <v>58</v>
      </c>
      <c r="K724">
        <v>0</v>
      </c>
      <c r="L724" t="s">
        <v>77</v>
      </c>
    </row>
    <row r="725" spans="1:12">
      <c r="A725">
        <v>724</v>
      </c>
      <c r="B725" t="s">
        <v>131</v>
      </c>
      <c r="C725" t="s">
        <v>95</v>
      </c>
      <c r="D725">
        <v>3</v>
      </c>
      <c r="E725" t="s">
        <v>165</v>
      </c>
      <c r="F725">
        <v>3</v>
      </c>
      <c r="G725" t="s">
        <v>58</v>
      </c>
      <c r="H725" t="s">
        <v>58</v>
      </c>
      <c r="I725" t="s">
        <v>58</v>
      </c>
      <c r="J725" t="s">
        <v>58</v>
      </c>
      <c r="K725">
        <v>0</v>
      </c>
      <c r="L725" t="s">
        <v>77</v>
      </c>
    </row>
    <row r="726" spans="1:12">
      <c r="A726">
        <v>725</v>
      </c>
      <c r="B726" t="s">
        <v>131</v>
      </c>
      <c r="C726" t="s">
        <v>99</v>
      </c>
      <c r="D726">
        <v>4</v>
      </c>
      <c r="E726" t="s">
        <v>165</v>
      </c>
      <c r="F726">
        <v>3</v>
      </c>
      <c r="G726" t="s">
        <v>58</v>
      </c>
      <c r="H726" t="s">
        <v>58</v>
      </c>
      <c r="I726" t="s">
        <v>58</v>
      </c>
      <c r="J726" t="s">
        <v>58</v>
      </c>
      <c r="K726">
        <v>5</v>
      </c>
      <c r="L726" t="s">
        <v>77</v>
      </c>
    </row>
    <row r="727" spans="1:12">
      <c r="A727">
        <v>726</v>
      </c>
      <c r="B727" t="s">
        <v>131</v>
      </c>
      <c r="C727" t="s">
        <v>102</v>
      </c>
      <c r="D727">
        <v>4</v>
      </c>
      <c r="E727" t="s">
        <v>165</v>
      </c>
      <c r="F727">
        <v>3</v>
      </c>
      <c r="G727" t="s">
        <v>58</v>
      </c>
      <c r="H727" t="s">
        <v>58</v>
      </c>
      <c r="I727" t="s">
        <v>58</v>
      </c>
      <c r="J727" t="s">
        <v>58</v>
      </c>
      <c r="K727">
        <v>5</v>
      </c>
      <c r="L727" t="s">
        <v>77</v>
      </c>
    </row>
    <row r="728" spans="1:12">
      <c r="A728">
        <v>727</v>
      </c>
      <c r="B728" t="s">
        <v>180</v>
      </c>
      <c r="C728" t="s">
        <v>247</v>
      </c>
      <c r="D728">
        <v>0</v>
      </c>
      <c r="E728" t="s">
        <v>165</v>
      </c>
      <c r="F728">
        <v>3</v>
      </c>
      <c r="G728" t="s">
        <v>58</v>
      </c>
      <c r="H728" t="s">
        <v>58</v>
      </c>
      <c r="I728" t="s">
        <v>58</v>
      </c>
      <c r="J728" t="s">
        <v>58</v>
      </c>
      <c r="K728">
        <v>0</v>
      </c>
      <c r="L728" t="s">
        <v>77</v>
      </c>
    </row>
    <row r="729" spans="1:12">
      <c r="A729">
        <v>728</v>
      </c>
      <c r="B729" t="s">
        <v>245</v>
      </c>
      <c r="C729" t="s">
        <v>102</v>
      </c>
      <c r="D729">
        <v>5</v>
      </c>
      <c r="E729" t="s">
        <v>165</v>
      </c>
      <c r="F729">
        <v>3</v>
      </c>
      <c r="G729" t="s">
        <v>58</v>
      </c>
      <c r="H729" t="s">
        <v>58</v>
      </c>
      <c r="I729" t="s">
        <v>58</v>
      </c>
      <c r="J729" t="s">
        <v>58</v>
      </c>
      <c r="K729">
        <v>0</v>
      </c>
      <c r="L729" t="s">
        <v>77</v>
      </c>
    </row>
    <row r="730" spans="1:12">
      <c r="A730">
        <v>729</v>
      </c>
      <c r="B730" t="s">
        <v>245</v>
      </c>
      <c r="C730" t="s">
        <v>247</v>
      </c>
      <c r="D730">
        <v>2</v>
      </c>
      <c r="E730" t="s">
        <v>165</v>
      </c>
      <c r="F730">
        <v>3</v>
      </c>
      <c r="G730" t="s">
        <v>58</v>
      </c>
      <c r="H730" t="s">
        <v>58</v>
      </c>
      <c r="I730" t="s">
        <v>153</v>
      </c>
      <c r="J730" t="s">
        <v>233</v>
      </c>
      <c r="K730">
        <v>0</v>
      </c>
      <c r="L730" t="s">
        <v>77</v>
      </c>
    </row>
    <row r="731" spans="1:12">
      <c r="A731">
        <v>730</v>
      </c>
      <c r="B731" t="s">
        <v>131</v>
      </c>
      <c r="C731" t="s">
        <v>90</v>
      </c>
      <c r="D731">
        <v>2</v>
      </c>
      <c r="E731" t="s">
        <v>165</v>
      </c>
      <c r="F731">
        <v>3</v>
      </c>
      <c r="G731" t="s">
        <v>58</v>
      </c>
      <c r="H731" t="s">
        <v>58</v>
      </c>
      <c r="I731" t="s">
        <v>105</v>
      </c>
      <c r="J731" t="s">
        <v>244</v>
      </c>
      <c r="K731">
        <v>0</v>
      </c>
      <c r="L731" t="s">
        <v>77</v>
      </c>
    </row>
    <row r="732" spans="1:12">
      <c r="A732">
        <v>731</v>
      </c>
      <c r="B732" t="s">
        <v>131</v>
      </c>
      <c r="C732" t="s">
        <v>92</v>
      </c>
      <c r="D732">
        <v>1</v>
      </c>
      <c r="E732" t="s">
        <v>165</v>
      </c>
      <c r="F732">
        <v>3</v>
      </c>
      <c r="G732" t="s">
        <v>162</v>
      </c>
      <c r="H732" t="s">
        <v>167</v>
      </c>
      <c r="I732" t="s">
        <v>58</v>
      </c>
      <c r="J732" t="s">
        <v>58</v>
      </c>
      <c r="K732">
        <v>0</v>
      </c>
      <c r="L732" t="s">
        <v>77</v>
      </c>
    </row>
    <row r="733" spans="1:12">
      <c r="A733">
        <v>732</v>
      </c>
      <c r="B733" t="s">
        <v>131</v>
      </c>
      <c r="C733" t="s">
        <v>95</v>
      </c>
      <c r="D733">
        <v>1</v>
      </c>
      <c r="E733" t="s">
        <v>165</v>
      </c>
      <c r="F733">
        <v>3</v>
      </c>
      <c r="G733" t="s">
        <v>166</v>
      </c>
      <c r="H733" t="s">
        <v>167</v>
      </c>
      <c r="I733" t="s">
        <v>58</v>
      </c>
      <c r="J733" t="s">
        <v>58</v>
      </c>
      <c r="K733">
        <v>0</v>
      </c>
      <c r="L733" t="s">
        <v>77</v>
      </c>
    </row>
    <row r="734" spans="1:12">
      <c r="A734">
        <v>733</v>
      </c>
      <c r="B734" t="s">
        <v>245</v>
      </c>
      <c r="C734" t="s">
        <v>99</v>
      </c>
      <c r="D734">
        <v>3</v>
      </c>
      <c r="E734" t="s">
        <v>165</v>
      </c>
      <c r="F734">
        <v>3</v>
      </c>
      <c r="G734" t="s">
        <v>58</v>
      </c>
      <c r="H734" t="s">
        <v>58</v>
      </c>
      <c r="I734" t="s">
        <v>58</v>
      </c>
      <c r="J734" t="s">
        <v>58</v>
      </c>
      <c r="K734">
        <v>0</v>
      </c>
      <c r="L734" t="s">
        <v>77</v>
      </c>
    </row>
    <row r="735" spans="1:12">
      <c r="A735">
        <v>734</v>
      </c>
      <c r="B735" t="s">
        <v>245</v>
      </c>
      <c r="C735" t="s">
        <v>102</v>
      </c>
      <c r="D735">
        <v>3</v>
      </c>
      <c r="E735" t="s">
        <v>165</v>
      </c>
      <c r="F735">
        <v>3</v>
      </c>
      <c r="G735" t="s">
        <v>58</v>
      </c>
      <c r="H735" t="s">
        <v>58</v>
      </c>
      <c r="I735" t="s">
        <v>58</v>
      </c>
      <c r="J735" t="s">
        <v>58</v>
      </c>
      <c r="K735">
        <v>0</v>
      </c>
      <c r="L735" t="s">
        <v>77</v>
      </c>
    </row>
    <row r="736" spans="1:12">
      <c r="A736">
        <v>735</v>
      </c>
      <c r="B736" t="s">
        <v>131</v>
      </c>
      <c r="C736" t="s">
        <v>247</v>
      </c>
      <c r="D736">
        <v>4</v>
      </c>
      <c r="E736" t="s">
        <v>165</v>
      </c>
      <c r="F736">
        <v>3</v>
      </c>
      <c r="G736" t="s">
        <v>58</v>
      </c>
      <c r="H736" t="s">
        <v>58</v>
      </c>
      <c r="I736" t="s">
        <v>58</v>
      </c>
      <c r="J736" t="s">
        <v>58</v>
      </c>
      <c r="K736">
        <v>5</v>
      </c>
      <c r="L736" t="s">
        <v>77</v>
      </c>
    </row>
    <row r="737" spans="1:12">
      <c r="A737">
        <v>736</v>
      </c>
      <c r="B737" t="s">
        <v>131</v>
      </c>
      <c r="C737" t="s">
        <v>90</v>
      </c>
      <c r="D737">
        <v>4</v>
      </c>
      <c r="E737" t="s">
        <v>165</v>
      </c>
      <c r="F737">
        <v>3</v>
      </c>
      <c r="G737" t="s">
        <v>58</v>
      </c>
      <c r="H737" t="s">
        <v>58</v>
      </c>
      <c r="I737" t="s">
        <v>58</v>
      </c>
      <c r="J737" t="s">
        <v>58</v>
      </c>
      <c r="K737">
        <v>5</v>
      </c>
      <c r="L737" t="s">
        <v>77</v>
      </c>
    </row>
    <row r="738" spans="1:12">
      <c r="A738">
        <v>737</v>
      </c>
      <c r="B738" t="s">
        <v>131</v>
      </c>
      <c r="C738" t="s">
        <v>92</v>
      </c>
      <c r="D738">
        <v>5</v>
      </c>
      <c r="E738" t="s">
        <v>165</v>
      </c>
      <c r="F738">
        <v>3</v>
      </c>
      <c r="G738" t="s">
        <v>58</v>
      </c>
      <c r="H738" t="s">
        <v>58</v>
      </c>
      <c r="I738" t="s">
        <v>58</v>
      </c>
      <c r="J738" t="s">
        <v>58</v>
      </c>
      <c r="K738">
        <v>0</v>
      </c>
      <c r="L738" t="s">
        <v>77</v>
      </c>
    </row>
    <row r="739" spans="1:12">
      <c r="A739">
        <v>738</v>
      </c>
      <c r="B739" t="s">
        <v>131</v>
      </c>
      <c r="C739" t="s">
        <v>95</v>
      </c>
      <c r="D739">
        <v>5</v>
      </c>
      <c r="E739" t="s">
        <v>165</v>
      </c>
      <c r="F739">
        <v>3</v>
      </c>
      <c r="G739" t="s">
        <v>58</v>
      </c>
      <c r="H739" t="s">
        <v>58</v>
      </c>
      <c r="I739" t="s">
        <v>58</v>
      </c>
      <c r="J739" t="s">
        <v>58</v>
      </c>
      <c r="K739">
        <v>0</v>
      </c>
      <c r="L739" t="s">
        <v>77</v>
      </c>
    </row>
    <row r="740" spans="1:12">
      <c r="A740">
        <v>739</v>
      </c>
      <c r="B740" t="s">
        <v>131</v>
      </c>
      <c r="C740" t="s">
        <v>99</v>
      </c>
      <c r="D740">
        <v>2</v>
      </c>
      <c r="E740" t="s">
        <v>165</v>
      </c>
      <c r="F740">
        <v>3</v>
      </c>
      <c r="G740" t="s">
        <v>58</v>
      </c>
      <c r="H740" t="s">
        <v>58</v>
      </c>
      <c r="I740" t="s">
        <v>119</v>
      </c>
      <c r="J740" t="s">
        <v>239</v>
      </c>
      <c r="K740">
        <v>0</v>
      </c>
      <c r="L740" t="s">
        <v>77</v>
      </c>
    </row>
    <row r="741" spans="1:12">
      <c r="A741">
        <v>740</v>
      </c>
      <c r="B741" t="s">
        <v>131</v>
      </c>
      <c r="C741" t="s">
        <v>102</v>
      </c>
      <c r="D741">
        <v>2</v>
      </c>
      <c r="E741" t="s">
        <v>165</v>
      </c>
      <c r="F741">
        <v>3</v>
      </c>
      <c r="G741" t="s">
        <v>58</v>
      </c>
      <c r="H741" t="s">
        <v>58</v>
      </c>
      <c r="I741" t="s">
        <v>141</v>
      </c>
      <c r="J741" t="s">
        <v>240</v>
      </c>
      <c r="K741">
        <v>0</v>
      </c>
      <c r="L741" t="s">
        <v>77</v>
      </c>
    </row>
    <row r="742" spans="1:12">
      <c r="A742">
        <v>741</v>
      </c>
      <c r="B742" t="s">
        <v>245</v>
      </c>
      <c r="C742" t="s">
        <v>247</v>
      </c>
      <c r="D742">
        <v>1</v>
      </c>
      <c r="E742" t="s">
        <v>165</v>
      </c>
      <c r="F742">
        <v>3</v>
      </c>
      <c r="G742" t="s">
        <v>162</v>
      </c>
      <c r="H742" t="s">
        <v>167</v>
      </c>
      <c r="I742" t="s">
        <v>58</v>
      </c>
      <c r="J742" t="s">
        <v>58</v>
      </c>
      <c r="K742">
        <v>0</v>
      </c>
      <c r="L742" t="s">
        <v>77</v>
      </c>
    </row>
    <row r="743" spans="1:12">
      <c r="A743">
        <v>742</v>
      </c>
      <c r="B743" t="s">
        <v>245</v>
      </c>
      <c r="C743" t="s">
        <v>90</v>
      </c>
      <c r="D743">
        <v>1</v>
      </c>
      <c r="E743" t="s">
        <v>165</v>
      </c>
      <c r="F743">
        <v>3</v>
      </c>
      <c r="G743" t="s">
        <v>109</v>
      </c>
      <c r="H743" t="s">
        <v>151</v>
      </c>
      <c r="I743" t="s">
        <v>58</v>
      </c>
      <c r="J743" t="s">
        <v>58</v>
      </c>
      <c r="K743">
        <v>0</v>
      </c>
      <c r="L743" t="s">
        <v>77</v>
      </c>
    </row>
    <row r="744" spans="1:12">
      <c r="A744">
        <v>743</v>
      </c>
      <c r="B744" t="s">
        <v>131</v>
      </c>
      <c r="C744" t="s">
        <v>92</v>
      </c>
      <c r="D744">
        <v>3</v>
      </c>
      <c r="E744" t="s">
        <v>165</v>
      </c>
      <c r="F744">
        <v>3</v>
      </c>
      <c r="G744" t="s">
        <v>58</v>
      </c>
      <c r="H744" t="s">
        <v>58</v>
      </c>
      <c r="I744" t="s">
        <v>58</v>
      </c>
      <c r="J744" t="s">
        <v>58</v>
      </c>
      <c r="K744">
        <v>0</v>
      </c>
      <c r="L744" t="s">
        <v>77</v>
      </c>
    </row>
    <row r="745" spans="1:12">
      <c r="A745">
        <v>744</v>
      </c>
      <c r="B745" t="s">
        <v>131</v>
      </c>
      <c r="C745" t="s">
        <v>95</v>
      </c>
      <c r="D745">
        <v>3</v>
      </c>
      <c r="E745" t="s">
        <v>165</v>
      </c>
      <c r="F745">
        <v>3</v>
      </c>
      <c r="G745" t="s">
        <v>58</v>
      </c>
      <c r="H745" t="s">
        <v>58</v>
      </c>
      <c r="I745" t="s">
        <v>58</v>
      </c>
      <c r="J745" t="s">
        <v>58</v>
      </c>
      <c r="K745">
        <v>0</v>
      </c>
      <c r="L745" t="s">
        <v>77</v>
      </c>
    </row>
    <row r="746" spans="1:12">
      <c r="A746">
        <v>745</v>
      </c>
      <c r="B746" t="s">
        <v>131</v>
      </c>
      <c r="C746" t="s">
        <v>99</v>
      </c>
      <c r="D746">
        <v>4</v>
      </c>
      <c r="E746" t="s">
        <v>165</v>
      </c>
      <c r="F746">
        <v>3</v>
      </c>
      <c r="G746" t="s">
        <v>58</v>
      </c>
      <c r="H746" t="s">
        <v>58</v>
      </c>
      <c r="I746" t="s">
        <v>58</v>
      </c>
      <c r="J746" t="s">
        <v>58</v>
      </c>
      <c r="K746">
        <v>5</v>
      </c>
      <c r="L746" t="s">
        <v>77</v>
      </c>
    </row>
    <row r="747" spans="1:12">
      <c r="A747">
        <v>746</v>
      </c>
      <c r="B747" t="s">
        <v>131</v>
      </c>
      <c r="C747" t="s">
        <v>102</v>
      </c>
      <c r="D747">
        <v>4</v>
      </c>
      <c r="E747" t="s">
        <v>165</v>
      </c>
      <c r="F747">
        <v>3</v>
      </c>
      <c r="G747" t="s">
        <v>58</v>
      </c>
      <c r="H747" t="s">
        <v>58</v>
      </c>
      <c r="I747" t="s">
        <v>58</v>
      </c>
      <c r="J747" t="s">
        <v>58</v>
      </c>
      <c r="K747">
        <v>5</v>
      </c>
      <c r="L747" t="s">
        <v>77</v>
      </c>
    </row>
    <row r="748" spans="1:12">
      <c r="A748">
        <v>747</v>
      </c>
      <c r="B748" t="s">
        <v>180</v>
      </c>
      <c r="C748" t="s">
        <v>247</v>
      </c>
      <c r="D748">
        <v>0</v>
      </c>
      <c r="E748" t="s">
        <v>165</v>
      </c>
      <c r="F748">
        <v>3</v>
      </c>
      <c r="G748" t="s">
        <v>58</v>
      </c>
      <c r="H748" t="s">
        <v>58</v>
      </c>
      <c r="I748" t="s">
        <v>58</v>
      </c>
      <c r="J748" t="s">
        <v>58</v>
      </c>
      <c r="K748">
        <v>0</v>
      </c>
      <c r="L748" t="s">
        <v>77</v>
      </c>
    </row>
    <row r="749" spans="1:12">
      <c r="A749">
        <v>748</v>
      </c>
      <c r="B749" t="s">
        <v>131</v>
      </c>
      <c r="C749" t="s">
        <v>102</v>
      </c>
      <c r="D749">
        <v>5</v>
      </c>
      <c r="E749" t="s">
        <v>165</v>
      </c>
      <c r="F749">
        <v>3</v>
      </c>
      <c r="G749" t="s">
        <v>58</v>
      </c>
      <c r="H749" t="s">
        <v>58</v>
      </c>
      <c r="I749" t="s">
        <v>58</v>
      </c>
      <c r="J749" t="s">
        <v>58</v>
      </c>
      <c r="K749">
        <v>0</v>
      </c>
      <c r="L749" t="s">
        <v>77</v>
      </c>
    </row>
    <row r="750" spans="1:12">
      <c r="A750">
        <v>749</v>
      </c>
      <c r="B750" t="s">
        <v>131</v>
      </c>
      <c r="C750" t="s">
        <v>247</v>
      </c>
      <c r="D750">
        <v>2</v>
      </c>
      <c r="E750" t="s">
        <v>165</v>
      </c>
      <c r="F750">
        <v>3</v>
      </c>
      <c r="G750" t="s">
        <v>58</v>
      </c>
      <c r="H750" t="s">
        <v>58</v>
      </c>
      <c r="I750" t="s">
        <v>153</v>
      </c>
      <c r="J750" t="s">
        <v>233</v>
      </c>
      <c r="K750">
        <v>0</v>
      </c>
      <c r="L750" t="s">
        <v>77</v>
      </c>
    </row>
    <row r="751" spans="1:12">
      <c r="A751">
        <v>750</v>
      </c>
      <c r="B751" t="s">
        <v>131</v>
      </c>
      <c r="C751" t="s">
        <v>90</v>
      </c>
      <c r="D751">
        <v>2</v>
      </c>
      <c r="E751" t="s">
        <v>165</v>
      </c>
      <c r="F751">
        <v>3</v>
      </c>
      <c r="G751" t="s">
        <v>58</v>
      </c>
      <c r="H751" t="s">
        <v>58</v>
      </c>
      <c r="I751" t="s">
        <v>105</v>
      </c>
      <c r="J751" t="s">
        <v>244</v>
      </c>
      <c r="K751">
        <v>0</v>
      </c>
      <c r="L751" t="s">
        <v>77</v>
      </c>
    </row>
    <row r="752" spans="1:12">
      <c r="A752">
        <v>751</v>
      </c>
      <c r="B752" t="s">
        <v>131</v>
      </c>
      <c r="C752" t="s">
        <v>92</v>
      </c>
      <c r="D752">
        <v>1</v>
      </c>
      <c r="E752" t="s">
        <v>165</v>
      </c>
      <c r="F752">
        <v>3</v>
      </c>
      <c r="G752" t="s">
        <v>162</v>
      </c>
      <c r="H752" t="s">
        <v>167</v>
      </c>
      <c r="I752" t="s">
        <v>58</v>
      </c>
      <c r="J752" t="s">
        <v>58</v>
      </c>
      <c r="K752">
        <v>0</v>
      </c>
      <c r="L752" t="s">
        <v>77</v>
      </c>
    </row>
    <row r="753" spans="1:12">
      <c r="A753">
        <v>752</v>
      </c>
      <c r="B753" t="s">
        <v>131</v>
      </c>
      <c r="C753" t="s">
        <v>95</v>
      </c>
      <c r="D753">
        <v>1</v>
      </c>
      <c r="E753" t="s">
        <v>165</v>
      </c>
      <c r="F753">
        <v>3</v>
      </c>
      <c r="G753" t="s">
        <v>166</v>
      </c>
      <c r="H753" t="s">
        <v>167</v>
      </c>
      <c r="I753" t="s">
        <v>58</v>
      </c>
      <c r="J753" t="s">
        <v>58</v>
      </c>
      <c r="K753">
        <v>0</v>
      </c>
      <c r="L753" t="s">
        <v>77</v>
      </c>
    </row>
    <row r="754" spans="1:12">
      <c r="A754">
        <v>753</v>
      </c>
      <c r="B754" t="s">
        <v>245</v>
      </c>
      <c r="C754" t="s">
        <v>99</v>
      </c>
      <c r="D754">
        <v>3</v>
      </c>
      <c r="E754" t="s">
        <v>165</v>
      </c>
      <c r="F754">
        <v>3</v>
      </c>
      <c r="G754" t="s">
        <v>58</v>
      </c>
      <c r="H754" t="s">
        <v>58</v>
      </c>
      <c r="I754" t="s">
        <v>58</v>
      </c>
      <c r="J754" t="s">
        <v>58</v>
      </c>
      <c r="K754">
        <v>0</v>
      </c>
      <c r="L754" t="s">
        <v>77</v>
      </c>
    </row>
    <row r="755" spans="1:12">
      <c r="A755">
        <v>754</v>
      </c>
      <c r="B755" t="s">
        <v>245</v>
      </c>
      <c r="C755" t="s">
        <v>102</v>
      </c>
      <c r="D755">
        <v>3</v>
      </c>
      <c r="E755" t="s">
        <v>165</v>
      </c>
      <c r="F755">
        <v>3</v>
      </c>
      <c r="G755" t="s">
        <v>58</v>
      </c>
      <c r="H755" t="s">
        <v>58</v>
      </c>
      <c r="I755" t="s">
        <v>58</v>
      </c>
      <c r="J755" t="s">
        <v>58</v>
      </c>
      <c r="K755">
        <v>0</v>
      </c>
      <c r="L755" t="s">
        <v>77</v>
      </c>
    </row>
    <row r="756" spans="1:12">
      <c r="A756">
        <v>755</v>
      </c>
      <c r="B756" t="s">
        <v>131</v>
      </c>
      <c r="C756" t="s">
        <v>247</v>
      </c>
      <c r="D756">
        <v>4</v>
      </c>
      <c r="E756" t="s">
        <v>165</v>
      </c>
      <c r="F756">
        <v>3</v>
      </c>
      <c r="G756" t="s">
        <v>58</v>
      </c>
      <c r="H756" t="s">
        <v>58</v>
      </c>
      <c r="I756" t="s">
        <v>58</v>
      </c>
      <c r="J756" t="s">
        <v>58</v>
      </c>
      <c r="K756">
        <v>5</v>
      </c>
      <c r="L756" t="s">
        <v>77</v>
      </c>
    </row>
    <row r="757" spans="1:12">
      <c r="A757">
        <v>756</v>
      </c>
      <c r="B757" t="s">
        <v>131</v>
      </c>
      <c r="C757" t="s">
        <v>90</v>
      </c>
      <c r="D757">
        <v>4</v>
      </c>
      <c r="E757" t="s">
        <v>165</v>
      </c>
      <c r="F757">
        <v>3</v>
      </c>
      <c r="G757" t="s">
        <v>58</v>
      </c>
      <c r="H757" t="s">
        <v>58</v>
      </c>
      <c r="I757" t="s">
        <v>58</v>
      </c>
      <c r="J757" t="s">
        <v>58</v>
      </c>
      <c r="K757">
        <v>5</v>
      </c>
      <c r="L757" t="s">
        <v>77</v>
      </c>
    </row>
    <row r="758" spans="1:12">
      <c r="A758">
        <v>757</v>
      </c>
      <c r="B758" t="s">
        <v>131</v>
      </c>
      <c r="C758" t="s">
        <v>92</v>
      </c>
      <c r="D758">
        <v>5</v>
      </c>
      <c r="E758" t="s">
        <v>165</v>
      </c>
      <c r="F758">
        <v>3</v>
      </c>
      <c r="G758" t="s">
        <v>58</v>
      </c>
      <c r="H758" t="s">
        <v>58</v>
      </c>
      <c r="I758" t="s">
        <v>58</v>
      </c>
      <c r="J758" t="s">
        <v>58</v>
      </c>
      <c r="K758">
        <v>0</v>
      </c>
      <c r="L758" t="s">
        <v>77</v>
      </c>
    </row>
    <row r="759" spans="1:12">
      <c r="A759">
        <v>758</v>
      </c>
      <c r="B759" t="s">
        <v>245</v>
      </c>
      <c r="C759" t="s">
        <v>95</v>
      </c>
      <c r="D759">
        <v>5</v>
      </c>
      <c r="E759" t="s">
        <v>165</v>
      </c>
      <c r="F759">
        <v>3</v>
      </c>
      <c r="G759" t="s">
        <v>58</v>
      </c>
      <c r="H759" t="s">
        <v>58</v>
      </c>
      <c r="I759" t="s">
        <v>58</v>
      </c>
      <c r="J759" t="s">
        <v>58</v>
      </c>
      <c r="K759">
        <v>0</v>
      </c>
      <c r="L759" t="s">
        <v>77</v>
      </c>
    </row>
    <row r="760" spans="1:12">
      <c r="A760">
        <v>759</v>
      </c>
      <c r="B760" t="s">
        <v>131</v>
      </c>
      <c r="C760" t="s">
        <v>99</v>
      </c>
      <c r="D760">
        <v>2</v>
      </c>
      <c r="E760" t="s">
        <v>165</v>
      </c>
      <c r="F760">
        <v>3</v>
      </c>
      <c r="G760" t="s">
        <v>58</v>
      </c>
      <c r="H760" t="s">
        <v>58</v>
      </c>
      <c r="I760" t="s">
        <v>119</v>
      </c>
      <c r="J760" t="s">
        <v>239</v>
      </c>
      <c r="K760">
        <v>0</v>
      </c>
      <c r="L760" t="s">
        <v>77</v>
      </c>
    </row>
    <row r="761" spans="1:12">
      <c r="A761">
        <v>760</v>
      </c>
      <c r="B761" t="s">
        <v>131</v>
      </c>
      <c r="C761" t="s">
        <v>102</v>
      </c>
      <c r="D761">
        <v>2</v>
      </c>
      <c r="E761" t="s">
        <v>165</v>
      </c>
      <c r="F761">
        <v>3</v>
      </c>
      <c r="G761" t="s">
        <v>58</v>
      </c>
      <c r="H761" t="s">
        <v>58</v>
      </c>
      <c r="I761" t="s">
        <v>141</v>
      </c>
      <c r="J761" t="s">
        <v>240</v>
      </c>
      <c r="K761">
        <v>0</v>
      </c>
      <c r="L761" t="s">
        <v>77</v>
      </c>
    </row>
    <row r="762" spans="1:12">
      <c r="A762">
        <v>761</v>
      </c>
      <c r="B762" t="s">
        <v>131</v>
      </c>
      <c r="C762" t="s">
        <v>247</v>
      </c>
      <c r="D762">
        <v>1</v>
      </c>
      <c r="E762" t="s">
        <v>165</v>
      </c>
      <c r="F762">
        <v>3</v>
      </c>
      <c r="G762" t="s">
        <v>162</v>
      </c>
      <c r="H762" t="s">
        <v>167</v>
      </c>
      <c r="I762" t="s">
        <v>58</v>
      </c>
      <c r="J762" t="s">
        <v>58</v>
      </c>
      <c r="K762">
        <v>0</v>
      </c>
      <c r="L762" t="s">
        <v>77</v>
      </c>
    </row>
    <row r="763" spans="1:12">
      <c r="A763">
        <v>762</v>
      </c>
      <c r="B763" t="s">
        <v>131</v>
      </c>
      <c r="C763" t="s">
        <v>90</v>
      </c>
      <c r="D763">
        <v>1</v>
      </c>
      <c r="E763" t="s">
        <v>165</v>
      </c>
      <c r="F763">
        <v>3</v>
      </c>
      <c r="G763" t="s">
        <v>109</v>
      </c>
      <c r="H763" t="s">
        <v>151</v>
      </c>
      <c r="I763" t="s">
        <v>58</v>
      </c>
      <c r="J763" t="s">
        <v>58</v>
      </c>
      <c r="K763">
        <v>0</v>
      </c>
      <c r="L763" t="s">
        <v>77</v>
      </c>
    </row>
    <row r="764" spans="1:12">
      <c r="A764">
        <v>763</v>
      </c>
      <c r="B764" t="s">
        <v>245</v>
      </c>
      <c r="C764" t="s">
        <v>92</v>
      </c>
      <c r="D764">
        <v>3</v>
      </c>
      <c r="E764" t="s">
        <v>165</v>
      </c>
      <c r="F764">
        <v>3</v>
      </c>
      <c r="G764" t="s">
        <v>58</v>
      </c>
      <c r="H764" t="s">
        <v>58</v>
      </c>
      <c r="I764" t="s">
        <v>58</v>
      </c>
      <c r="J764" t="s">
        <v>58</v>
      </c>
      <c r="K764">
        <v>0</v>
      </c>
      <c r="L764" t="s">
        <v>77</v>
      </c>
    </row>
    <row r="765" spans="1:12">
      <c r="A765">
        <v>764</v>
      </c>
      <c r="B765" t="s">
        <v>245</v>
      </c>
      <c r="C765" t="s">
        <v>95</v>
      </c>
      <c r="D765">
        <v>3</v>
      </c>
      <c r="E765" t="s">
        <v>165</v>
      </c>
      <c r="F765">
        <v>3</v>
      </c>
      <c r="G765" t="s">
        <v>58</v>
      </c>
      <c r="H765" t="s">
        <v>58</v>
      </c>
      <c r="I765" t="s">
        <v>58</v>
      </c>
      <c r="J765" t="s">
        <v>58</v>
      </c>
      <c r="K765">
        <v>0</v>
      </c>
      <c r="L765" t="s">
        <v>77</v>
      </c>
    </row>
    <row r="766" spans="1:12">
      <c r="A766">
        <v>765</v>
      </c>
      <c r="B766" t="s">
        <v>131</v>
      </c>
      <c r="C766" t="s">
        <v>99</v>
      </c>
      <c r="D766">
        <v>4</v>
      </c>
      <c r="E766" t="s">
        <v>165</v>
      </c>
      <c r="F766">
        <v>3</v>
      </c>
      <c r="G766" t="s">
        <v>58</v>
      </c>
      <c r="H766" t="s">
        <v>58</v>
      </c>
      <c r="I766" t="s">
        <v>58</v>
      </c>
      <c r="J766" t="s">
        <v>58</v>
      </c>
      <c r="K766">
        <v>5</v>
      </c>
      <c r="L766" t="s">
        <v>77</v>
      </c>
    </row>
    <row r="767" spans="1:12">
      <c r="A767">
        <v>766</v>
      </c>
      <c r="B767" t="s">
        <v>131</v>
      </c>
      <c r="C767" t="s">
        <v>102</v>
      </c>
      <c r="D767">
        <v>4</v>
      </c>
      <c r="E767" t="s">
        <v>165</v>
      </c>
      <c r="F767">
        <v>3</v>
      </c>
      <c r="G767" t="s">
        <v>58</v>
      </c>
      <c r="H767" t="s">
        <v>58</v>
      </c>
      <c r="I767" t="s">
        <v>58</v>
      </c>
      <c r="J767" t="s">
        <v>58</v>
      </c>
      <c r="K767">
        <v>5</v>
      </c>
      <c r="L767" t="s">
        <v>77</v>
      </c>
    </row>
    <row r="768" spans="1:12">
      <c r="A768">
        <v>767</v>
      </c>
      <c r="B768" t="s">
        <v>180</v>
      </c>
      <c r="C768" t="s">
        <v>247</v>
      </c>
      <c r="D768">
        <v>0</v>
      </c>
      <c r="E768" t="s">
        <v>165</v>
      </c>
      <c r="F768">
        <v>3</v>
      </c>
      <c r="G768" t="s">
        <v>58</v>
      </c>
      <c r="H768" t="s">
        <v>58</v>
      </c>
      <c r="I768" t="s">
        <v>58</v>
      </c>
      <c r="J768" t="s">
        <v>58</v>
      </c>
      <c r="K768">
        <v>0</v>
      </c>
      <c r="L768" t="s">
        <v>77</v>
      </c>
    </row>
    <row r="769" spans="1:12">
      <c r="A769">
        <v>768</v>
      </c>
      <c r="B769" t="s">
        <v>131</v>
      </c>
      <c r="C769" t="s">
        <v>90</v>
      </c>
      <c r="D769">
        <v>2</v>
      </c>
      <c r="E769" t="s">
        <v>165</v>
      </c>
      <c r="F769">
        <v>3</v>
      </c>
      <c r="G769" t="s">
        <v>58</v>
      </c>
      <c r="H769" t="s">
        <v>58</v>
      </c>
      <c r="I769" t="s">
        <v>105</v>
      </c>
      <c r="J769" t="s">
        <v>244</v>
      </c>
      <c r="K769">
        <v>0</v>
      </c>
      <c r="L769" t="s">
        <v>77</v>
      </c>
    </row>
    <row r="770" spans="1:12">
      <c r="A770">
        <v>769</v>
      </c>
      <c r="B770" t="s">
        <v>131</v>
      </c>
      <c r="C770" t="s">
        <v>92</v>
      </c>
      <c r="D770">
        <v>1</v>
      </c>
      <c r="E770" t="s">
        <v>165</v>
      </c>
      <c r="F770">
        <v>3</v>
      </c>
      <c r="G770" t="s">
        <v>162</v>
      </c>
      <c r="H770" t="s">
        <v>167</v>
      </c>
      <c r="I770" t="s">
        <v>58</v>
      </c>
      <c r="J770" t="s">
        <v>58</v>
      </c>
      <c r="K770">
        <v>0</v>
      </c>
      <c r="L770" t="s">
        <v>77</v>
      </c>
    </row>
    <row r="771" spans="1:12">
      <c r="A771">
        <v>770</v>
      </c>
      <c r="B771" t="s">
        <v>131</v>
      </c>
      <c r="C771" t="s">
        <v>95</v>
      </c>
      <c r="D771">
        <v>1</v>
      </c>
      <c r="E771" t="s">
        <v>165</v>
      </c>
      <c r="F771">
        <v>3</v>
      </c>
      <c r="G771" t="s">
        <v>166</v>
      </c>
      <c r="H771" t="s">
        <v>167</v>
      </c>
      <c r="I771" t="s">
        <v>58</v>
      </c>
      <c r="J771" t="s">
        <v>58</v>
      </c>
      <c r="K771">
        <v>0</v>
      </c>
      <c r="L771" t="s">
        <v>77</v>
      </c>
    </row>
    <row r="772" spans="1:12">
      <c r="A772">
        <v>771</v>
      </c>
      <c r="B772" t="s">
        <v>245</v>
      </c>
      <c r="C772" t="s">
        <v>99</v>
      </c>
      <c r="D772">
        <v>3</v>
      </c>
      <c r="E772" t="s">
        <v>165</v>
      </c>
      <c r="F772">
        <v>3</v>
      </c>
      <c r="G772" t="s">
        <v>58</v>
      </c>
      <c r="H772" t="s">
        <v>58</v>
      </c>
      <c r="I772" t="s">
        <v>58</v>
      </c>
      <c r="J772" t="s">
        <v>58</v>
      </c>
      <c r="K772">
        <v>0</v>
      </c>
      <c r="L772" t="s">
        <v>77</v>
      </c>
    </row>
    <row r="773" spans="1:12">
      <c r="A773">
        <v>772</v>
      </c>
      <c r="B773" t="s">
        <v>245</v>
      </c>
      <c r="C773" t="s">
        <v>102</v>
      </c>
      <c r="D773">
        <v>3</v>
      </c>
      <c r="E773" t="s">
        <v>165</v>
      </c>
      <c r="F773">
        <v>3</v>
      </c>
      <c r="G773" t="s">
        <v>58</v>
      </c>
      <c r="H773" t="s">
        <v>58</v>
      </c>
      <c r="I773" t="s">
        <v>58</v>
      </c>
      <c r="J773" t="s">
        <v>58</v>
      </c>
      <c r="K773">
        <v>0</v>
      </c>
      <c r="L773" t="s">
        <v>77</v>
      </c>
    </row>
    <row r="774" spans="1:12">
      <c r="A774">
        <v>773</v>
      </c>
      <c r="B774" t="s">
        <v>131</v>
      </c>
      <c r="C774" t="s">
        <v>247</v>
      </c>
      <c r="D774">
        <v>4</v>
      </c>
      <c r="E774" t="s">
        <v>165</v>
      </c>
      <c r="F774">
        <v>3</v>
      </c>
      <c r="G774" t="s">
        <v>58</v>
      </c>
      <c r="H774" t="s">
        <v>58</v>
      </c>
      <c r="I774" t="s">
        <v>58</v>
      </c>
      <c r="J774" t="s">
        <v>58</v>
      </c>
      <c r="K774">
        <v>5</v>
      </c>
      <c r="L774" t="s">
        <v>77</v>
      </c>
    </row>
    <row r="775" spans="1:12">
      <c r="A775">
        <v>774</v>
      </c>
      <c r="B775" t="s">
        <v>131</v>
      </c>
      <c r="C775" t="s">
        <v>90</v>
      </c>
      <c r="D775">
        <v>4</v>
      </c>
      <c r="E775" t="s">
        <v>165</v>
      </c>
      <c r="F775">
        <v>3</v>
      </c>
      <c r="G775" t="s">
        <v>58</v>
      </c>
      <c r="H775" t="s">
        <v>58</v>
      </c>
      <c r="I775" t="s">
        <v>58</v>
      </c>
      <c r="J775" t="s">
        <v>58</v>
      </c>
      <c r="K775">
        <v>5</v>
      </c>
      <c r="L775" t="s">
        <v>77</v>
      </c>
    </row>
    <row r="776" spans="1:12">
      <c r="A776">
        <v>775</v>
      </c>
      <c r="B776" t="s">
        <v>131</v>
      </c>
      <c r="C776" t="s">
        <v>92</v>
      </c>
      <c r="D776">
        <v>5</v>
      </c>
      <c r="E776" t="s">
        <v>165</v>
      </c>
      <c r="F776">
        <v>3</v>
      </c>
      <c r="G776" t="s">
        <v>58</v>
      </c>
      <c r="H776" t="s">
        <v>58</v>
      </c>
      <c r="I776" t="s">
        <v>58</v>
      </c>
      <c r="J776" t="s">
        <v>58</v>
      </c>
      <c r="K776">
        <v>0</v>
      </c>
      <c r="L776" t="s">
        <v>77</v>
      </c>
    </row>
    <row r="777" spans="1:12">
      <c r="A777">
        <v>776</v>
      </c>
      <c r="B777" t="s">
        <v>245</v>
      </c>
      <c r="C777" t="s">
        <v>95</v>
      </c>
      <c r="D777">
        <v>5</v>
      </c>
      <c r="E777" t="s">
        <v>165</v>
      </c>
      <c r="F777">
        <v>3</v>
      </c>
      <c r="G777" t="s">
        <v>58</v>
      </c>
      <c r="H777" t="s">
        <v>58</v>
      </c>
      <c r="I777" t="s">
        <v>58</v>
      </c>
      <c r="J777" t="s">
        <v>58</v>
      </c>
      <c r="K777">
        <v>0</v>
      </c>
      <c r="L777" t="s">
        <v>77</v>
      </c>
    </row>
    <row r="778" spans="1:12">
      <c r="A778">
        <v>777</v>
      </c>
      <c r="B778" t="s">
        <v>245</v>
      </c>
      <c r="C778" t="s">
        <v>95</v>
      </c>
      <c r="D778">
        <v>5</v>
      </c>
      <c r="E778" t="s">
        <v>165</v>
      </c>
      <c r="F778">
        <v>3</v>
      </c>
      <c r="G778" t="s">
        <v>58</v>
      </c>
      <c r="H778" t="s">
        <v>58</v>
      </c>
      <c r="I778" t="s">
        <v>58</v>
      </c>
      <c r="J778" t="s">
        <v>58</v>
      </c>
      <c r="K778">
        <v>0</v>
      </c>
      <c r="L778" t="s">
        <v>77</v>
      </c>
    </row>
    <row r="779" spans="1:12">
      <c r="A779">
        <v>778</v>
      </c>
      <c r="B779" t="s">
        <v>131</v>
      </c>
      <c r="C779" t="s">
        <v>99</v>
      </c>
      <c r="D779">
        <v>2</v>
      </c>
      <c r="E779" t="s">
        <v>165</v>
      </c>
      <c r="F779">
        <v>3</v>
      </c>
      <c r="G779" t="s">
        <v>58</v>
      </c>
      <c r="H779" t="s">
        <v>58</v>
      </c>
      <c r="I779" t="s">
        <v>119</v>
      </c>
      <c r="J779" t="s">
        <v>239</v>
      </c>
      <c r="K779">
        <v>0</v>
      </c>
      <c r="L779" t="s">
        <v>77</v>
      </c>
    </row>
    <row r="780" spans="1:12">
      <c r="A780">
        <v>779</v>
      </c>
      <c r="B780" t="s">
        <v>131</v>
      </c>
      <c r="C780" t="s">
        <v>102</v>
      </c>
      <c r="D780">
        <v>2</v>
      </c>
      <c r="E780" t="s">
        <v>165</v>
      </c>
      <c r="F780">
        <v>3</v>
      </c>
      <c r="G780" t="s">
        <v>58</v>
      </c>
      <c r="H780" t="s">
        <v>58</v>
      </c>
      <c r="I780" t="s">
        <v>141</v>
      </c>
      <c r="J780" t="s">
        <v>240</v>
      </c>
      <c r="K780">
        <v>0</v>
      </c>
      <c r="L780" t="s">
        <v>77</v>
      </c>
    </row>
    <row r="781" spans="1:12">
      <c r="A781">
        <v>780</v>
      </c>
      <c r="B781" t="s">
        <v>131</v>
      </c>
      <c r="C781" t="s">
        <v>247</v>
      </c>
      <c r="D781">
        <v>1</v>
      </c>
      <c r="E781" t="s">
        <v>165</v>
      </c>
      <c r="F781">
        <v>3</v>
      </c>
      <c r="G781" t="s">
        <v>162</v>
      </c>
      <c r="H781" t="s">
        <v>167</v>
      </c>
      <c r="I781" t="s">
        <v>58</v>
      </c>
      <c r="J781" t="s">
        <v>58</v>
      </c>
      <c r="K781">
        <v>0</v>
      </c>
      <c r="L781" t="s">
        <v>77</v>
      </c>
    </row>
    <row r="782" spans="1:12">
      <c r="A782">
        <v>781</v>
      </c>
      <c r="B782" t="s">
        <v>131</v>
      </c>
      <c r="C782" t="s">
        <v>90</v>
      </c>
      <c r="D782">
        <v>1</v>
      </c>
      <c r="E782" t="s">
        <v>165</v>
      </c>
      <c r="F782">
        <v>3</v>
      </c>
      <c r="G782" t="s">
        <v>109</v>
      </c>
      <c r="H782" t="s">
        <v>151</v>
      </c>
      <c r="I782" t="s">
        <v>58</v>
      </c>
      <c r="J782" t="s">
        <v>58</v>
      </c>
      <c r="K782">
        <v>0</v>
      </c>
      <c r="L782" t="s">
        <v>77</v>
      </c>
    </row>
    <row r="783" spans="1:12">
      <c r="A783">
        <v>782</v>
      </c>
      <c r="B783" t="s">
        <v>245</v>
      </c>
      <c r="C783" t="s">
        <v>92</v>
      </c>
      <c r="D783">
        <v>3</v>
      </c>
      <c r="E783" t="s">
        <v>165</v>
      </c>
      <c r="F783">
        <v>3</v>
      </c>
      <c r="G783" t="s">
        <v>58</v>
      </c>
      <c r="H783" t="s">
        <v>58</v>
      </c>
      <c r="I783" t="s">
        <v>58</v>
      </c>
      <c r="J783" t="s">
        <v>58</v>
      </c>
      <c r="K783">
        <v>0</v>
      </c>
      <c r="L783" t="s">
        <v>77</v>
      </c>
    </row>
    <row r="784" spans="1:12">
      <c r="A784">
        <v>783</v>
      </c>
      <c r="B784" t="s">
        <v>245</v>
      </c>
      <c r="C784" t="s">
        <v>95</v>
      </c>
      <c r="D784">
        <v>3</v>
      </c>
      <c r="E784" t="s">
        <v>165</v>
      </c>
      <c r="F784">
        <v>3</v>
      </c>
      <c r="G784" t="s">
        <v>58</v>
      </c>
      <c r="H784" t="s">
        <v>58</v>
      </c>
      <c r="I784" t="s">
        <v>58</v>
      </c>
      <c r="J784" t="s">
        <v>58</v>
      </c>
      <c r="K784">
        <v>0</v>
      </c>
      <c r="L784" t="s">
        <v>77</v>
      </c>
    </row>
    <row r="785" spans="1:12">
      <c r="A785">
        <v>784</v>
      </c>
      <c r="B785" t="s">
        <v>131</v>
      </c>
      <c r="C785" t="s">
        <v>99</v>
      </c>
      <c r="D785">
        <v>4</v>
      </c>
      <c r="E785" t="s">
        <v>165</v>
      </c>
      <c r="F785">
        <v>3</v>
      </c>
      <c r="G785" t="s">
        <v>58</v>
      </c>
      <c r="H785" t="s">
        <v>58</v>
      </c>
      <c r="I785" t="s">
        <v>58</v>
      </c>
      <c r="J785" t="s">
        <v>58</v>
      </c>
      <c r="K785">
        <v>5</v>
      </c>
      <c r="L785" t="s">
        <v>77</v>
      </c>
    </row>
    <row r="786" spans="1:12">
      <c r="A786">
        <v>785</v>
      </c>
      <c r="B786" t="s">
        <v>131</v>
      </c>
      <c r="C786" t="s">
        <v>102</v>
      </c>
      <c r="D786">
        <v>4</v>
      </c>
      <c r="E786" t="s">
        <v>165</v>
      </c>
      <c r="F786">
        <v>3</v>
      </c>
      <c r="G786" t="s">
        <v>58</v>
      </c>
      <c r="H786" t="s">
        <v>58</v>
      </c>
      <c r="I786" t="s">
        <v>58</v>
      </c>
      <c r="J786" t="s">
        <v>58</v>
      </c>
      <c r="K786">
        <v>5</v>
      </c>
      <c r="L786" t="s">
        <v>77</v>
      </c>
    </row>
    <row r="787" spans="1:12">
      <c r="A787">
        <v>786</v>
      </c>
      <c r="B787" t="s">
        <v>180</v>
      </c>
      <c r="C787" t="s">
        <v>247</v>
      </c>
      <c r="D787">
        <v>0</v>
      </c>
      <c r="E787" t="s">
        <v>165</v>
      </c>
      <c r="F787">
        <v>3</v>
      </c>
      <c r="G787" t="s">
        <v>58</v>
      </c>
      <c r="H787" t="s">
        <v>58</v>
      </c>
      <c r="I787" t="s">
        <v>58</v>
      </c>
      <c r="J787" t="s">
        <v>58</v>
      </c>
      <c r="K787">
        <v>0</v>
      </c>
      <c r="L787" t="s">
        <v>77</v>
      </c>
    </row>
    <row r="788" spans="1:12">
      <c r="A788">
        <v>787</v>
      </c>
      <c r="B788" t="s">
        <v>131</v>
      </c>
      <c r="C788" t="s">
        <v>90</v>
      </c>
      <c r="D788">
        <v>2</v>
      </c>
      <c r="E788" t="s">
        <v>165</v>
      </c>
      <c r="F788">
        <v>3</v>
      </c>
      <c r="G788" t="s">
        <v>58</v>
      </c>
      <c r="H788" t="s">
        <v>58</v>
      </c>
      <c r="I788" t="s">
        <v>105</v>
      </c>
      <c r="J788" t="s">
        <v>244</v>
      </c>
      <c r="K788">
        <v>0</v>
      </c>
      <c r="L788" t="s">
        <v>77</v>
      </c>
    </row>
    <row r="789" spans="1:12">
      <c r="A789">
        <v>788</v>
      </c>
      <c r="B789" t="s">
        <v>131</v>
      </c>
      <c r="C789" t="s">
        <v>92</v>
      </c>
      <c r="D789">
        <v>1</v>
      </c>
      <c r="E789" t="s">
        <v>165</v>
      </c>
      <c r="F789">
        <v>3</v>
      </c>
      <c r="G789" t="s">
        <v>162</v>
      </c>
      <c r="H789" t="s">
        <v>167</v>
      </c>
      <c r="I789" t="s">
        <v>58</v>
      </c>
      <c r="J789" t="s">
        <v>58</v>
      </c>
      <c r="K789">
        <v>0</v>
      </c>
      <c r="L789" t="s">
        <v>77</v>
      </c>
    </row>
    <row r="790" spans="1:12">
      <c r="A790">
        <v>789</v>
      </c>
      <c r="B790" t="s">
        <v>131</v>
      </c>
      <c r="C790" t="s">
        <v>95</v>
      </c>
      <c r="D790">
        <v>1</v>
      </c>
      <c r="E790" t="s">
        <v>165</v>
      </c>
      <c r="F790">
        <v>3</v>
      </c>
      <c r="G790" t="s">
        <v>166</v>
      </c>
      <c r="H790" t="s">
        <v>167</v>
      </c>
      <c r="I790" t="s">
        <v>58</v>
      </c>
      <c r="J790" t="s">
        <v>58</v>
      </c>
      <c r="K790">
        <v>0</v>
      </c>
      <c r="L790" t="s">
        <v>77</v>
      </c>
    </row>
    <row r="791" spans="1:12">
      <c r="A791">
        <v>790</v>
      </c>
      <c r="B791" t="s">
        <v>245</v>
      </c>
      <c r="C791" t="s">
        <v>99</v>
      </c>
      <c r="D791">
        <v>3</v>
      </c>
      <c r="E791" t="s">
        <v>165</v>
      </c>
      <c r="F791">
        <v>3</v>
      </c>
      <c r="G791" t="s">
        <v>58</v>
      </c>
      <c r="H791" t="s">
        <v>58</v>
      </c>
      <c r="I791" t="s">
        <v>58</v>
      </c>
      <c r="J791" t="s">
        <v>58</v>
      </c>
      <c r="K791">
        <v>0</v>
      </c>
      <c r="L791" t="s">
        <v>77</v>
      </c>
    </row>
    <row r="792" spans="1:12">
      <c r="A792">
        <v>791</v>
      </c>
      <c r="B792" t="s">
        <v>245</v>
      </c>
      <c r="C792" t="s">
        <v>102</v>
      </c>
      <c r="D792">
        <v>3</v>
      </c>
      <c r="E792" t="s">
        <v>165</v>
      </c>
      <c r="F792">
        <v>3</v>
      </c>
      <c r="G792" t="s">
        <v>58</v>
      </c>
      <c r="H792" t="s">
        <v>58</v>
      </c>
      <c r="I792" t="s">
        <v>58</v>
      </c>
      <c r="J792" t="s">
        <v>58</v>
      </c>
      <c r="K792">
        <v>0</v>
      </c>
      <c r="L792" t="s">
        <v>77</v>
      </c>
    </row>
    <row r="793" spans="1:12">
      <c r="A793">
        <v>792</v>
      </c>
      <c r="B793" t="s">
        <v>245</v>
      </c>
      <c r="C793" t="s">
        <v>90</v>
      </c>
      <c r="D793">
        <v>1</v>
      </c>
      <c r="E793" t="s">
        <v>165</v>
      </c>
      <c r="F793">
        <v>3</v>
      </c>
      <c r="G793" t="s">
        <v>109</v>
      </c>
      <c r="H793" t="s">
        <v>151</v>
      </c>
      <c r="I793" t="s">
        <v>58</v>
      </c>
      <c r="J793" t="s">
        <v>58</v>
      </c>
      <c r="K793">
        <v>0</v>
      </c>
      <c r="L793" t="s">
        <v>77</v>
      </c>
    </row>
    <row r="794" spans="1:12">
      <c r="A794">
        <v>793</v>
      </c>
      <c r="B794" t="s">
        <v>131</v>
      </c>
      <c r="C794" t="s">
        <v>92</v>
      </c>
      <c r="D794">
        <v>3</v>
      </c>
      <c r="E794" t="s">
        <v>165</v>
      </c>
      <c r="F794">
        <v>3</v>
      </c>
      <c r="G794" t="s">
        <v>58</v>
      </c>
      <c r="H794" t="s">
        <v>58</v>
      </c>
      <c r="I794" t="s">
        <v>58</v>
      </c>
      <c r="J794" t="s">
        <v>58</v>
      </c>
      <c r="K794">
        <v>0</v>
      </c>
      <c r="L794" t="s">
        <v>77</v>
      </c>
    </row>
    <row r="795" spans="1:12">
      <c r="A795">
        <v>794</v>
      </c>
      <c r="B795" t="s">
        <v>131</v>
      </c>
      <c r="C795" t="s">
        <v>95</v>
      </c>
      <c r="D795">
        <v>3</v>
      </c>
      <c r="E795" t="s">
        <v>165</v>
      </c>
      <c r="F795">
        <v>3</v>
      </c>
      <c r="G795" t="s">
        <v>58</v>
      </c>
      <c r="H795" t="s">
        <v>58</v>
      </c>
      <c r="I795" t="s">
        <v>58</v>
      </c>
      <c r="J795" t="s">
        <v>58</v>
      </c>
      <c r="K795">
        <v>0</v>
      </c>
      <c r="L795" t="s">
        <v>77</v>
      </c>
    </row>
    <row r="796" spans="1:12">
      <c r="A796">
        <v>795</v>
      </c>
      <c r="B796" t="s">
        <v>131</v>
      </c>
      <c r="C796" t="s">
        <v>99</v>
      </c>
      <c r="D796">
        <v>4</v>
      </c>
      <c r="E796" t="s">
        <v>165</v>
      </c>
      <c r="F796">
        <v>3</v>
      </c>
      <c r="G796" t="s">
        <v>58</v>
      </c>
      <c r="H796" t="s">
        <v>58</v>
      </c>
      <c r="I796" t="s">
        <v>58</v>
      </c>
      <c r="J796" t="s">
        <v>58</v>
      </c>
      <c r="K796">
        <v>5</v>
      </c>
      <c r="L796" t="s">
        <v>77</v>
      </c>
    </row>
    <row r="797" spans="1:12">
      <c r="A797">
        <v>796</v>
      </c>
      <c r="B797" t="s">
        <v>131</v>
      </c>
      <c r="C797" t="s">
        <v>102</v>
      </c>
      <c r="D797">
        <v>4</v>
      </c>
      <c r="E797" t="s">
        <v>165</v>
      </c>
      <c r="F797">
        <v>3</v>
      </c>
      <c r="G797" t="s">
        <v>58</v>
      </c>
      <c r="H797" t="s">
        <v>58</v>
      </c>
      <c r="I797" t="s">
        <v>58</v>
      </c>
      <c r="J797" t="s">
        <v>58</v>
      </c>
      <c r="K797">
        <v>5</v>
      </c>
      <c r="L797" t="s">
        <v>77</v>
      </c>
    </row>
    <row r="798" spans="1:12">
      <c r="A798">
        <v>797</v>
      </c>
      <c r="B798" t="s">
        <v>180</v>
      </c>
      <c r="C798" t="s">
        <v>247</v>
      </c>
      <c r="D798">
        <v>0</v>
      </c>
      <c r="E798" t="s">
        <v>165</v>
      </c>
      <c r="F798">
        <v>3</v>
      </c>
      <c r="G798" t="s">
        <v>58</v>
      </c>
      <c r="H798" t="s">
        <v>58</v>
      </c>
      <c r="I798" t="s">
        <v>58</v>
      </c>
      <c r="J798" t="s">
        <v>58</v>
      </c>
      <c r="K798">
        <v>0</v>
      </c>
      <c r="L798" t="s">
        <v>77</v>
      </c>
    </row>
    <row r="799" spans="1:12">
      <c r="A799">
        <v>798</v>
      </c>
      <c r="B799" t="s">
        <v>131</v>
      </c>
      <c r="C799" t="s">
        <v>102</v>
      </c>
      <c r="D799">
        <v>5</v>
      </c>
      <c r="E799" t="s">
        <v>165</v>
      </c>
      <c r="F799">
        <v>3</v>
      </c>
      <c r="G799" t="s">
        <v>58</v>
      </c>
      <c r="H799" t="s">
        <v>58</v>
      </c>
      <c r="I799" t="s">
        <v>58</v>
      </c>
      <c r="J799" t="s">
        <v>58</v>
      </c>
      <c r="K799">
        <v>0</v>
      </c>
      <c r="L799" t="s">
        <v>77</v>
      </c>
    </row>
    <row r="800" spans="1:12">
      <c r="A800">
        <v>799</v>
      </c>
      <c r="B800" t="s">
        <v>131</v>
      </c>
      <c r="C800" t="s">
        <v>247</v>
      </c>
      <c r="D800">
        <v>2</v>
      </c>
      <c r="E800" t="s">
        <v>165</v>
      </c>
      <c r="F800">
        <v>3</v>
      </c>
      <c r="G800" t="s">
        <v>58</v>
      </c>
      <c r="H800" t="s">
        <v>58</v>
      </c>
      <c r="I800" t="s">
        <v>153</v>
      </c>
      <c r="J800" t="s">
        <v>233</v>
      </c>
      <c r="K800">
        <v>0</v>
      </c>
      <c r="L800" t="s">
        <v>77</v>
      </c>
    </row>
    <row r="801" spans="1:12">
      <c r="A801">
        <v>800</v>
      </c>
      <c r="B801" t="s">
        <v>131</v>
      </c>
      <c r="C801" t="s">
        <v>90</v>
      </c>
      <c r="D801">
        <v>2</v>
      </c>
      <c r="E801" t="s">
        <v>165</v>
      </c>
      <c r="F801">
        <v>3</v>
      </c>
      <c r="G801" t="s">
        <v>58</v>
      </c>
      <c r="H801" t="s">
        <v>58</v>
      </c>
      <c r="I801" t="s">
        <v>105</v>
      </c>
      <c r="J801" t="s">
        <v>244</v>
      </c>
      <c r="K801">
        <v>0</v>
      </c>
      <c r="L801" t="s">
        <v>77</v>
      </c>
    </row>
    <row r="802" spans="1:12">
      <c r="A802">
        <v>801</v>
      </c>
      <c r="B802" t="s">
        <v>131</v>
      </c>
      <c r="C802" t="s">
        <v>92</v>
      </c>
      <c r="D802">
        <v>1</v>
      </c>
      <c r="E802" t="s">
        <v>165</v>
      </c>
      <c r="F802">
        <v>3</v>
      </c>
      <c r="G802" t="s">
        <v>162</v>
      </c>
      <c r="H802" t="s">
        <v>167</v>
      </c>
      <c r="I802" t="s">
        <v>58</v>
      </c>
      <c r="J802" t="s">
        <v>58</v>
      </c>
      <c r="K802">
        <v>0</v>
      </c>
      <c r="L802" t="s">
        <v>77</v>
      </c>
    </row>
    <row r="803" spans="1:12">
      <c r="A803">
        <v>802</v>
      </c>
      <c r="B803" t="s">
        <v>131</v>
      </c>
      <c r="C803" t="s">
        <v>95</v>
      </c>
      <c r="D803">
        <v>1</v>
      </c>
      <c r="E803" t="s">
        <v>165</v>
      </c>
      <c r="F803">
        <v>3</v>
      </c>
      <c r="G803" t="s">
        <v>166</v>
      </c>
      <c r="H803" t="s">
        <v>167</v>
      </c>
      <c r="I803" t="s">
        <v>58</v>
      </c>
      <c r="J803" t="s">
        <v>58</v>
      </c>
      <c r="K803">
        <v>0</v>
      </c>
      <c r="L803" t="s">
        <v>77</v>
      </c>
    </row>
    <row r="804" spans="1:12">
      <c r="A804">
        <v>803</v>
      </c>
      <c r="B804" t="s">
        <v>245</v>
      </c>
      <c r="C804" t="s">
        <v>99</v>
      </c>
      <c r="D804">
        <v>3</v>
      </c>
      <c r="E804" t="s">
        <v>165</v>
      </c>
      <c r="F804">
        <v>3</v>
      </c>
      <c r="G804" t="s">
        <v>58</v>
      </c>
      <c r="H804" t="s">
        <v>58</v>
      </c>
      <c r="I804" t="s">
        <v>58</v>
      </c>
      <c r="J804" t="s">
        <v>58</v>
      </c>
      <c r="K804">
        <v>0</v>
      </c>
      <c r="L804" t="s">
        <v>77</v>
      </c>
    </row>
    <row r="805" spans="1:12">
      <c r="A805">
        <v>804</v>
      </c>
      <c r="B805" t="s">
        <v>245</v>
      </c>
      <c r="C805" t="s">
        <v>102</v>
      </c>
      <c r="D805">
        <v>5</v>
      </c>
      <c r="E805" t="s">
        <v>165</v>
      </c>
      <c r="F805">
        <v>3</v>
      </c>
      <c r="G805" t="s">
        <v>58</v>
      </c>
      <c r="H805" t="s">
        <v>58</v>
      </c>
      <c r="I805" t="s">
        <v>58</v>
      </c>
      <c r="J805" t="s">
        <v>58</v>
      </c>
      <c r="K805">
        <v>0</v>
      </c>
      <c r="L805" t="s">
        <v>77</v>
      </c>
    </row>
    <row r="806" spans="1:12">
      <c r="A806">
        <v>805</v>
      </c>
      <c r="B806" t="s">
        <v>245</v>
      </c>
      <c r="C806" t="s">
        <v>247</v>
      </c>
      <c r="D806">
        <v>2</v>
      </c>
      <c r="E806" t="s">
        <v>165</v>
      </c>
      <c r="F806">
        <v>3</v>
      </c>
      <c r="G806" t="s">
        <v>58</v>
      </c>
      <c r="H806" t="s">
        <v>58</v>
      </c>
      <c r="I806" t="s">
        <v>153</v>
      </c>
      <c r="J806" t="s">
        <v>233</v>
      </c>
      <c r="K806">
        <v>0</v>
      </c>
      <c r="L806" t="s">
        <v>77</v>
      </c>
    </row>
    <row r="807" spans="1:12">
      <c r="A807">
        <v>806</v>
      </c>
      <c r="B807" t="s">
        <v>131</v>
      </c>
      <c r="C807" t="s">
        <v>90</v>
      </c>
      <c r="D807">
        <v>2</v>
      </c>
      <c r="E807" t="s">
        <v>165</v>
      </c>
      <c r="F807">
        <v>3</v>
      </c>
      <c r="G807" t="s">
        <v>58</v>
      </c>
      <c r="H807" t="s">
        <v>58</v>
      </c>
      <c r="I807" t="s">
        <v>105</v>
      </c>
      <c r="J807" t="s">
        <v>244</v>
      </c>
      <c r="K807">
        <v>0</v>
      </c>
      <c r="L807" t="s">
        <v>77</v>
      </c>
    </row>
    <row r="808" spans="1:12">
      <c r="A808">
        <v>807</v>
      </c>
      <c r="B808" t="s">
        <v>131</v>
      </c>
      <c r="C808" t="s">
        <v>92</v>
      </c>
      <c r="D808">
        <v>1</v>
      </c>
      <c r="E808" t="s">
        <v>165</v>
      </c>
      <c r="F808">
        <v>3</v>
      </c>
      <c r="G808" t="s">
        <v>162</v>
      </c>
      <c r="H808" t="s">
        <v>167</v>
      </c>
      <c r="I808" t="s">
        <v>58</v>
      </c>
      <c r="J808" t="s">
        <v>58</v>
      </c>
      <c r="K808">
        <v>0</v>
      </c>
      <c r="L808" t="s">
        <v>77</v>
      </c>
    </row>
    <row r="809" spans="1:12">
      <c r="A809">
        <v>808</v>
      </c>
      <c r="B809" t="s">
        <v>131</v>
      </c>
      <c r="C809" t="s">
        <v>95</v>
      </c>
      <c r="D809">
        <v>1</v>
      </c>
      <c r="E809" t="s">
        <v>165</v>
      </c>
      <c r="F809">
        <v>3</v>
      </c>
      <c r="G809" t="s">
        <v>166</v>
      </c>
      <c r="H809" t="s">
        <v>167</v>
      </c>
      <c r="I809" t="s">
        <v>58</v>
      </c>
      <c r="J809" t="s">
        <v>58</v>
      </c>
      <c r="K809">
        <v>0</v>
      </c>
      <c r="L809" t="s">
        <v>77</v>
      </c>
    </row>
    <row r="810" spans="1:12">
      <c r="A810">
        <v>809</v>
      </c>
      <c r="B810" t="s">
        <v>245</v>
      </c>
      <c r="C810" t="s">
        <v>99</v>
      </c>
      <c r="D810">
        <v>3</v>
      </c>
      <c r="E810" t="s">
        <v>165</v>
      </c>
      <c r="F810">
        <v>3</v>
      </c>
      <c r="G810" t="s">
        <v>58</v>
      </c>
      <c r="H810" t="s">
        <v>58</v>
      </c>
      <c r="I810" t="s">
        <v>58</v>
      </c>
      <c r="J810" t="s">
        <v>58</v>
      </c>
      <c r="K810">
        <v>0</v>
      </c>
      <c r="L810" t="s">
        <v>77</v>
      </c>
    </row>
    <row r="811" spans="1:12">
      <c r="A811">
        <v>810</v>
      </c>
      <c r="B811" t="s">
        <v>245</v>
      </c>
      <c r="C811" t="s">
        <v>102</v>
      </c>
      <c r="D811">
        <v>3</v>
      </c>
      <c r="E811" t="s">
        <v>165</v>
      </c>
      <c r="F811">
        <v>3</v>
      </c>
      <c r="G811" t="s">
        <v>58</v>
      </c>
      <c r="H811" t="s">
        <v>58</v>
      </c>
      <c r="I811" t="s">
        <v>58</v>
      </c>
      <c r="J811" t="s">
        <v>58</v>
      </c>
      <c r="K811">
        <v>0</v>
      </c>
      <c r="L811" t="s">
        <v>77</v>
      </c>
    </row>
    <row r="812" spans="1:12">
      <c r="A812">
        <v>811</v>
      </c>
      <c r="B812" t="s">
        <v>131</v>
      </c>
      <c r="C812" t="s">
        <v>247</v>
      </c>
      <c r="D812">
        <v>4</v>
      </c>
      <c r="E812" t="s">
        <v>165</v>
      </c>
      <c r="F812">
        <v>3</v>
      </c>
      <c r="G812" t="s">
        <v>58</v>
      </c>
      <c r="H812" t="s">
        <v>58</v>
      </c>
      <c r="I812" t="s">
        <v>58</v>
      </c>
      <c r="J812" t="s">
        <v>58</v>
      </c>
      <c r="K812">
        <v>5</v>
      </c>
      <c r="L812" t="s">
        <v>77</v>
      </c>
    </row>
    <row r="813" spans="1:12">
      <c r="A813">
        <v>812</v>
      </c>
      <c r="B813" t="s">
        <v>131</v>
      </c>
      <c r="C813" t="s">
        <v>90</v>
      </c>
      <c r="D813">
        <v>4</v>
      </c>
      <c r="E813" t="s">
        <v>165</v>
      </c>
      <c r="F813">
        <v>3</v>
      </c>
      <c r="G813" t="s">
        <v>58</v>
      </c>
      <c r="H813" t="s">
        <v>58</v>
      </c>
      <c r="I813" t="s">
        <v>58</v>
      </c>
      <c r="J813" t="s">
        <v>58</v>
      </c>
      <c r="K813">
        <v>5</v>
      </c>
      <c r="L813" t="s">
        <v>77</v>
      </c>
    </row>
    <row r="814" spans="1:12">
      <c r="A814">
        <v>813</v>
      </c>
      <c r="B814" t="s">
        <v>131</v>
      </c>
      <c r="C814" t="s">
        <v>92</v>
      </c>
      <c r="D814">
        <v>5</v>
      </c>
      <c r="E814" t="s">
        <v>165</v>
      </c>
      <c r="F814">
        <v>3</v>
      </c>
      <c r="G814" t="s">
        <v>58</v>
      </c>
      <c r="H814" t="s">
        <v>58</v>
      </c>
      <c r="I814" t="s">
        <v>58</v>
      </c>
      <c r="J814" t="s">
        <v>58</v>
      </c>
      <c r="K814">
        <v>0</v>
      </c>
      <c r="L814" t="s">
        <v>77</v>
      </c>
    </row>
    <row r="815" spans="1:12">
      <c r="A815">
        <v>814</v>
      </c>
      <c r="B815" t="s">
        <v>131</v>
      </c>
      <c r="C815" t="s">
        <v>95</v>
      </c>
      <c r="D815">
        <v>5</v>
      </c>
      <c r="E815" t="s">
        <v>165</v>
      </c>
      <c r="F815">
        <v>3</v>
      </c>
      <c r="G815" t="s">
        <v>58</v>
      </c>
      <c r="H815" t="s">
        <v>58</v>
      </c>
      <c r="I815" t="s">
        <v>58</v>
      </c>
      <c r="J815" t="s">
        <v>58</v>
      </c>
      <c r="K815">
        <v>0</v>
      </c>
      <c r="L815" t="s">
        <v>77</v>
      </c>
    </row>
    <row r="816" spans="1:12">
      <c r="A816">
        <v>815</v>
      </c>
      <c r="B816" t="s">
        <v>131</v>
      </c>
      <c r="C816" t="s">
        <v>99</v>
      </c>
      <c r="D816">
        <v>2</v>
      </c>
      <c r="E816" t="s">
        <v>165</v>
      </c>
      <c r="F816">
        <v>3</v>
      </c>
      <c r="G816" t="s">
        <v>58</v>
      </c>
      <c r="H816" t="s">
        <v>58</v>
      </c>
      <c r="I816" t="s">
        <v>119</v>
      </c>
      <c r="J816" t="s">
        <v>239</v>
      </c>
      <c r="K816">
        <v>0</v>
      </c>
      <c r="L816" t="s">
        <v>77</v>
      </c>
    </row>
    <row r="817" spans="1:12">
      <c r="A817">
        <v>816</v>
      </c>
      <c r="B817" t="s">
        <v>131</v>
      </c>
      <c r="C817" t="s">
        <v>102</v>
      </c>
      <c r="D817">
        <v>2</v>
      </c>
      <c r="E817" t="s">
        <v>165</v>
      </c>
      <c r="F817">
        <v>3</v>
      </c>
      <c r="G817" t="s">
        <v>58</v>
      </c>
      <c r="H817" t="s">
        <v>58</v>
      </c>
      <c r="I817" t="s">
        <v>141</v>
      </c>
      <c r="J817" t="s">
        <v>240</v>
      </c>
      <c r="K817">
        <v>0</v>
      </c>
      <c r="L817" t="s">
        <v>77</v>
      </c>
    </row>
    <row r="818" spans="1:12">
      <c r="A818">
        <v>817</v>
      </c>
      <c r="B818" t="s">
        <v>245</v>
      </c>
      <c r="C818" t="s">
        <v>247</v>
      </c>
      <c r="D818">
        <v>1</v>
      </c>
      <c r="E818" t="s">
        <v>165</v>
      </c>
      <c r="F818">
        <v>3</v>
      </c>
      <c r="G818" t="s">
        <v>162</v>
      </c>
      <c r="H818" t="s">
        <v>167</v>
      </c>
      <c r="I818" t="s">
        <v>58</v>
      </c>
      <c r="J818" t="s">
        <v>58</v>
      </c>
      <c r="K818">
        <v>0</v>
      </c>
      <c r="L818" t="s">
        <v>77</v>
      </c>
    </row>
    <row r="819" spans="1:12">
      <c r="A819">
        <v>818</v>
      </c>
      <c r="B819" t="s">
        <v>245</v>
      </c>
      <c r="C819" t="s">
        <v>90</v>
      </c>
      <c r="D819">
        <v>1</v>
      </c>
      <c r="E819" t="s">
        <v>165</v>
      </c>
      <c r="F819">
        <v>3</v>
      </c>
      <c r="G819" t="s">
        <v>109</v>
      </c>
      <c r="H819" t="s">
        <v>151</v>
      </c>
      <c r="I819" t="s">
        <v>58</v>
      </c>
      <c r="J819" t="s">
        <v>58</v>
      </c>
      <c r="K819">
        <v>0</v>
      </c>
      <c r="L819" t="s">
        <v>77</v>
      </c>
    </row>
    <row r="820" spans="1:12">
      <c r="A820">
        <v>819</v>
      </c>
      <c r="B820" t="s">
        <v>131</v>
      </c>
      <c r="C820" t="s">
        <v>92</v>
      </c>
      <c r="D820">
        <v>3</v>
      </c>
      <c r="E820" t="s">
        <v>165</v>
      </c>
      <c r="F820">
        <v>3</v>
      </c>
      <c r="G820" t="s">
        <v>58</v>
      </c>
      <c r="H820" t="s">
        <v>58</v>
      </c>
      <c r="I820" t="s">
        <v>58</v>
      </c>
      <c r="J820" t="s">
        <v>58</v>
      </c>
      <c r="K820">
        <v>0</v>
      </c>
      <c r="L820" t="s">
        <v>77</v>
      </c>
    </row>
    <row r="821" spans="1:12">
      <c r="A821">
        <v>820</v>
      </c>
      <c r="B821" t="s">
        <v>131</v>
      </c>
      <c r="C821" t="s">
        <v>95</v>
      </c>
      <c r="D821">
        <v>3</v>
      </c>
      <c r="E821" t="s">
        <v>165</v>
      </c>
      <c r="F821">
        <v>3</v>
      </c>
      <c r="G821" t="s">
        <v>58</v>
      </c>
      <c r="H821" t="s">
        <v>58</v>
      </c>
      <c r="I821" t="s">
        <v>58</v>
      </c>
      <c r="J821" t="s">
        <v>58</v>
      </c>
      <c r="K821">
        <v>0</v>
      </c>
      <c r="L821" t="s">
        <v>77</v>
      </c>
    </row>
    <row r="822" spans="1:12">
      <c r="A822">
        <v>821</v>
      </c>
      <c r="B822" t="s">
        <v>131</v>
      </c>
      <c r="C822" t="s">
        <v>99</v>
      </c>
      <c r="D822">
        <v>4</v>
      </c>
      <c r="E822" t="s">
        <v>165</v>
      </c>
      <c r="F822">
        <v>3</v>
      </c>
      <c r="G822" t="s">
        <v>58</v>
      </c>
      <c r="H822" t="s">
        <v>58</v>
      </c>
      <c r="I822" t="s">
        <v>58</v>
      </c>
      <c r="J822" t="s">
        <v>58</v>
      </c>
      <c r="K822">
        <v>5</v>
      </c>
      <c r="L822" t="s">
        <v>77</v>
      </c>
    </row>
    <row r="823" spans="1:12">
      <c r="A823">
        <v>822</v>
      </c>
      <c r="B823" t="s">
        <v>131</v>
      </c>
      <c r="C823" t="s">
        <v>102</v>
      </c>
      <c r="D823">
        <v>4</v>
      </c>
      <c r="E823" t="s">
        <v>165</v>
      </c>
      <c r="F823">
        <v>3</v>
      </c>
      <c r="G823" t="s">
        <v>58</v>
      </c>
      <c r="H823" t="s">
        <v>58</v>
      </c>
      <c r="I823" t="s">
        <v>58</v>
      </c>
      <c r="J823" t="s">
        <v>58</v>
      </c>
      <c r="K823">
        <v>5</v>
      </c>
      <c r="L823" t="s">
        <v>77</v>
      </c>
    </row>
    <row r="824" spans="1:12">
      <c r="A824">
        <v>823</v>
      </c>
      <c r="B824" t="s">
        <v>180</v>
      </c>
      <c r="C824" t="s">
        <v>247</v>
      </c>
      <c r="D824">
        <v>0</v>
      </c>
      <c r="E824" t="s">
        <v>165</v>
      </c>
      <c r="F824">
        <v>3</v>
      </c>
      <c r="G824" t="s">
        <v>58</v>
      </c>
      <c r="H824" t="s">
        <v>58</v>
      </c>
      <c r="I824" t="s">
        <v>58</v>
      </c>
      <c r="J824" t="s">
        <v>58</v>
      </c>
      <c r="K824">
        <v>0</v>
      </c>
      <c r="L824" t="s">
        <v>77</v>
      </c>
    </row>
    <row r="825" spans="1:12">
      <c r="A825">
        <v>824</v>
      </c>
      <c r="B825" t="s">
        <v>131</v>
      </c>
      <c r="C825" t="s">
        <v>102</v>
      </c>
      <c r="D825">
        <v>5</v>
      </c>
      <c r="E825" t="s">
        <v>165</v>
      </c>
      <c r="F825">
        <v>3</v>
      </c>
      <c r="G825" t="s">
        <v>58</v>
      </c>
      <c r="H825" t="s">
        <v>58</v>
      </c>
      <c r="I825" t="s">
        <v>58</v>
      </c>
      <c r="J825" t="s">
        <v>58</v>
      </c>
      <c r="K825">
        <v>0</v>
      </c>
      <c r="L825" t="s">
        <v>77</v>
      </c>
    </row>
    <row r="826" spans="1:12">
      <c r="A826">
        <v>825</v>
      </c>
      <c r="B826" t="s">
        <v>131</v>
      </c>
      <c r="C826" t="s">
        <v>247</v>
      </c>
      <c r="D826">
        <v>2</v>
      </c>
      <c r="E826" t="s">
        <v>165</v>
      </c>
      <c r="F826">
        <v>3</v>
      </c>
      <c r="G826" t="s">
        <v>58</v>
      </c>
      <c r="H826" t="s">
        <v>58</v>
      </c>
      <c r="I826" t="s">
        <v>153</v>
      </c>
      <c r="J826" t="s">
        <v>233</v>
      </c>
      <c r="K826">
        <v>0</v>
      </c>
      <c r="L826" t="s">
        <v>77</v>
      </c>
    </row>
    <row r="827" spans="1:12">
      <c r="A827">
        <v>826</v>
      </c>
      <c r="B827" t="s">
        <v>131</v>
      </c>
      <c r="C827" t="s">
        <v>90</v>
      </c>
      <c r="D827">
        <v>2</v>
      </c>
      <c r="E827" t="s">
        <v>165</v>
      </c>
      <c r="F827">
        <v>3</v>
      </c>
      <c r="G827" t="s">
        <v>58</v>
      </c>
      <c r="H827" t="s">
        <v>58</v>
      </c>
      <c r="I827" t="s">
        <v>105</v>
      </c>
      <c r="J827" t="s">
        <v>244</v>
      </c>
      <c r="K827">
        <v>0</v>
      </c>
      <c r="L827" t="s">
        <v>77</v>
      </c>
    </row>
    <row r="828" spans="1:12">
      <c r="A828">
        <v>827</v>
      </c>
      <c r="B828" t="s">
        <v>131</v>
      </c>
      <c r="C828" t="s">
        <v>92</v>
      </c>
      <c r="D828">
        <v>1</v>
      </c>
      <c r="E828" t="s">
        <v>165</v>
      </c>
      <c r="F828">
        <v>3</v>
      </c>
      <c r="G828" t="s">
        <v>162</v>
      </c>
      <c r="H828" t="s">
        <v>167</v>
      </c>
      <c r="I828" t="s">
        <v>58</v>
      </c>
      <c r="J828" t="s">
        <v>58</v>
      </c>
      <c r="K828">
        <v>0</v>
      </c>
      <c r="L828" t="s">
        <v>77</v>
      </c>
    </row>
    <row r="829" spans="1:12">
      <c r="A829">
        <v>828</v>
      </c>
      <c r="B829" t="s">
        <v>131</v>
      </c>
      <c r="C829" t="s">
        <v>95</v>
      </c>
      <c r="D829">
        <v>1</v>
      </c>
      <c r="E829" t="s">
        <v>165</v>
      </c>
      <c r="F829">
        <v>3</v>
      </c>
      <c r="G829" t="s">
        <v>166</v>
      </c>
      <c r="H829" t="s">
        <v>167</v>
      </c>
      <c r="I829" t="s">
        <v>58</v>
      </c>
      <c r="J829" t="s">
        <v>58</v>
      </c>
      <c r="K829">
        <v>0</v>
      </c>
      <c r="L829" t="s">
        <v>77</v>
      </c>
    </row>
    <row r="830" spans="1:12">
      <c r="A830">
        <v>829</v>
      </c>
      <c r="B830" t="s">
        <v>245</v>
      </c>
      <c r="C830" t="s">
        <v>99</v>
      </c>
      <c r="D830">
        <v>3</v>
      </c>
      <c r="E830" t="s">
        <v>165</v>
      </c>
      <c r="F830">
        <v>3</v>
      </c>
      <c r="G830" t="s">
        <v>58</v>
      </c>
      <c r="H830" t="s">
        <v>58</v>
      </c>
      <c r="I830" t="s">
        <v>58</v>
      </c>
      <c r="J830" t="s">
        <v>58</v>
      </c>
      <c r="K830">
        <v>0</v>
      </c>
      <c r="L830" t="s">
        <v>77</v>
      </c>
    </row>
    <row r="831" spans="1:12">
      <c r="A831">
        <v>830</v>
      </c>
      <c r="B831" t="s">
        <v>245</v>
      </c>
      <c r="C831" t="s">
        <v>102</v>
      </c>
      <c r="D831">
        <v>3</v>
      </c>
      <c r="E831" t="s">
        <v>165</v>
      </c>
      <c r="F831">
        <v>3</v>
      </c>
      <c r="G831" t="s">
        <v>58</v>
      </c>
      <c r="H831" t="s">
        <v>58</v>
      </c>
      <c r="I831" t="s">
        <v>58</v>
      </c>
      <c r="J831" t="s">
        <v>58</v>
      </c>
      <c r="K831">
        <v>0</v>
      </c>
      <c r="L831" t="s">
        <v>77</v>
      </c>
    </row>
    <row r="832" spans="1:12">
      <c r="A832">
        <v>831</v>
      </c>
      <c r="B832" t="s">
        <v>131</v>
      </c>
      <c r="C832" t="s">
        <v>247</v>
      </c>
      <c r="D832">
        <v>4</v>
      </c>
      <c r="E832" t="s">
        <v>165</v>
      </c>
      <c r="F832">
        <v>3</v>
      </c>
      <c r="G832" t="s">
        <v>58</v>
      </c>
      <c r="H832" t="s">
        <v>58</v>
      </c>
      <c r="I832" t="s">
        <v>58</v>
      </c>
      <c r="J832" t="s">
        <v>58</v>
      </c>
      <c r="K832">
        <v>5</v>
      </c>
      <c r="L832" t="s">
        <v>77</v>
      </c>
    </row>
    <row r="833" spans="1:12">
      <c r="A833">
        <v>832</v>
      </c>
      <c r="B833" t="s">
        <v>131</v>
      </c>
      <c r="C833" t="s">
        <v>90</v>
      </c>
      <c r="D833">
        <v>4</v>
      </c>
      <c r="E833" t="s">
        <v>165</v>
      </c>
      <c r="F833">
        <v>3</v>
      </c>
      <c r="G833" t="s">
        <v>58</v>
      </c>
      <c r="H833" t="s">
        <v>58</v>
      </c>
      <c r="I833" t="s">
        <v>58</v>
      </c>
      <c r="J833" t="s">
        <v>58</v>
      </c>
      <c r="K833">
        <v>5</v>
      </c>
      <c r="L833" t="s">
        <v>77</v>
      </c>
    </row>
    <row r="834" spans="1:12">
      <c r="A834">
        <v>833</v>
      </c>
      <c r="B834" t="s">
        <v>131</v>
      </c>
      <c r="C834" t="s">
        <v>92</v>
      </c>
      <c r="D834">
        <v>5</v>
      </c>
      <c r="E834" t="s">
        <v>165</v>
      </c>
      <c r="F834">
        <v>3</v>
      </c>
      <c r="G834" t="s">
        <v>58</v>
      </c>
      <c r="H834" t="s">
        <v>58</v>
      </c>
      <c r="I834" t="s">
        <v>58</v>
      </c>
      <c r="J834" t="s">
        <v>58</v>
      </c>
      <c r="K834">
        <v>0</v>
      </c>
      <c r="L834" t="s">
        <v>77</v>
      </c>
    </row>
    <row r="835" spans="1:12">
      <c r="A835">
        <v>834</v>
      </c>
      <c r="B835" t="s">
        <v>245</v>
      </c>
      <c r="C835" t="s">
        <v>95</v>
      </c>
      <c r="D835">
        <v>5</v>
      </c>
      <c r="E835" t="s">
        <v>165</v>
      </c>
      <c r="F835">
        <v>3</v>
      </c>
      <c r="G835" t="s">
        <v>58</v>
      </c>
      <c r="H835" t="s">
        <v>58</v>
      </c>
      <c r="I835" t="s">
        <v>58</v>
      </c>
      <c r="J835" t="s">
        <v>58</v>
      </c>
      <c r="K835">
        <v>0</v>
      </c>
      <c r="L835" t="s">
        <v>77</v>
      </c>
    </row>
    <row r="836" spans="1:12">
      <c r="A836">
        <v>835</v>
      </c>
      <c r="B836" t="s">
        <v>131</v>
      </c>
      <c r="C836" t="s">
        <v>99</v>
      </c>
      <c r="D836">
        <v>2</v>
      </c>
      <c r="E836" t="s">
        <v>165</v>
      </c>
      <c r="F836">
        <v>3</v>
      </c>
      <c r="G836" t="s">
        <v>58</v>
      </c>
      <c r="H836" t="s">
        <v>58</v>
      </c>
      <c r="I836" t="s">
        <v>119</v>
      </c>
      <c r="J836" t="s">
        <v>239</v>
      </c>
      <c r="K836">
        <v>0</v>
      </c>
      <c r="L836" t="s">
        <v>77</v>
      </c>
    </row>
    <row r="837" spans="1:12">
      <c r="A837">
        <v>836</v>
      </c>
      <c r="B837" t="s">
        <v>131</v>
      </c>
      <c r="C837" t="s">
        <v>102</v>
      </c>
      <c r="D837">
        <v>2</v>
      </c>
      <c r="E837" t="s">
        <v>165</v>
      </c>
      <c r="F837">
        <v>3</v>
      </c>
      <c r="G837" t="s">
        <v>58</v>
      </c>
      <c r="H837" t="s">
        <v>58</v>
      </c>
      <c r="I837" t="s">
        <v>141</v>
      </c>
      <c r="J837" t="s">
        <v>240</v>
      </c>
      <c r="K837">
        <v>0</v>
      </c>
      <c r="L837" t="s">
        <v>77</v>
      </c>
    </row>
    <row r="838" spans="1:12">
      <c r="A838">
        <v>837</v>
      </c>
      <c r="B838" t="s">
        <v>131</v>
      </c>
      <c r="C838" t="s">
        <v>247</v>
      </c>
      <c r="D838">
        <v>1</v>
      </c>
      <c r="E838" t="s">
        <v>165</v>
      </c>
      <c r="F838">
        <v>3</v>
      </c>
      <c r="G838" t="s">
        <v>162</v>
      </c>
      <c r="H838" t="s">
        <v>167</v>
      </c>
      <c r="I838" t="s">
        <v>58</v>
      </c>
      <c r="J838" t="s">
        <v>58</v>
      </c>
      <c r="K838">
        <v>0</v>
      </c>
      <c r="L838" t="s">
        <v>77</v>
      </c>
    </row>
    <row r="839" spans="1:12">
      <c r="A839">
        <v>838</v>
      </c>
      <c r="B839" t="s">
        <v>131</v>
      </c>
      <c r="C839" t="s">
        <v>90</v>
      </c>
      <c r="D839">
        <v>1</v>
      </c>
      <c r="E839" t="s">
        <v>165</v>
      </c>
      <c r="F839">
        <v>3</v>
      </c>
      <c r="G839" t="s">
        <v>109</v>
      </c>
      <c r="H839" t="s">
        <v>151</v>
      </c>
      <c r="I839" t="s">
        <v>58</v>
      </c>
      <c r="J839" t="s">
        <v>58</v>
      </c>
      <c r="K839">
        <v>0</v>
      </c>
      <c r="L839" t="s">
        <v>77</v>
      </c>
    </row>
    <row r="840" spans="1:12">
      <c r="A840">
        <v>839</v>
      </c>
      <c r="B840" t="s">
        <v>245</v>
      </c>
      <c r="C840" t="s">
        <v>92</v>
      </c>
      <c r="D840">
        <v>3</v>
      </c>
      <c r="E840" t="s">
        <v>165</v>
      </c>
      <c r="F840">
        <v>3</v>
      </c>
      <c r="G840" t="s">
        <v>58</v>
      </c>
      <c r="H840" t="s">
        <v>58</v>
      </c>
      <c r="I840" t="s">
        <v>58</v>
      </c>
      <c r="J840" t="s">
        <v>58</v>
      </c>
      <c r="K840">
        <v>0</v>
      </c>
      <c r="L840" t="s">
        <v>77</v>
      </c>
    </row>
    <row r="841" spans="1:12">
      <c r="A841">
        <v>840</v>
      </c>
      <c r="B841" t="s">
        <v>245</v>
      </c>
      <c r="C841" t="s">
        <v>95</v>
      </c>
      <c r="D841">
        <v>3</v>
      </c>
      <c r="E841" t="s">
        <v>165</v>
      </c>
      <c r="F841">
        <v>3</v>
      </c>
      <c r="G841" t="s">
        <v>58</v>
      </c>
      <c r="H841" t="s">
        <v>58</v>
      </c>
      <c r="I841" t="s">
        <v>58</v>
      </c>
      <c r="J841" t="s">
        <v>58</v>
      </c>
      <c r="K841">
        <v>0</v>
      </c>
      <c r="L841" t="s">
        <v>77</v>
      </c>
    </row>
    <row r="842" spans="1:12">
      <c r="A842">
        <v>841</v>
      </c>
      <c r="B842" t="s">
        <v>131</v>
      </c>
      <c r="C842" t="s">
        <v>99</v>
      </c>
      <c r="D842">
        <v>4</v>
      </c>
      <c r="E842" t="s">
        <v>165</v>
      </c>
      <c r="F842">
        <v>3</v>
      </c>
      <c r="G842" t="s">
        <v>58</v>
      </c>
      <c r="H842" t="s">
        <v>58</v>
      </c>
      <c r="I842" t="s">
        <v>58</v>
      </c>
      <c r="J842" t="s">
        <v>58</v>
      </c>
      <c r="K842">
        <v>5</v>
      </c>
      <c r="L842" t="s">
        <v>77</v>
      </c>
    </row>
    <row r="843" spans="1:12">
      <c r="A843">
        <v>842</v>
      </c>
      <c r="B843" t="s">
        <v>131</v>
      </c>
      <c r="C843" t="s">
        <v>102</v>
      </c>
      <c r="D843">
        <v>4</v>
      </c>
      <c r="E843" t="s">
        <v>165</v>
      </c>
      <c r="F843">
        <v>3</v>
      </c>
      <c r="G843" t="s">
        <v>58</v>
      </c>
      <c r="H843" t="s">
        <v>58</v>
      </c>
      <c r="I843" t="s">
        <v>58</v>
      </c>
      <c r="J843" t="s">
        <v>58</v>
      </c>
      <c r="K843">
        <v>5</v>
      </c>
      <c r="L843" t="s">
        <v>77</v>
      </c>
    </row>
    <row r="844" spans="1:12">
      <c r="A844">
        <v>843</v>
      </c>
      <c r="B844" t="s">
        <v>180</v>
      </c>
      <c r="C844" t="s">
        <v>247</v>
      </c>
      <c r="D844">
        <v>0</v>
      </c>
      <c r="E844" t="s">
        <v>165</v>
      </c>
      <c r="F844">
        <v>3</v>
      </c>
      <c r="G844" t="s">
        <v>58</v>
      </c>
      <c r="H844" t="s">
        <v>58</v>
      </c>
      <c r="I844" t="s">
        <v>58</v>
      </c>
      <c r="J844" t="s">
        <v>58</v>
      </c>
      <c r="K844">
        <v>0</v>
      </c>
      <c r="L844" t="s">
        <v>77</v>
      </c>
    </row>
    <row r="845" spans="1:12">
      <c r="A845">
        <v>844</v>
      </c>
      <c r="B845" t="s">
        <v>131</v>
      </c>
      <c r="C845" t="s">
        <v>90</v>
      </c>
      <c r="D845">
        <v>2</v>
      </c>
      <c r="E845" t="s">
        <v>165</v>
      </c>
      <c r="F845">
        <v>3</v>
      </c>
      <c r="G845" t="s">
        <v>58</v>
      </c>
      <c r="H845" t="s">
        <v>58</v>
      </c>
      <c r="I845" t="s">
        <v>105</v>
      </c>
      <c r="J845" t="s">
        <v>244</v>
      </c>
      <c r="K845">
        <v>0</v>
      </c>
      <c r="L845" t="s">
        <v>77</v>
      </c>
    </row>
    <row r="846" spans="1:12">
      <c r="A846">
        <v>845</v>
      </c>
      <c r="B846" t="s">
        <v>131</v>
      </c>
      <c r="C846" t="s">
        <v>92</v>
      </c>
      <c r="D846">
        <v>1</v>
      </c>
      <c r="E846" t="s">
        <v>165</v>
      </c>
      <c r="F846">
        <v>3</v>
      </c>
      <c r="G846" t="s">
        <v>162</v>
      </c>
      <c r="H846" t="s">
        <v>167</v>
      </c>
      <c r="I846" t="s">
        <v>58</v>
      </c>
      <c r="J846" t="s">
        <v>58</v>
      </c>
      <c r="K846">
        <v>0</v>
      </c>
      <c r="L846" t="s">
        <v>77</v>
      </c>
    </row>
    <row r="847" spans="1:12">
      <c r="A847">
        <v>846</v>
      </c>
      <c r="B847" t="s">
        <v>131</v>
      </c>
      <c r="C847" t="s">
        <v>95</v>
      </c>
      <c r="D847">
        <v>1</v>
      </c>
      <c r="E847" t="s">
        <v>165</v>
      </c>
      <c r="F847">
        <v>3</v>
      </c>
      <c r="G847" t="s">
        <v>166</v>
      </c>
      <c r="H847" t="s">
        <v>167</v>
      </c>
      <c r="I847" t="s">
        <v>58</v>
      </c>
      <c r="J847" t="s">
        <v>58</v>
      </c>
      <c r="K847">
        <v>0</v>
      </c>
      <c r="L847" t="s">
        <v>77</v>
      </c>
    </row>
    <row r="848" spans="1:12">
      <c r="A848">
        <v>847</v>
      </c>
      <c r="B848" t="s">
        <v>245</v>
      </c>
      <c r="C848" t="s">
        <v>99</v>
      </c>
      <c r="D848">
        <v>3</v>
      </c>
      <c r="E848" t="s">
        <v>165</v>
      </c>
      <c r="F848">
        <v>3</v>
      </c>
      <c r="G848" t="s">
        <v>58</v>
      </c>
      <c r="H848" t="s">
        <v>58</v>
      </c>
      <c r="I848" t="s">
        <v>58</v>
      </c>
      <c r="J848" t="s">
        <v>58</v>
      </c>
      <c r="K848">
        <v>0</v>
      </c>
      <c r="L848" t="s">
        <v>77</v>
      </c>
    </row>
    <row r="849" spans="1:12">
      <c r="A849">
        <v>848</v>
      </c>
      <c r="B849" t="s">
        <v>245</v>
      </c>
      <c r="C849" t="s">
        <v>102</v>
      </c>
      <c r="D849">
        <v>3</v>
      </c>
      <c r="E849" t="s">
        <v>165</v>
      </c>
      <c r="F849">
        <v>3</v>
      </c>
      <c r="G849" t="s">
        <v>58</v>
      </c>
      <c r="H849" t="s">
        <v>58</v>
      </c>
      <c r="I849" t="s">
        <v>58</v>
      </c>
      <c r="J849" t="s">
        <v>58</v>
      </c>
      <c r="K849">
        <v>0</v>
      </c>
      <c r="L849" t="s">
        <v>77</v>
      </c>
    </row>
    <row r="850" spans="1:12">
      <c r="A850">
        <v>849</v>
      </c>
      <c r="B850" t="s">
        <v>131</v>
      </c>
      <c r="C850" t="s">
        <v>247</v>
      </c>
      <c r="D850">
        <v>4</v>
      </c>
      <c r="E850" t="s">
        <v>165</v>
      </c>
      <c r="F850">
        <v>3</v>
      </c>
      <c r="G850" t="s">
        <v>58</v>
      </c>
      <c r="H850" t="s">
        <v>58</v>
      </c>
      <c r="I850" t="s">
        <v>58</v>
      </c>
      <c r="J850" t="s">
        <v>58</v>
      </c>
      <c r="K850">
        <v>5</v>
      </c>
      <c r="L850" t="s">
        <v>77</v>
      </c>
    </row>
    <row r="851" spans="1:12">
      <c r="A851">
        <v>850</v>
      </c>
      <c r="B851" t="s">
        <v>131</v>
      </c>
      <c r="C851" t="s">
        <v>90</v>
      </c>
      <c r="D851">
        <v>4</v>
      </c>
      <c r="E851" t="s">
        <v>165</v>
      </c>
      <c r="F851">
        <v>3</v>
      </c>
      <c r="G851" t="s">
        <v>58</v>
      </c>
      <c r="H851" t="s">
        <v>58</v>
      </c>
      <c r="I851" t="s">
        <v>58</v>
      </c>
      <c r="J851" t="s">
        <v>58</v>
      </c>
      <c r="K851">
        <v>5</v>
      </c>
      <c r="L851" t="s">
        <v>77</v>
      </c>
    </row>
    <row r="852" spans="1:12">
      <c r="A852">
        <v>851</v>
      </c>
      <c r="B852" t="s">
        <v>131</v>
      </c>
      <c r="C852" t="s">
        <v>92</v>
      </c>
      <c r="D852">
        <v>5</v>
      </c>
      <c r="E852" t="s">
        <v>165</v>
      </c>
      <c r="F852">
        <v>3</v>
      </c>
      <c r="G852" t="s">
        <v>58</v>
      </c>
      <c r="H852" t="s">
        <v>58</v>
      </c>
      <c r="I852" t="s">
        <v>58</v>
      </c>
      <c r="J852" t="s">
        <v>58</v>
      </c>
      <c r="K852">
        <v>0</v>
      </c>
      <c r="L852" t="s">
        <v>77</v>
      </c>
    </row>
    <row r="853" spans="1:12">
      <c r="A853">
        <v>852</v>
      </c>
      <c r="B853" t="s">
        <v>245</v>
      </c>
      <c r="C853" t="s">
        <v>95</v>
      </c>
      <c r="D853">
        <v>5</v>
      </c>
      <c r="E853" t="s">
        <v>165</v>
      </c>
      <c r="F853">
        <v>3</v>
      </c>
      <c r="G853" t="s">
        <v>58</v>
      </c>
      <c r="H853" t="s">
        <v>58</v>
      </c>
      <c r="I853" t="s">
        <v>58</v>
      </c>
      <c r="J853" t="s">
        <v>58</v>
      </c>
      <c r="K853">
        <v>0</v>
      </c>
      <c r="L853" t="s">
        <v>77</v>
      </c>
    </row>
    <row r="854" spans="1:12">
      <c r="A854">
        <v>853</v>
      </c>
      <c r="B854" t="s">
        <v>245</v>
      </c>
      <c r="C854" t="s">
        <v>95</v>
      </c>
      <c r="D854">
        <v>5</v>
      </c>
      <c r="E854" t="s">
        <v>165</v>
      </c>
      <c r="F854">
        <v>3</v>
      </c>
      <c r="G854" t="s">
        <v>58</v>
      </c>
      <c r="H854" t="s">
        <v>58</v>
      </c>
      <c r="I854" t="s">
        <v>58</v>
      </c>
      <c r="J854" t="s">
        <v>58</v>
      </c>
      <c r="K854">
        <v>0</v>
      </c>
      <c r="L854" t="s">
        <v>77</v>
      </c>
    </row>
    <row r="855" spans="1:12">
      <c r="A855">
        <v>854</v>
      </c>
      <c r="B855" t="s">
        <v>131</v>
      </c>
      <c r="C855" t="s">
        <v>99</v>
      </c>
      <c r="D855">
        <v>2</v>
      </c>
      <c r="E855" t="s">
        <v>165</v>
      </c>
      <c r="F855">
        <v>3</v>
      </c>
      <c r="G855" t="s">
        <v>58</v>
      </c>
      <c r="H855" t="s">
        <v>58</v>
      </c>
      <c r="I855" t="s">
        <v>119</v>
      </c>
      <c r="J855" t="s">
        <v>239</v>
      </c>
      <c r="K855">
        <v>0</v>
      </c>
      <c r="L855" t="s">
        <v>77</v>
      </c>
    </row>
    <row r="856" spans="1:12">
      <c r="A856">
        <v>855</v>
      </c>
      <c r="B856" t="s">
        <v>131</v>
      </c>
      <c r="C856" t="s">
        <v>102</v>
      </c>
      <c r="D856">
        <v>2</v>
      </c>
      <c r="E856" t="s">
        <v>165</v>
      </c>
      <c r="F856">
        <v>3</v>
      </c>
      <c r="G856" t="s">
        <v>58</v>
      </c>
      <c r="H856" t="s">
        <v>58</v>
      </c>
      <c r="I856" t="s">
        <v>141</v>
      </c>
      <c r="J856" t="s">
        <v>240</v>
      </c>
      <c r="K856">
        <v>0</v>
      </c>
      <c r="L856" t="s">
        <v>77</v>
      </c>
    </row>
    <row r="857" spans="1:12">
      <c r="A857">
        <v>856</v>
      </c>
      <c r="B857" t="s">
        <v>131</v>
      </c>
      <c r="C857" t="s">
        <v>247</v>
      </c>
      <c r="D857">
        <v>1</v>
      </c>
      <c r="E857" t="s">
        <v>165</v>
      </c>
      <c r="F857">
        <v>3</v>
      </c>
      <c r="G857" t="s">
        <v>162</v>
      </c>
      <c r="H857" t="s">
        <v>167</v>
      </c>
      <c r="I857" t="s">
        <v>58</v>
      </c>
      <c r="J857" t="s">
        <v>58</v>
      </c>
      <c r="K857">
        <v>0</v>
      </c>
      <c r="L857" t="s">
        <v>77</v>
      </c>
    </row>
    <row r="858" spans="1:12">
      <c r="A858">
        <v>857</v>
      </c>
      <c r="B858" t="s">
        <v>131</v>
      </c>
      <c r="C858" t="s">
        <v>90</v>
      </c>
      <c r="D858">
        <v>1</v>
      </c>
      <c r="E858" t="s">
        <v>165</v>
      </c>
      <c r="F858">
        <v>3</v>
      </c>
      <c r="G858" t="s">
        <v>109</v>
      </c>
      <c r="H858" t="s">
        <v>151</v>
      </c>
      <c r="I858" t="s">
        <v>58</v>
      </c>
      <c r="J858" t="s">
        <v>58</v>
      </c>
      <c r="K858">
        <v>0</v>
      </c>
      <c r="L858" t="s">
        <v>77</v>
      </c>
    </row>
    <row r="859" spans="1:12">
      <c r="A859">
        <v>858</v>
      </c>
      <c r="B859" t="s">
        <v>245</v>
      </c>
      <c r="C859" t="s">
        <v>92</v>
      </c>
      <c r="D859">
        <v>3</v>
      </c>
      <c r="E859" t="s">
        <v>165</v>
      </c>
      <c r="F859">
        <v>3</v>
      </c>
      <c r="G859" t="s">
        <v>58</v>
      </c>
      <c r="H859" t="s">
        <v>58</v>
      </c>
      <c r="I859" t="s">
        <v>58</v>
      </c>
      <c r="J859" t="s">
        <v>58</v>
      </c>
      <c r="K859">
        <v>0</v>
      </c>
      <c r="L859" t="s">
        <v>77</v>
      </c>
    </row>
    <row r="860" spans="1:12">
      <c r="A860">
        <v>859</v>
      </c>
      <c r="B860" t="s">
        <v>245</v>
      </c>
      <c r="C860" t="s">
        <v>95</v>
      </c>
      <c r="D860">
        <v>3</v>
      </c>
      <c r="E860" t="s">
        <v>165</v>
      </c>
      <c r="F860">
        <v>3</v>
      </c>
      <c r="G860" t="s">
        <v>58</v>
      </c>
      <c r="H860" t="s">
        <v>58</v>
      </c>
      <c r="I860" t="s">
        <v>58</v>
      </c>
      <c r="J860" t="s">
        <v>58</v>
      </c>
      <c r="K860">
        <v>0</v>
      </c>
      <c r="L860" t="s">
        <v>77</v>
      </c>
    </row>
    <row r="861" spans="1:12">
      <c r="A861">
        <v>860</v>
      </c>
      <c r="B861" t="s">
        <v>131</v>
      </c>
      <c r="C861" t="s">
        <v>99</v>
      </c>
      <c r="D861">
        <v>4</v>
      </c>
      <c r="E861" t="s">
        <v>165</v>
      </c>
      <c r="F861">
        <v>3</v>
      </c>
      <c r="G861" t="s">
        <v>58</v>
      </c>
      <c r="H861" t="s">
        <v>58</v>
      </c>
      <c r="I861" t="s">
        <v>58</v>
      </c>
      <c r="J861" t="s">
        <v>58</v>
      </c>
      <c r="K861">
        <v>5</v>
      </c>
      <c r="L861" t="s">
        <v>77</v>
      </c>
    </row>
    <row r="862" spans="1:12">
      <c r="A862">
        <v>861</v>
      </c>
      <c r="B862" t="s">
        <v>131</v>
      </c>
      <c r="C862" t="s">
        <v>102</v>
      </c>
      <c r="D862">
        <v>4</v>
      </c>
      <c r="E862" t="s">
        <v>165</v>
      </c>
      <c r="F862">
        <v>3</v>
      </c>
      <c r="G862" t="s">
        <v>58</v>
      </c>
      <c r="H862" t="s">
        <v>58</v>
      </c>
      <c r="I862" t="s">
        <v>58</v>
      </c>
      <c r="J862" t="s">
        <v>58</v>
      </c>
      <c r="K862">
        <v>5</v>
      </c>
      <c r="L862" t="s">
        <v>77</v>
      </c>
    </row>
    <row r="863" spans="1:12">
      <c r="A863">
        <v>862</v>
      </c>
      <c r="B863" t="s">
        <v>180</v>
      </c>
      <c r="C863" t="s">
        <v>247</v>
      </c>
      <c r="D863">
        <v>0</v>
      </c>
      <c r="E863" t="s">
        <v>165</v>
      </c>
      <c r="F863">
        <v>3</v>
      </c>
      <c r="G863" t="s">
        <v>58</v>
      </c>
      <c r="H863" t="s">
        <v>58</v>
      </c>
      <c r="I863" t="s">
        <v>58</v>
      </c>
      <c r="J863" t="s">
        <v>58</v>
      </c>
      <c r="K863">
        <v>0</v>
      </c>
      <c r="L863" t="s">
        <v>77</v>
      </c>
    </row>
    <row r="864" spans="1:12">
      <c r="A864">
        <v>863</v>
      </c>
      <c r="B864" t="s">
        <v>131</v>
      </c>
      <c r="C864" t="s">
        <v>90</v>
      </c>
      <c r="D864">
        <v>2</v>
      </c>
      <c r="E864" t="s">
        <v>165</v>
      </c>
      <c r="F864">
        <v>3</v>
      </c>
      <c r="G864" t="s">
        <v>58</v>
      </c>
      <c r="H864" t="s">
        <v>58</v>
      </c>
      <c r="I864" t="s">
        <v>105</v>
      </c>
      <c r="J864" t="s">
        <v>244</v>
      </c>
      <c r="K864">
        <v>0</v>
      </c>
      <c r="L864" t="s">
        <v>77</v>
      </c>
    </row>
    <row r="865" spans="1:12">
      <c r="A865">
        <v>864</v>
      </c>
      <c r="B865" t="s">
        <v>131</v>
      </c>
      <c r="C865" t="s">
        <v>92</v>
      </c>
      <c r="D865">
        <v>1</v>
      </c>
      <c r="E865" t="s">
        <v>165</v>
      </c>
      <c r="F865">
        <v>3</v>
      </c>
      <c r="G865" t="s">
        <v>162</v>
      </c>
      <c r="H865" t="s">
        <v>167</v>
      </c>
      <c r="I865" t="s">
        <v>58</v>
      </c>
      <c r="J865" t="s">
        <v>58</v>
      </c>
      <c r="K865">
        <v>0</v>
      </c>
      <c r="L865" t="s">
        <v>77</v>
      </c>
    </row>
    <row r="866" spans="1:12">
      <c r="A866">
        <v>865</v>
      </c>
      <c r="B866" t="s">
        <v>131</v>
      </c>
      <c r="C866" t="s">
        <v>95</v>
      </c>
      <c r="D866">
        <v>1</v>
      </c>
      <c r="E866" t="s">
        <v>165</v>
      </c>
      <c r="F866">
        <v>3</v>
      </c>
      <c r="G866" t="s">
        <v>166</v>
      </c>
      <c r="H866" t="s">
        <v>167</v>
      </c>
      <c r="I866" t="s">
        <v>58</v>
      </c>
      <c r="J866" t="s">
        <v>58</v>
      </c>
      <c r="K866">
        <v>0</v>
      </c>
      <c r="L866" t="s">
        <v>77</v>
      </c>
    </row>
    <row r="867" spans="1:12">
      <c r="A867">
        <v>866</v>
      </c>
      <c r="B867" t="s">
        <v>245</v>
      </c>
      <c r="C867" t="s">
        <v>99</v>
      </c>
      <c r="D867">
        <v>3</v>
      </c>
      <c r="E867" t="s">
        <v>165</v>
      </c>
      <c r="F867">
        <v>3</v>
      </c>
      <c r="G867" t="s">
        <v>58</v>
      </c>
      <c r="H867" t="s">
        <v>58</v>
      </c>
      <c r="I867" t="s">
        <v>58</v>
      </c>
      <c r="J867" t="s">
        <v>58</v>
      </c>
      <c r="K867">
        <v>0</v>
      </c>
      <c r="L867" t="s">
        <v>77</v>
      </c>
    </row>
    <row r="868" spans="1:12">
      <c r="A868">
        <v>867</v>
      </c>
      <c r="B868" t="s">
        <v>245</v>
      </c>
      <c r="C868" t="s">
        <v>102</v>
      </c>
      <c r="D868">
        <v>3</v>
      </c>
      <c r="E868" t="s">
        <v>165</v>
      </c>
      <c r="F868">
        <v>3</v>
      </c>
      <c r="G868" t="s">
        <v>58</v>
      </c>
      <c r="H868" t="s">
        <v>58</v>
      </c>
      <c r="I868" t="s">
        <v>58</v>
      </c>
      <c r="J868" t="s">
        <v>58</v>
      </c>
      <c r="K868">
        <v>0</v>
      </c>
      <c r="L868" t="s">
        <v>77</v>
      </c>
    </row>
    <row r="869" spans="1:12">
      <c r="A869">
        <v>868</v>
      </c>
      <c r="B869" t="s">
        <v>245</v>
      </c>
      <c r="C869" t="s">
        <v>90</v>
      </c>
      <c r="D869">
        <v>1</v>
      </c>
      <c r="E869" t="s">
        <v>165</v>
      </c>
      <c r="F869">
        <v>3</v>
      </c>
      <c r="G869" t="s">
        <v>109</v>
      </c>
      <c r="H869" t="s">
        <v>151</v>
      </c>
      <c r="I869" t="s">
        <v>58</v>
      </c>
      <c r="J869" t="s">
        <v>58</v>
      </c>
      <c r="K869">
        <v>0</v>
      </c>
      <c r="L869" t="s">
        <v>77</v>
      </c>
    </row>
    <row r="870" spans="1:12">
      <c r="A870">
        <v>869</v>
      </c>
      <c r="B870" t="s">
        <v>131</v>
      </c>
      <c r="C870" t="s">
        <v>92</v>
      </c>
      <c r="D870">
        <v>3</v>
      </c>
      <c r="E870" t="s">
        <v>165</v>
      </c>
      <c r="F870">
        <v>3</v>
      </c>
      <c r="G870" t="s">
        <v>58</v>
      </c>
      <c r="H870" t="s">
        <v>58</v>
      </c>
      <c r="I870" t="s">
        <v>58</v>
      </c>
      <c r="J870" t="s">
        <v>58</v>
      </c>
      <c r="K870">
        <v>0</v>
      </c>
      <c r="L870" t="s">
        <v>77</v>
      </c>
    </row>
    <row r="871" spans="1:12">
      <c r="A871">
        <v>870</v>
      </c>
      <c r="B871" t="s">
        <v>131</v>
      </c>
      <c r="C871" t="s">
        <v>95</v>
      </c>
      <c r="D871">
        <v>3</v>
      </c>
      <c r="E871" t="s">
        <v>165</v>
      </c>
      <c r="F871">
        <v>3</v>
      </c>
      <c r="G871" t="s">
        <v>58</v>
      </c>
      <c r="H871" t="s">
        <v>58</v>
      </c>
      <c r="I871" t="s">
        <v>58</v>
      </c>
      <c r="J871" t="s">
        <v>58</v>
      </c>
      <c r="K871">
        <v>0</v>
      </c>
      <c r="L871" t="s">
        <v>77</v>
      </c>
    </row>
    <row r="872" spans="1:12">
      <c r="A872">
        <v>871</v>
      </c>
      <c r="B872" t="s">
        <v>131</v>
      </c>
      <c r="C872" t="s">
        <v>99</v>
      </c>
      <c r="D872">
        <v>4</v>
      </c>
      <c r="E872" t="s">
        <v>165</v>
      </c>
      <c r="F872">
        <v>3</v>
      </c>
      <c r="G872" t="s">
        <v>58</v>
      </c>
      <c r="H872" t="s">
        <v>58</v>
      </c>
      <c r="I872" t="s">
        <v>58</v>
      </c>
      <c r="J872" t="s">
        <v>58</v>
      </c>
      <c r="K872">
        <v>5</v>
      </c>
      <c r="L872" t="s">
        <v>77</v>
      </c>
    </row>
    <row r="873" spans="1:12">
      <c r="A873">
        <v>872</v>
      </c>
      <c r="B873" t="s">
        <v>131</v>
      </c>
      <c r="C873" t="s">
        <v>102</v>
      </c>
      <c r="D873">
        <v>4</v>
      </c>
      <c r="E873" t="s">
        <v>165</v>
      </c>
      <c r="F873">
        <v>3</v>
      </c>
      <c r="G873" t="s">
        <v>58</v>
      </c>
      <c r="H873" t="s">
        <v>58</v>
      </c>
      <c r="I873" t="s">
        <v>58</v>
      </c>
      <c r="J873" t="s">
        <v>58</v>
      </c>
      <c r="K873">
        <v>5</v>
      </c>
      <c r="L873" t="s">
        <v>77</v>
      </c>
    </row>
    <row r="874" spans="1:12">
      <c r="A874">
        <v>873</v>
      </c>
      <c r="B874" t="s">
        <v>180</v>
      </c>
      <c r="C874" t="s">
        <v>247</v>
      </c>
      <c r="D874">
        <v>0</v>
      </c>
      <c r="E874" t="s">
        <v>165</v>
      </c>
      <c r="F874">
        <v>3</v>
      </c>
      <c r="G874" t="s">
        <v>58</v>
      </c>
      <c r="H874" t="s">
        <v>58</v>
      </c>
      <c r="I874" t="s">
        <v>58</v>
      </c>
      <c r="J874" t="s">
        <v>58</v>
      </c>
      <c r="K874">
        <v>0</v>
      </c>
      <c r="L874" t="s">
        <v>77</v>
      </c>
    </row>
    <row r="875" spans="1:12">
      <c r="A875">
        <v>874</v>
      </c>
      <c r="B875" t="s">
        <v>131</v>
      </c>
      <c r="C875" t="s">
        <v>102</v>
      </c>
      <c r="D875">
        <v>5</v>
      </c>
      <c r="E875" t="s">
        <v>165</v>
      </c>
      <c r="F875">
        <v>3</v>
      </c>
      <c r="G875" t="s">
        <v>58</v>
      </c>
      <c r="H875" t="s">
        <v>58</v>
      </c>
      <c r="I875" t="s">
        <v>58</v>
      </c>
      <c r="J875" t="s">
        <v>58</v>
      </c>
      <c r="K875">
        <v>0</v>
      </c>
      <c r="L875" t="s">
        <v>77</v>
      </c>
    </row>
    <row r="876" spans="1:12">
      <c r="A876">
        <v>875</v>
      </c>
      <c r="B876" t="s">
        <v>131</v>
      </c>
      <c r="C876" t="s">
        <v>247</v>
      </c>
      <c r="D876">
        <v>2</v>
      </c>
      <c r="E876" t="s">
        <v>165</v>
      </c>
      <c r="F876">
        <v>3</v>
      </c>
      <c r="G876" t="s">
        <v>58</v>
      </c>
      <c r="H876" t="s">
        <v>58</v>
      </c>
      <c r="I876" t="s">
        <v>153</v>
      </c>
      <c r="J876" t="s">
        <v>233</v>
      </c>
      <c r="K876">
        <v>0</v>
      </c>
      <c r="L876" t="s">
        <v>77</v>
      </c>
    </row>
    <row r="877" spans="1:12">
      <c r="A877">
        <v>876</v>
      </c>
      <c r="B877" t="s">
        <v>131</v>
      </c>
      <c r="C877" t="s">
        <v>90</v>
      </c>
      <c r="D877">
        <v>2</v>
      </c>
      <c r="E877" t="s">
        <v>165</v>
      </c>
      <c r="F877">
        <v>3</v>
      </c>
      <c r="G877" t="s">
        <v>58</v>
      </c>
      <c r="H877" t="s">
        <v>58</v>
      </c>
      <c r="I877" t="s">
        <v>105</v>
      </c>
      <c r="J877" t="s">
        <v>244</v>
      </c>
      <c r="K877">
        <v>0</v>
      </c>
      <c r="L877" t="s">
        <v>77</v>
      </c>
    </row>
    <row r="878" spans="1:12">
      <c r="A878">
        <v>877</v>
      </c>
      <c r="B878" t="s">
        <v>131</v>
      </c>
      <c r="C878" t="s">
        <v>92</v>
      </c>
      <c r="D878">
        <v>1</v>
      </c>
      <c r="E878" t="s">
        <v>165</v>
      </c>
      <c r="F878">
        <v>3</v>
      </c>
      <c r="G878" t="s">
        <v>162</v>
      </c>
      <c r="H878" t="s">
        <v>167</v>
      </c>
      <c r="I878" t="s">
        <v>58</v>
      </c>
      <c r="J878" t="s">
        <v>58</v>
      </c>
      <c r="K878">
        <v>0</v>
      </c>
      <c r="L878" t="s">
        <v>77</v>
      </c>
    </row>
    <row r="879" spans="1:12">
      <c r="A879">
        <v>878</v>
      </c>
      <c r="B879" t="s">
        <v>131</v>
      </c>
      <c r="C879" t="s">
        <v>95</v>
      </c>
      <c r="D879">
        <v>1</v>
      </c>
      <c r="E879" t="s">
        <v>165</v>
      </c>
      <c r="F879">
        <v>3</v>
      </c>
      <c r="G879" t="s">
        <v>166</v>
      </c>
      <c r="H879" t="s">
        <v>167</v>
      </c>
      <c r="I879" t="s">
        <v>58</v>
      </c>
      <c r="J879" t="s">
        <v>58</v>
      </c>
      <c r="K879">
        <v>0</v>
      </c>
      <c r="L879" t="s">
        <v>77</v>
      </c>
    </row>
    <row r="880" spans="1:12">
      <c r="A880">
        <v>879</v>
      </c>
      <c r="B880" t="s">
        <v>245</v>
      </c>
      <c r="C880" t="s">
        <v>99</v>
      </c>
      <c r="D880">
        <v>3</v>
      </c>
      <c r="E880" t="s">
        <v>165</v>
      </c>
      <c r="F880">
        <v>3</v>
      </c>
      <c r="G880" t="s">
        <v>58</v>
      </c>
      <c r="H880" t="s">
        <v>58</v>
      </c>
      <c r="I880" t="s">
        <v>58</v>
      </c>
      <c r="J880" t="s">
        <v>58</v>
      </c>
      <c r="K880">
        <v>0</v>
      </c>
      <c r="L880" t="s">
        <v>77</v>
      </c>
    </row>
    <row r="881" spans="1:12">
      <c r="A881">
        <v>880</v>
      </c>
      <c r="B881" t="s">
        <v>245</v>
      </c>
      <c r="C881" t="s">
        <v>102</v>
      </c>
      <c r="D881">
        <v>5</v>
      </c>
      <c r="E881" t="s">
        <v>165</v>
      </c>
      <c r="F881">
        <v>3</v>
      </c>
      <c r="G881" t="s">
        <v>58</v>
      </c>
      <c r="H881" t="s">
        <v>58</v>
      </c>
      <c r="I881" t="s">
        <v>58</v>
      </c>
      <c r="J881" t="s">
        <v>58</v>
      </c>
      <c r="K881">
        <v>0</v>
      </c>
      <c r="L881" t="s">
        <v>77</v>
      </c>
    </row>
    <row r="882" spans="1:12">
      <c r="A882">
        <v>881</v>
      </c>
      <c r="B882" t="s">
        <v>245</v>
      </c>
      <c r="C882" t="s">
        <v>247</v>
      </c>
      <c r="D882">
        <v>2</v>
      </c>
      <c r="E882" t="s">
        <v>165</v>
      </c>
      <c r="F882">
        <v>3</v>
      </c>
      <c r="G882" t="s">
        <v>58</v>
      </c>
      <c r="H882" t="s">
        <v>58</v>
      </c>
      <c r="I882" t="s">
        <v>153</v>
      </c>
      <c r="J882" t="s">
        <v>233</v>
      </c>
      <c r="K882">
        <v>0</v>
      </c>
      <c r="L882" t="s">
        <v>77</v>
      </c>
    </row>
    <row r="883" spans="1:12">
      <c r="A883">
        <v>882</v>
      </c>
      <c r="B883" t="s">
        <v>131</v>
      </c>
      <c r="C883" t="s">
        <v>90</v>
      </c>
      <c r="D883">
        <v>2</v>
      </c>
      <c r="E883" t="s">
        <v>165</v>
      </c>
      <c r="F883">
        <v>3</v>
      </c>
      <c r="G883" t="s">
        <v>58</v>
      </c>
      <c r="H883" t="s">
        <v>58</v>
      </c>
      <c r="I883" t="s">
        <v>105</v>
      </c>
      <c r="J883" t="s">
        <v>244</v>
      </c>
      <c r="K883">
        <v>0</v>
      </c>
      <c r="L883" t="s">
        <v>77</v>
      </c>
    </row>
    <row r="884" spans="1:12">
      <c r="A884">
        <v>883</v>
      </c>
      <c r="B884" t="s">
        <v>131</v>
      </c>
      <c r="C884" t="s">
        <v>92</v>
      </c>
      <c r="D884">
        <v>1</v>
      </c>
      <c r="E884" t="s">
        <v>165</v>
      </c>
      <c r="F884">
        <v>3</v>
      </c>
      <c r="G884" t="s">
        <v>162</v>
      </c>
      <c r="H884" t="s">
        <v>167</v>
      </c>
      <c r="I884" t="s">
        <v>58</v>
      </c>
      <c r="J884" t="s">
        <v>58</v>
      </c>
      <c r="K884">
        <v>0</v>
      </c>
      <c r="L884" t="s">
        <v>77</v>
      </c>
    </row>
    <row r="885" spans="1:12">
      <c r="A885">
        <v>884</v>
      </c>
      <c r="B885" t="s">
        <v>131</v>
      </c>
      <c r="C885" t="s">
        <v>95</v>
      </c>
      <c r="D885">
        <v>1</v>
      </c>
      <c r="E885" t="s">
        <v>165</v>
      </c>
      <c r="F885">
        <v>3</v>
      </c>
      <c r="G885" t="s">
        <v>166</v>
      </c>
      <c r="H885" t="s">
        <v>167</v>
      </c>
      <c r="I885" t="s">
        <v>58</v>
      </c>
      <c r="J885" t="s">
        <v>58</v>
      </c>
      <c r="K885">
        <v>0</v>
      </c>
      <c r="L885" t="s">
        <v>77</v>
      </c>
    </row>
    <row r="886" spans="1:12">
      <c r="A886">
        <v>885</v>
      </c>
      <c r="B886" t="s">
        <v>245</v>
      </c>
      <c r="C886" t="s">
        <v>99</v>
      </c>
      <c r="D886">
        <v>3</v>
      </c>
      <c r="E886" t="s">
        <v>165</v>
      </c>
      <c r="F886">
        <v>3</v>
      </c>
      <c r="G886" t="s">
        <v>58</v>
      </c>
      <c r="H886" t="s">
        <v>58</v>
      </c>
      <c r="I886" t="s">
        <v>58</v>
      </c>
      <c r="J886" t="s">
        <v>58</v>
      </c>
      <c r="K886">
        <v>0</v>
      </c>
      <c r="L886" t="s">
        <v>77</v>
      </c>
    </row>
    <row r="887" spans="1:12">
      <c r="A887">
        <v>886</v>
      </c>
      <c r="B887" t="s">
        <v>245</v>
      </c>
      <c r="C887" t="s">
        <v>102</v>
      </c>
      <c r="D887">
        <v>3</v>
      </c>
      <c r="E887" t="s">
        <v>165</v>
      </c>
      <c r="F887">
        <v>3</v>
      </c>
      <c r="G887" t="s">
        <v>58</v>
      </c>
      <c r="H887" t="s">
        <v>58</v>
      </c>
      <c r="I887" t="s">
        <v>58</v>
      </c>
      <c r="J887" t="s">
        <v>58</v>
      </c>
      <c r="K887">
        <v>0</v>
      </c>
      <c r="L887" t="s">
        <v>77</v>
      </c>
    </row>
    <row r="888" spans="1:12">
      <c r="A888">
        <v>887</v>
      </c>
      <c r="B888" t="s">
        <v>131</v>
      </c>
      <c r="C888" t="s">
        <v>247</v>
      </c>
      <c r="D888">
        <v>4</v>
      </c>
      <c r="E888" t="s">
        <v>165</v>
      </c>
      <c r="F888">
        <v>3</v>
      </c>
      <c r="G888" t="s">
        <v>58</v>
      </c>
      <c r="H888" t="s">
        <v>58</v>
      </c>
      <c r="I888" t="s">
        <v>58</v>
      </c>
      <c r="J888" t="s">
        <v>58</v>
      </c>
      <c r="K888">
        <v>5</v>
      </c>
      <c r="L888" t="s">
        <v>77</v>
      </c>
    </row>
    <row r="889" spans="1:12">
      <c r="A889">
        <v>888</v>
      </c>
      <c r="B889" t="s">
        <v>131</v>
      </c>
      <c r="C889" t="s">
        <v>90</v>
      </c>
      <c r="D889">
        <v>4</v>
      </c>
      <c r="E889" t="s">
        <v>165</v>
      </c>
      <c r="F889">
        <v>3</v>
      </c>
      <c r="G889" t="s">
        <v>58</v>
      </c>
      <c r="H889" t="s">
        <v>58</v>
      </c>
      <c r="I889" t="s">
        <v>58</v>
      </c>
      <c r="J889" t="s">
        <v>58</v>
      </c>
      <c r="K889">
        <v>5</v>
      </c>
      <c r="L889" t="s">
        <v>77</v>
      </c>
    </row>
    <row r="890" spans="1:12">
      <c r="A890">
        <v>889</v>
      </c>
      <c r="B890" t="s">
        <v>131</v>
      </c>
      <c r="C890" t="s">
        <v>92</v>
      </c>
      <c r="D890">
        <v>5</v>
      </c>
      <c r="E890" t="s">
        <v>165</v>
      </c>
      <c r="F890">
        <v>3</v>
      </c>
      <c r="G890" t="s">
        <v>58</v>
      </c>
      <c r="H890" t="s">
        <v>58</v>
      </c>
      <c r="I890" t="s">
        <v>58</v>
      </c>
      <c r="J890" t="s">
        <v>58</v>
      </c>
      <c r="K890">
        <v>0</v>
      </c>
      <c r="L890" t="s">
        <v>77</v>
      </c>
    </row>
    <row r="891" spans="1:12">
      <c r="A891">
        <v>890</v>
      </c>
      <c r="B891" t="s">
        <v>131</v>
      </c>
      <c r="C891" t="s">
        <v>95</v>
      </c>
      <c r="D891">
        <v>5</v>
      </c>
      <c r="E891" t="s">
        <v>165</v>
      </c>
      <c r="F891">
        <v>3</v>
      </c>
      <c r="G891" t="s">
        <v>58</v>
      </c>
      <c r="H891" t="s">
        <v>58</v>
      </c>
      <c r="I891" t="s">
        <v>58</v>
      </c>
      <c r="J891" t="s">
        <v>58</v>
      </c>
      <c r="K891">
        <v>0</v>
      </c>
      <c r="L891" t="s">
        <v>77</v>
      </c>
    </row>
    <row r="892" spans="1:12">
      <c r="A892">
        <v>891</v>
      </c>
      <c r="B892" t="s">
        <v>131</v>
      </c>
      <c r="C892" t="s">
        <v>99</v>
      </c>
      <c r="D892">
        <v>2</v>
      </c>
      <c r="E892" t="s">
        <v>165</v>
      </c>
      <c r="F892">
        <v>3</v>
      </c>
      <c r="G892" t="s">
        <v>58</v>
      </c>
      <c r="H892" t="s">
        <v>58</v>
      </c>
      <c r="I892" t="s">
        <v>119</v>
      </c>
      <c r="J892" t="s">
        <v>239</v>
      </c>
      <c r="K892">
        <v>0</v>
      </c>
      <c r="L892" t="s">
        <v>77</v>
      </c>
    </row>
    <row r="893" spans="1:12">
      <c r="A893">
        <v>892</v>
      </c>
      <c r="B893" t="s">
        <v>131</v>
      </c>
      <c r="C893" t="s">
        <v>102</v>
      </c>
      <c r="D893">
        <v>2</v>
      </c>
      <c r="E893" t="s">
        <v>165</v>
      </c>
      <c r="F893">
        <v>3</v>
      </c>
      <c r="G893" t="s">
        <v>58</v>
      </c>
      <c r="H893" t="s">
        <v>58</v>
      </c>
      <c r="I893" t="s">
        <v>141</v>
      </c>
      <c r="J893" t="s">
        <v>240</v>
      </c>
      <c r="K893">
        <v>0</v>
      </c>
      <c r="L893" t="s">
        <v>77</v>
      </c>
    </row>
    <row r="894" spans="1:12">
      <c r="A894">
        <v>893</v>
      </c>
      <c r="B894" t="s">
        <v>245</v>
      </c>
      <c r="C894" t="s">
        <v>247</v>
      </c>
      <c r="D894">
        <v>1</v>
      </c>
      <c r="E894" t="s">
        <v>165</v>
      </c>
      <c r="F894">
        <v>3</v>
      </c>
      <c r="G894" t="s">
        <v>162</v>
      </c>
      <c r="H894" t="s">
        <v>167</v>
      </c>
      <c r="I894" t="s">
        <v>58</v>
      </c>
      <c r="J894" t="s">
        <v>58</v>
      </c>
      <c r="K894">
        <v>0</v>
      </c>
      <c r="L894" t="s">
        <v>77</v>
      </c>
    </row>
    <row r="895" spans="1:12">
      <c r="A895">
        <v>894</v>
      </c>
      <c r="B895" t="s">
        <v>245</v>
      </c>
      <c r="C895" t="s">
        <v>90</v>
      </c>
      <c r="D895">
        <v>1</v>
      </c>
      <c r="E895" t="s">
        <v>165</v>
      </c>
      <c r="F895">
        <v>3</v>
      </c>
      <c r="G895" t="s">
        <v>109</v>
      </c>
      <c r="H895" t="s">
        <v>151</v>
      </c>
      <c r="I895" t="s">
        <v>58</v>
      </c>
      <c r="J895" t="s">
        <v>58</v>
      </c>
      <c r="K895">
        <v>0</v>
      </c>
      <c r="L895" t="s">
        <v>77</v>
      </c>
    </row>
    <row r="896" spans="1:12">
      <c r="A896">
        <v>895</v>
      </c>
      <c r="B896" t="s">
        <v>131</v>
      </c>
      <c r="C896" t="s">
        <v>92</v>
      </c>
      <c r="D896">
        <v>3</v>
      </c>
      <c r="E896" t="s">
        <v>165</v>
      </c>
      <c r="F896">
        <v>3</v>
      </c>
      <c r="G896" t="s">
        <v>58</v>
      </c>
      <c r="H896" t="s">
        <v>58</v>
      </c>
      <c r="I896" t="s">
        <v>58</v>
      </c>
      <c r="J896" t="s">
        <v>58</v>
      </c>
      <c r="K896">
        <v>0</v>
      </c>
      <c r="L896" t="s">
        <v>77</v>
      </c>
    </row>
    <row r="897" spans="1:12">
      <c r="A897">
        <v>896</v>
      </c>
      <c r="B897" t="s">
        <v>131</v>
      </c>
      <c r="C897" t="s">
        <v>95</v>
      </c>
      <c r="D897">
        <v>3</v>
      </c>
      <c r="E897" t="s">
        <v>165</v>
      </c>
      <c r="F897">
        <v>3</v>
      </c>
      <c r="G897" t="s">
        <v>58</v>
      </c>
      <c r="H897" t="s">
        <v>58</v>
      </c>
      <c r="I897" t="s">
        <v>58</v>
      </c>
      <c r="J897" t="s">
        <v>58</v>
      </c>
      <c r="K897">
        <v>0</v>
      </c>
      <c r="L897" t="s">
        <v>77</v>
      </c>
    </row>
    <row r="898" spans="1:12">
      <c r="A898">
        <v>897</v>
      </c>
      <c r="B898" t="s">
        <v>131</v>
      </c>
      <c r="C898" t="s">
        <v>99</v>
      </c>
      <c r="D898">
        <v>4</v>
      </c>
      <c r="E898" t="s">
        <v>165</v>
      </c>
      <c r="F898">
        <v>3</v>
      </c>
      <c r="G898" t="s">
        <v>58</v>
      </c>
      <c r="H898" t="s">
        <v>58</v>
      </c>
      <c r="I898" t="s">
        <v>58</v>
      </c>
      <c r="J898" t="s">
        <v>58</v>
      </c>
      <c r="K898">
        <v>5</v>
      </c>
      <c r="L898" t="s">
        <v>77</v>
      </c>
    </row>
    <row r="899" spans="1:12">
      <c r="A899">
        <v>898</v>
      </c>
      <c r="B899" t="s">
        <v>131</v>
      </c>
      <c r="C899" t="s">
        <v>102</v>
      </c>
      <c r="D899">
        <v>4</v>
      </c>
      <c r="E899" t="s">
        <v>165</v>
      </c>
      <c r="F899">
        <v>3</v>
      </c>
      <c r="G899" t="s">
        <v>58</v>
      </c>
      <c r="H899" t="s">
        <v>58</v>
      </c>
      <c r="I899" t="s">
        <v>58</v>
      </c>
      <c r="J899" t="s">
        <v>58</v>
      </c>
      <c r="K899">
        <v>5</v>
      </c>
      <c r="L899" t="s">
        <v>77</v>
      </c>
    </row>
    <row r="900" spans="1:12">
      <c r="A900">
        <v>899</v>
      </c>
      <c r="B900" t="s">
        <v>180</v>
      </c>
      <c r="C900" t="s">
        <v>247</v>
      </c>
      <c r="D900">
        <v>0</v>
      </c>
      <c r="E900" t="s">
        <v>165</v>
      </c>
      <c r="F900">
        <v>3</v>
      </c>
      <c r="G900" t="s">
        <v>58</v>
      </c>
      <c r="H900" t="s">
        <v>58</v>
      </c>
      <c r="I900" t="s">
        <v>58</v>
      </c>
      <c r="J900" t="s">
        <v>58</v>
      </c>
      <c r="K900">
        <v>0</v>
      </c>
      <c r="L900" t="s">
        <v>77</v>
      </c>
    </row>
    <row r="901" spans="1:12">
      <c r="A901">
        <v>900</v>
      </c>
      <c r="B901" t="s">
        <v>131</v>
      </c>
      <c r="C901" t="s">
        <v>102</v>
      </c>
      <c r="D901">
        <v>5</v>
      </c>
      <c r="E901" t="s">
        <v>165</v>
      </c>
      <c r="F901">
        <v>3</v>
      </c>
      <c r="G901" t="s">
        <v>58</v>
      </c>
      <c r="H901" t="s">
        <v>58</v>
      </c>
      <c r="I901" t="s">
        <v>58</v>
      </c>
      <c r="J901" t="s">
        <v>58</v>
      </c>
      <c r="K901">
        <v>0</v>
      </c>
      <c r="L901" t="s">
        <v>77</v>
      </c>
    </row>
    <row r="902" spans="1:12">
      <c r="A902">
        <v>901</v>
      </c>
      <c r="B902" t="s">
        <v>131</v>
      </c>
      <c r="C902" t="s">
        <v>247</v>
      </c>
      <c r="D902">
        <v>2</v>
      </c>
      <c r="E902" t="s">
        <v>165</v>
      </c>
      <c r="F902">
        <v>3</v>
      </c>
      <c r="G902" t="s">
        <v>58</v>
      </c>
      <c r="H902" t="s">
        <v>58</v>
      </c>
      <c r="I902" t="s">
        <v>153</v>
      </c>
      <c r="J902" t="s">
        <v>233</v>
      </c>
      <c r="K902">
        <v>0</v>
      </c>
      <c r="L902" t="s">
        <v>77</v>
      </c>
    </row>
    <row r="903" spans="1:12">
      <c r="A903">
        <v>902</v>
      </c>
      <c r="B903" t="s">
        <v>131</v>
      </c>
      <c r="C903" t="s">
        <v>90</v>
      </c>
      <c r="D903">
        <v>2</v>
      </c>
      <c r="E903" t="s">
        <v>165</v>
      </c>
      <c r="F903">
        <v>3</v>
      </c>
      <c r="G903" t="s">
        <v>58</v>
      </c>
      <c r="H903" t="s">
        <v>58</v>
      </c>
      <c r="I903" t="s">
        <v>105</v>
      </c>
      <c r="J903" t="s">
        <v>244</v>
      </c>
      <c r="K903">
        <v>0</v>
      </c>
      <c r="L903" t="s">
        <v>77</v>
      </c>
    </row>
    <row r="904" spans="1:12">
      <c r="A904">
        <v>903</v>
      </c>
      <c r="B904" t="s">
        <v>131</v>
      </c>
      <c r="C904" t="s">
        <v>92</v>
      </c>
      <c r="D904">
        <v>1</v>
      </c>
      <c r="E904" t="s">
        <v>165</v>
      </c>
      <c r="F904">
        <v>3</v>
      </c>
      <c r="G904" t="s">
        <v>162</v>
      </c>
      <c r="H904" t="s">
        <v>167</v>
      </c>
      <c r="I904" t="s">
        <v>58</v>
      </c>
      <c r="J904" t="s">
        <v>58</v>
      </c>
      <c r="K904">
        <v>0</v>
      </c>
      <c r="L904" t="s">
        <v>77</v>
      </c>
    </row>
    <row r="905" spans="1:12">
      <c r="A905">
        <v>904</v>
      </c>
      <c r="B905" t="s">
        <v>131</v>
      </c>
      <c r="C905" t="s">
        <v>95</v>
      </c>
      <c r="D905">
        <v>1</v>
      </c>
      <c r="E905" t="s">
        <v>165</v>
      </c>
      <c r="F905">
        <v>3</v>
      </c>
      <c r="G905" t="s">
        <v>166</v>
      </c>
      <c r="H905" t="s">
        <v>167</v>
      </c>
      <c r="I905" t="s">
        <v>58</v>
      </c>
      <c r="J905" t="s">
        <v>58</v>
      </c>
      <c r="K905">
        <v>0</v>
      </c>
      <c r="L905" t="s">
        <v>77</v>
      </c>
    </row>
    <row r="906" spans="1:12">
      <c r="A906">
        <v>905</v>
      </c>
      <c r="B906" t="s">
        <v>245</v>
      </c>
      <c r="C906" t="s">
        <v>99</v>
      </c>
      <c r="D906">
        <v>3</v>
      </c>
      <c r="E906" t="s">
        <v>165</v>
      </c>
      <c r="F906">
        <v>3</v>
      </c>
      <c r="G906" t="s">
        <v>58</v>
      </c>
      <c r="H906" t="s">
        <v>58</v>
      </c>
      <c r="I906" t="s">
        <v>58</v>
      </c>
      <c r="J906" t="s">
        <v>58</v>
      </c>
      <c r="K906">
        <v>0</v>
      </c>
      <c r="L906" t="s">
        <v>77</v>
      </c>
    </row>
    <row r="907" spans="1:12">
      <c r="A907">
        <v>906</v>
      </c>
      <c r="B907" t="s">
        <v>245</v>
      </c>
      <c r="C907" t="s">
        <v>102</v>
      </c>
      <c r="D907">
        <v>3</v>
      </c>
      <c r="E907" t="s">
        <v>165</v>
      </c>
      <c r="F907">
        <v>3</v>
      </c>
      <c r="G907" t="s">
        <v>58</v>
      </c>
      <c r="H907" t="s">
        <v>58</v>
      </c>
      <c r="I907" t="s">
        <v>58</v>
      </c>
      <c r="J907" t="s">
        <v>58</v>
      </c>
      <c r="K907">
        <v>0</v>
      </c>
      <c r="L907" t="s">
        <v>77</v>
      </c>
    </row>
    <row r="908" spans="1:12">
      <c r="A908">
        <v>907</v>
      </c>
      <c r="B908" t="s">
        <v>131</v>
      </c>
      <c r="C908" t="s">
        <v>247</v>
      </c>
      <c r="D908">
        <v>4</v>
      </c>
      <c r="E908" t="s">
        <v>165</v>
      </c>
      <c r="F908">
        <v>3</v>
      </c>
      <c r="G908" t="s">
        <v>58</v>
      </c>
      <c r="H908" t="s">
        <v>58</v>
      </c>
      <c r="I908" t="s">
        <v>58</v>
      </c>
      <c r="J908" t="s">
        <v>58</v>
      </c>
      <c r="K908">
        <v>5</v>
      </c>
      <c r="L908" t="s">
        <v>77</v>
      </c>
    </row>
    <row r="909" spans="1:12">
      <c r="A909">
        <v>908</v>
      </c>
      <c r="B909" t="s">
        <v>131</v>
      </c>
      <c r="C909" t="s">
        <v>90</v>
      </c>
      <c r="D909">
        <v>4</v>
      </c>
      <c r="E909" t="s">
        <v>165</v>
      </c>
      <c r="F909">
        <v>3</v>
      </c>
      <c r="G909" t="s">
        <v>58</v>
      </c>
      <c r="H909" t="s">
        <v>58</v>
      </c>
      <c r="I909" t="s">
        <v>58</v>
      </c>
      <c r="J909" t="s">
        <v>58</v>
      </c>
      <c r="K909">
        <v>5</v>
      </c>
      <c r="L909" t="s">
        <v>77</v>
      </c>
    </row>
    <row r="910" spans="1:12">
      <c r="A910">
        <v>909</v>
      </c>
      <c r="B910" t="s">
        <v>131</v>
      </c>
      <c r="C910" t="s">
        <v>92</v>
      </c>
      <c r="D910">
        <v>5</v>
      </c>
      <c r="E910" t="s">
        <v>165</v>
      </c>
      <c r="F910">
        <v>3</v>
      </c>
      <c r="G910" t="s">
        <v>58</v>
      </c>
      <c r="H910" t="s">
        <v>58</v>
      </c>
      <c r="I910" t="s">
        <v>58</v>
      </c>
      <c r="J910" t="s">
        <v>58</v>
      </c>
      <c r="K910">
        <v>0</v>
      </c>
      <c r="L910" t="s">
        <v>77</v>
      </c>
    </row>
    <row r="911" spans="1:12">
      <c r="A911">
        <v>910</v>
      </c>
      <c r="B911" t="s">
        <v>245</v>
      </c>
      <c r="C911" t="s">
        <v>95</v>
      </c>
      <c r="D911">
        <v>5</v>
      </c>
      <c r="E911" t="s">
        <v>165</v>
      </c>
      <c r="F911">
        <v>3</v>
      </c>
      <c r="G911" t="s">
        <v>58</v>
      </c>
      <c r="H911" t="s">
        <v>58</v>
      </c>
      <c r="I911" t="s">
        <v>58</v>
      </c>
      <c r="J911" t="s">
        <v>58</v>
      </c>
      <c r="K911">
        <v>0</v>
      </c>
      <c r="L911" t="s">
        <v>77</v>
      </c>
    </row>
    <row r="912" spans="1:12">
      <c r="A912">
        <v>911</v>
      </c>
      <c r="B912" t="s">
        <v>131</v>
      </c>
      <c r="C912" t="s">
        <v>99</v>
      </c>
      <c r="D912">
        <v>2</v>
      </c>
      <c r="E912" t="s">
        <v>165</v>
      </c>
      <c r="F912">
        <v>3</v>
      </c>
      <c r="G912" t="s">
        <v>58</v>
      </c>
      <c r="H912" t="s">
        <v>58</v>
      </c>
      <c r="I912" t="s">
        <v>119</v>
      </c>
      <c r="J912" t="s">
        <v>239</v>
      </c>
      <c r="K912">
        <v>0</v>
      </c>
      <c r="L912" t="s">
        <v>77</v>
      </c>
    </row>
    <row r="913" spans="1:12">
      <c r="A913">
        <v>912</v>
      </c>
      <c r="B913" t="s">
        <v>131</v>
      </c>
      <c r="C913" t="s">
        <v>102</v>
      </c>
      <c r="D913">
        <v>2</v>
      </c>
      <c r="E913" t="s">
        <v>165</v>
      </c>
      <c r="F913">
        <v>3</v>
      </c>
      <c r="G913" t="s">
        <v>58</v>
      </c>
      <c r="H913" t="s">
        <v>58</v>
      </c>
      <c r="I913" t="s">
        <v>141</v>
      </c>
      <c r="J913" t="s">
        <v>240</v>
      </c>
      <c r="K913">
        <v>0</v>
      </c>
      <c r="L913" t="s">
        <v>77</v>
      </c>
    </row>
    <row r="914" spans="1:12">
      <c r="A914">
        <v>913</v>
      </c>
      <c r="B914" t="s">
        <v>131</v>
      </c>
      <c r="C914" t="s">
        <v>247</v>
      </c>
      <c r="D914">
        <v>1</v>
      </c>
      <c r="E914" t="s">
        <v>165</v>
      </c>
      <c r="F914">
        <v>3</v>
      </c>
      <c r="G914" t="s">
        <v>162</v>
      </c>
      <c r="H914" t="s">
        <v>167</v>
      </c>
      <c r="I914" t="s">
        <v>58</v>
      </c>
      <c r="J914" t="s">
        <v>58</v>
      </c>
      <c r="K914">
        <v>0</v>
      </c>
      <c r="L914" t="s">
        <v>77</v>
      </c>
    </row>
    <row r="915" spans="1:12">
      <c r="A915">
        <v>914</v>
      </c>
      <c r="B915" t="s">
        <v>131</v>
      </c>
      <c r="C915" t="s">
        <v>90</v>
      </c>
      <c r="D915">
        <v>1</v>
      </c>
      <c r="E915" t="s">
        <v>165</v>
      </c>
      <c r="F915">
        <v>3</v>
      </c>
      <c r="G915" t="s">
        <v>109</v>
      </c>
      <c r="H915" t="s">
        <v>151</v>
      </c>
      <c r="I915" t="s">
        <v>58</v>
      </c>
      <c r="J915" t="s">
        <v>58</v>
      </c>
      <c r="K915">
        <v>0</v>
      </c>
      <c r="L915" t="s">
        <v>77</v>
      </c>
    </row>
    <row r="916" spans="1:12">
      <c r="A916">
        <v>915</v>
      </c>
      <c r="B916" t="s">
        <v>245</v>
      </c>
      <c r="C916" t="s">
        <v>92</v>
      </c>
      <c r="D916">
        <v>3</v>
      </c>
      <c r="E916" t="s">
        <v>165</v>
      </c>
      <c r="F916">
        <v>3</v>
      </c>
      <c r="G916" t="s">
        <v>58</v>
      </c>
      <c r="H916" t="s">
        <v>58</v>
      </c>
      <c r="I916" t="s">
        <v>58</v>
      </c>
      <c r="J916" t="s">
        <v>58</v>
      </c>
      <c r="K916">
        <v>0</v>
      </c>
      <c r="L916" t="s">
        <v>77</v>
      </c>
    </row>
    <row r="917" spans="1:12">
      <c r="A917">
        <v>916</v>
      </c>
      <c r="B917" t="s">
        <v>245</v>
      </c>
      <c r="C917" t="s">
        <v>95</v>
      </c>
      <c r="D917">
        <v>3</v>
      </c>
      <c r="E917" t="s">
        <v>165</v>
      </c>
      <c r="F917">
        <v>3</v>
      </c>
      <c r="G917" t="s">
        <v>58</v>
      </c>
      <c r="H917" t="s">
        <v>58</v>
      </c>
      <c r="I917" t="s">
        <v>58</v>
      </c>
      <c r="J917" t="s">
        <v>58</v>
      </c>
      <c r="K917">
        <v>0</v>
      </c>
      <c r="L917" t="s">
        <v>77</v>
      </c>
    </row>
    <row r="918" spans="1:12">
      <c r="A918">
        <v>917</v>
      </c>
      <c r="B918" t="s">
        <v>131</v>
      </c>
      <c r="C918" t="s">
        <v>99</v>
      </c>
      <c r="D918">
        <v>4</v>
      </c>
      <c r="E918" t="s">
        <v>165</v>
      </c>
      <c r="F918">
        <v>3</v>
      </c>
      <c r="G918" t="s">
        <v>58</v>
      </c>
      <c r="H918" t="s">
        <v>58</v>
      </c>
      <c r="I918" t="s">
        <v>58</v>
      </c>
      <c r="J918" t="s">
        <v>58</v>
      </c>
      <c r="K918">
        <v>5</v>
      </c>
      <c r="L918" t="s">
        <v>77</v>
      </c>
    </row>
    <row r="919" spans="1:12">
      <c r="A919">
        <v>918</v>
      </c>
      <c r="B919" t="s">
        <v>131</v>
      </c>
      <c r="C919" t="s">
        <v>102</v>
      </c>
      <c r="D919">
        <v>4</v>
      </c>
      <c r="E919" t="s">
        <v>165</v>
      </c>
      <c r="F919">
        <v>3</v>
      </c>
      <c r="G919" t="s">
        <v>58</v>
      </c>
      <c r="H919" t="s">
        <v>58</v>
      </c>
      <c r="I919" t="s">
        <v>58</v>
      </c>
      <c r="J919" t="s">
        <v>58</v>
      </c>
      <c r="K919">
        <v>5</v>
      </c>
      <c r="L919" t="s">
        <v>77</v>
      </c>
    </row>
    <row r="920" spans="1:12">
      <c r="A920">
        <v>919</v>
      </c>
      <c r="B920" t="s">
        <v>180</v>
      </c>
      <c r="C920" t="s">
        <v>247</v>
      </c>
      <c r="D920">
        <v>0</v>
      </c>
      <c r="E920" t="s">
        <v>165</v>
      </c>
      <c r="F920">
        <v>3</v>
      </c>
      <c r="G920" t="s">
        <v>58</v>
      </c>
      <c r="H920" t="s">
        <v>58</v>
      </c>
      <c r="I920" t="s">
        <v>58</v>
      </c>
      <c r="J920" t="s">
        <v>58</v>
      </c>
      <c r="K920">
        <v>0</v>
      </c>
      <c r="L920" t="s">
        <v>77</v>
      </c>
    </row>
    <row r="921" spans="1:12">
      <c r="A921">
        <v>920</v>
      </c>
      <c r="B921" t="s">
        <v>131</v>
      </c>
      <c r="C921" t="s">
        <v>90</v>
      </c>
      <c r="D921">
        <v>2</v>
      </c>
      <c r="E921" t="s">
        <v>165</v>
      </c>
      <c r="F921">
        <v>3</v>
      </c>
      <c r="G921" t="s">
        <v>58</v>
      </c>
      <c r="H921" t="s">
        <v>58</v>
      </c>
      <c r="I921" t="s">
        <v>105</v>
      </c>
      <c r="J921" t="s">
        <v>244</v>
      </c>
      <c r="K921">
        <v>0</v>
      </c>
      <c r="L921" t="s">
        <v>77</v>
      </c>
    </row>
    <row r="922" spans="1:12">
      <c r="A922">
        <v>921</v>
      </c>
      <c r="B922" t="s">
        <v>131</v>
      </c>
      <c r="C922" t="s">
        <v>92</v>
      </c>
      <c r="D922">
        <v>1</v>
      </c>
      <c r="E922" t="s">
        <v>165</v>
      </c>
      <c r="F922">
        <v>3</v>
      </c>
      <c r="G922" t="s">
        <v>162</v>
      </c>
      <c r="H922" t="s">
        <v>167</v>
      </c>
      <c r="I922" t="s">
        <v>58</v>
      </c>
      <c r="J922" t="s">
        <v>58</v>
      </c>
      <c r="K922">
        <v>0</v>
      </c>
      <c r="L922" t="s">
        <v>77</v>
      </c>
    </row>
    <row r="923" spans="1:12">
      <c r="A923">
        <v>922</v>
      </c>
      <c r="B923" t="s">
        <v>131</v>
      </c>
      <c r="C923" t="s">
        <v>95</v>
      </c>
      <c r="D923">
        <v>1</v>
      </c>
      <c r="E923" t="s">
        <v>165</v>
      </c>
      <c r="F923">
        <v>3</v>
      </c>
      <c r="G923" t="s">
        <v>166</v>
      </c>
      <c r="H923" t="s">
        <v>167</v>
      </c>
      <c r="I923" t="s">
        <v>58</v>
      </c>
      <c r="J923" t="s">
        <v>58</v>
      </c>
      <c r="K923">
        <v>0</v>
      </c>
      <c r="L923" t="s">
        <v>77</v>
      </c>
    </row>
    <row r="924" spans="1:12">
      <c r="A924">
        <v>923</v>
      </c>
      <c r="B924" t="s">
        <v>245</v>
      </c>
      <c r="C924" t="s">
        <v>99</v>
      </c>
      <c r="D924">
        <v>3</v>
      </c>
      <c r="E924" t="s">
        <v>165</v>
      </c>
      <c r="F924">
        <v>3</v>
      </c>
      <c r="G924" t="s">
        <v>58</v>
      </c>
      <c r="H924" t="s">
        <v>58</v>
      </c>
      <c r="I924" t="s">
        <v>58</v>
      </c>
      <c r="J924" t="s">
        <v>58</v>
      </c>
      <c r="K924">
        <v>0</v>
      </c>
      <c r="L924" t="s">
        <v>77</v>
      </c>
    </row>
    <row r="925" spans="1:12">
      <c r="A925">
        <v>924</v>
      </c>
      <c r="B925" t="s">
        <v>245</v>
      </c>
      <c r="C925" t="s">
        <v>102</v>
      </c>
      <c r="D925">
        <v>3</v>
      </c>
      <c r="E925" t="s">
        <v>165</v>
      </c>
      <c r="F925">
        <v>3</v>
      </c>
      <c r="G925" t="s">
        <v>58</v>
      </c>
      <c r="H925" t="s">
        <v>58</v>
      </c>
      <c r="I925" t="s">
        <v>58</v>
      </c>
      <c r="J925" t="s">
        <v>58</v>
      </c>
      <c r="K925">
        <v>0</v>
      </c>
      <c r="L925" t="s">
        <v>77</v>
      </c>
    </row>
    <row r="926" spans="1:12">
      <c r="A926">
        <v>925</v>
      </c>
      <c r="B926" t="s">
        <v>131</v>
      </c>
      <c r="C926" t="s">
        <v>247</v>
      </c>
      <c r="D926">
        <v>4</v>
      </c>
      <c r="E926" t="s">
        <v>165</v>
      </c>
      <c r="F926">
        <v>3</v>
      </c>
      <c r="G926" t="s">
        <v>58</v>
      </c>
      <c r="H926" t="s">
        <v>58</v>
      </c>
      <c r="I926" t="s">
        <v>58</v>
      </c>
      <c r="J926" t="s">
        <v>58</v>
      </c>
      <c r="K926">
        <v>5</v>
      </c>
      <c r="L926" t="s">
        <v>77</v>
      </c>
    </row>
    <row r="927" spans="1:12">
      <c r="A927">
        <v>926</v>
      </c>
      <c r="B927" t="s">
        <v>131</v>
      </c>
      <c r="C927" t="s">
        <v>90</v>
      </c>
      <c r="D927">
        <v>4</v>
      </c>
      <c r="E927" t="s">
        <v>165</v>
      </c>
      <c r="F927">
        <v>3</v>
      </c>
      <c r="G927" t="s">
        <v>58</v>
      </c>
      <c r="H927" t="s">
        <v>58</v>
      </c>
      <c r="I927" t="s">
        <v>58</v>
      </c>
      <c r="J927" t="s">
        <v>58</v>
      </c>
      <c r="K927">
        <v>5</v>
      </c>
      <c r="L927" t="s">
        <v>77</v>
      </c>
    </row>
    <row r="928" spans="1:12">
      <c r="A928">
        <v>927</v>
      </c>
      <c r="B928" t="s">
        <v>131</v>
      </c>
      <c r="C928" t="s">
        <v>92</v>
      </c>
      <c r="D928">
        <v>5</v>
      </c>
      <c r="E928" t="s">
        <v>165</v>
      </c>
      <c r="F928">
        <v>3</v>
      </c>
      <c r="G928" t="s">
        <v>58</v>
      </c>
      <c r="H928" t="s">
        <v>58</v>
      </c>
      <c r="I928" t="s">
        <v>58</v>
      </c>
      <c r="J928" t="s">
        <v>58</v>
      </c>
      <c r="K928">
        <v>0</v>
      </c>
      <c r="L928" t="s">
        <v>77</v>
      </c>
    </row>
    <row r="929" spans="1:12">
      <c r="A929">
        <v>928</v>
      </c>
      <c r="B929" t="s">
        <v>245</v>
      </c>
      <c r="C929" t="s">
        <v>95</v>
      </c>
      <c r="D929">
        <v>5</v>
      </c>
      <c r="E929" t="s">
        <v>165</v>
      </c>
      <c r="F929">
        <v>3</v>
      </c>
      <c r="G929" t="s">
        <v>58</v>
      </c>
      <c r="H929" t="s">
        <v>58</v>
      </c>
      <c r="I929" t="s">
        <v>58</v>
      </c>
      <c r="J929" t="s">
        <v>58</v>
      </c>
      <c r="K929">
        <v>0</v>
      </c>
      <c r="L929" t="s">
        <v>77</v>
      </c>
    </row>
    <row r="930" spans="1:12">
      <c r="A930">
        <v>929</v>
      </c>
      <c r="B930" t="s">
        <v>245</v>
      </c>
      <c r="C930" t="s">
        <v>95</v>
      </c>
      <c r="D930">
        <v>5</v>
      </c>
      <c r="E930" t="s">
        <v>165</v>
      </c>
      <c r="F930">
        <v>3</v>
      </c>
      <c r="G930" t="s">
        <v>58</v>
      </c>
      <c r="H930" t="s">
        <v>58</v>
      </c>
      <c r="I930" t="s">
        <v>58</v>
      </c>
      <c r="J930" t="s">
        <v>58</v>
      </c>
      <c r="K930">
        <v>0</v>
      </c>
      <c r="L930" t="s">
        <v>77</v>
      </c>
    </row>
    <row r="931" spans="1:12">
      <c r="A931">
        <v>930</v>
      </c>
      <c r="B931" t="s">
        <v>131</v>
      </c>
      <c r="C931" t="s">
        <v>99</v>
      </c>
      <c r="D931">
        <v>2</v>
      </c>
      <c r="E931" t="s">
        <v>165</v>
      </c>
      <c r="F931">
        <v>3</v>
      </c>
      <c r="G931" t="s">
        <v>58</v>
      </c>
      <c r="H931" t="s">
        <v>58</v>
      </c>
      <c r="I931" t="s">
        <v>119</v>
      </c>
      <c r="J931" t="s">
        <v>239</v>
      </c>
      <c r="K931">
        <v>0</v>
      </c>
      <c r="L931" t="s">
        <v>77</v>
      </c>
    </row>
    <row r="932" spans="1:12">
      <c r="A932">
        <v>931</v>
      </c>
      <c r="B932" t="s">
        <v>131</v>
      </c>
      <c r="C932" t="s">
        <v>102</v>
      </c>
      <c r="D932">
        <v>2</v>
      </c>
      <c r="E932" t="s">
        <v>165</v>
      </c>
      <c r="F932">
        <v>3</v>
      </c>
      <c r="G932" t="s">
        <v>58</v>
      </c>
      <c r="H932" t="s">
        <v>58</v>
      </c>
      <c r="I932" t="s">
        <v>141</v>
      </c>
      <c r="J932" t="s">
        <v>240</v>
      </c>
      <c r="K932">
        <v>0</v>
      </c>
      <c r="L932" t="s">
        <v>77</v>
      </c>
    </row>
    <row r="933" spans="1:12">
      <c r="A933">
        <v>932</v>
      </c>
      <c r="B933" t="s">
        <v>131</v>
      </c>
      <c r="C933" t="s">
        <v>247</v>
      </c>
      <c r="D933">
        <v>1</v>
      </c>
      <c r="E933" t="s">
        <v>165</v>
      </c>
      <c r="F933">
        <v>3</v>
      </c>
      <c r="G933" t="s">
        <v>162</v>
      </c>
      <c r="H933" t="s">
        <v>167</v>
      </c>
      <c r="I933" t="s">
        <v>58</v>
      </c>
      <c r="J933" t="s">
        <v>58</v>
      </c>
      <c r="K933">
        <v>0</v>
      </c>
      <c r="L933" t="s">
        <v>77</v>
      </c>
    </row>
    <row r="934" spans="1:12">
      <c r="A934">
        <v>933</v>
      </c>
      <c r="B934" t="s">
        <v>131</v>
      </c>
      <c r="C934" t="s">
        <v>90</v>
      </c>
      <c r="D934">
        <v>1</v>
      </c>
      <c r="E934" t="s">
        <v>165</v>
      </c>
      <c r="F934">
        <v>3</v>
      </c>
      <c r="G934" t="s">
        <v>109</v>
      </c>
      <c r="H934" t="s">
        <v>151</v>
      </c>
      <c r="I934" t="s">
        <v>58</v>
      </c>
      <c r="J934" t="s">
        <v>58</v>
      </c>
      <c r="K934">
        <v>0</v>
      </c>
      <c r="L934" t="s">
        <v>77</v>
      </c>
    </row>
    <row r="935" spans="1:12">
      <c r="A935">
        <v>934</v>
      </c>
      <c r="B935" t="s">
        <v>245</v>
      </c>
      <c r="C935" t="s">
        <v>92</v>
      </c>
      <c r="D935">
        <v>3</v>
      </c>
      <c r="E935" t="s">
        <v>165</v>
      </c>
      <c r="F935">
        <v>3</v>
      </c>
      <c r="G935" t="s">
        <v>58</v>
      </c>
      <c r="H935" t="s">
        <v>58</v>
      </c>
      <c r="I935" t="s">
        <v>58</v>
      </c>
      <c r="J935" t="s">
        <v>58</v>
      </c>
      <c r="K935">
        <v>0</v>
      </c>
      <c r="L935" t="s">
        <v>77</v>
      </c>
    </row>
    <row r="936" spans="1:12">
      <c r="A936">
        <v>935</v>
      </c>
      <c r="B936" t="s">
        <v>245</v>
      </c>
      <c r="C936" t="s">
        <v>95</v>
      </c>
      <c r="D936">
        <v>3</v>
      </c>
      <c r="E936" t="s">
        <v>165</v>
      </c>
      <c r="F936">
        <v>3</v>
      </c>
      <c r="G936" t="s">
        <v>58</v>
      </c>
      <c r="H936" t="s">
        <v>58</v>
      </c>
      <c r="I936" t="s">
        <v>58</v>
      </c>
      <c r="J936" t="s">
        <v>58</v>
      </c>
      <c r="K936">
        <v>0</v>
      </c>
      <c r="L936" t="s">
        <v>77</v>
      </c>
    </row>
    <row r="937" spans="1:12">
      <c r="A937">
        <v>936</v>
      </c>
      <c r="B937" t="s">
        <v>131</v>
      </c>
      <c r="C937" t="s">
        <v>99</v>
      </c>
      <c r="D937">
        <v>4</v>
      </c>
      <c r="E937" t="s">
        <v>165</v>
      </c>
      <c r="F937">
        <v>3</v>
      </c>
      <c r="G937" t="s">
        <v>58</v>
      </c>
      <c r="H937" t="s">
        <v>58</v>
      </c>
      <c r="I937" t="s">
        <v>58</v>
      </c>
      <c r="J937" t="s">
        <v>58</v>
      </c>
      <c r="K937">
        <v>5</v>
      </c>
      <c r="L937" t="s">
        <v>77</v>
      </c>
    </row>
    <row r="938" spans="1:12">
      <c r="A938">
        <v>937</v>
      </c>
      <c r="B938" t="s">
        <v>131</v>
      </c>
      <c r="C938" t="s">
        <v>102</v>
      </c>
      <c r="D938">
        <v>4</v>
      </c>
      <c r="E938" t="s">
        <v>165</v>
      </c>
      <c r="F938">
        <v>3</v>
      </c>
      <c r="G938" t="s">
        <v>58</v>
      </c>
      <c r="H938" t="s">
        <v>58</v>
      </c>
      <c r="I938" t="s">
        <v>58</v>
      </c>
      <c r="J938" t="s">
        <v>58</v>
      </c>
      <c r="K938">
        <v>5</v>
      </c>
      <c r="L938" t="s">
        <v>77</v>
      </c>
    </row>
    <row r="939" spans="1:12">
      <c r="A939">
        <v>938</v>
      </c>
      <c r="B939" t="s">
        <v>180</v>
      </c>
      <c r="C939" t="s">
        <v>247</v>
      </c>
      <c r="D939">
        <v>0</v>
      </c>
      <c r="E939" t="s">
        <v>165</v>
      </c>
      <c r="F939">
        <v>3</v>
      </c>
      <c r="G939" t="s">
        <v>58</v>
      </c>
      <c r="H939" t="s">
        <v>58</v>
      </c>
      <c r="I939" t="s">
        <v>58</v>
      </c>
      <c r="J939" t="s">
        <v>58</v>
      </c>
      <c r="K939">
        <v>0</v>
      </c>
      <c r="L939" t="s">
        <v>77</v>
      </c>
    </row>
    <row r="940" spans="1:12">
      <c r="A940">
        <v>939</v>
      </c>
      <c r="B940" t="s">
        <v>131</v>
      </c>
      <c r="C940" t="s">
        <v>90</v>
      </c>
      <c r="D940">
        <v>2</v>
      </c>
      <c r="E940" t="s">
        <v>165</v>
      </c>
      <c r="F940">
        <v>3</v>
      </c>
      <c r="G940" t="s">
        <v>58</v>
      </c>
      <c r="H940" t="s">
        <v>58</v>
      </c>
      <c r="I940" t="s">
        <v>105</v>
      </c>
      <c r="J940" t="s">
        <v>244</v>
      </c>
      <c r="K940">
        <v>0</v>
      </c>
      <c r="L940" t="s">
        <v>77</v>
      </c>
    </row>
    <row r="941" spans="1:12">
      <c r="A941">
        <v>940</v>
      </c>
      <c r="B941" t="s">
        <v>131</v>
      </c>
      <c r="C941" t="s">
        <v>92</v>
      </c>
      <c r="D941">
        <v>1</v>
      </c>
      <c r="E941" t="s">
        <v>165</v>
      </c>
      <c r="F941">
        <v>3</v>
      </c>
      <c r="G941" t="s">
        <v>162</v>
      </c>
      <c r="H941" t="s">
        <v>167</v>
      </c>
      <c r="I941" t="s">
        <v>58</v>
      </c>
      <c r="J941" t="s">
        <v>58</v>
      </c>
      <c r="K941">
        <v>0</v>
      </c>
      <c r="L941" t="s">
        <v>77</v>
      </c>
    </row>
    <row r="942" spans="1:12">
      <c r="A942">
        <v>941</v>
      </c>
      <c r="B942" t="s">
        <v>131</v>
      </c>
      <c r="C942" t="s">
        <v>95</v>
      </c>
      <c r="D942">
        <v>1</v>
      </c>
      <c r="E942" t="s">
        <v>165</v>
      </c>
      <c r="F942">
        <v>3</v>
      </c>
      <c r="G942" t="s">
        <v>166</v>
      </c>
      <c r="H942" t="s">
        <v>167</v>
      </c>
      <c r="I942" t="s">
        <v>58</v>
      </c>
      <c r="J942" t="s">
        <v>58</v>
      </c>
      <c r="K942">
        <v>0</v>
      </c>
      <c r="L942" t="s">
        <v>77</v>
      </c>
    </row>
    <row r="943" spans="1:12">
      <c r="A943">
        <v>942</v>
      </c>
      <c r="B943" t="s">
        <v>245</v>
      </c>
      <c r="C943" t="s">
        <v>99</v>
      </c>
      <c r="D943">
        <v>3</v>
      </c>
      <c r="E943" t="s">
        <v>165</v>
      </c>
      <c r="F943">
        <v>3</v>
      </c>
      <c r="G943" t="s">
        <v>58</v>
      </c>
      <c r="H943" t="s">
        <v>58</v>
      </c>
      <c r="I943" t="s">
        <v>58</v>
      </c>
      <c r="J943" t="s">
        <v>58</v>
      </c>
      <c r="K943">
        <v>0</v>
      </c>
      <c r="L943" t="s">
        <v>77</v>
      </c>
    </row>
    <row r="944" spans="1:12">
      <c r="A944">
        <v>943</v>
      </c>
      <c r="B944" t="s">
        <v>245</v>
      </c>
      <c r="C944" t="s">
        <v>102</v>
      </c>
      <c r="D944">
        <v>3</v>
      </c>
      <c r="E944" t="s">
        <v>165</v>
      </c>
      <c r="F944">
        <v>3</v>
      </c>
      <c r="G944" t="s">
        <v>58</v>
      </c>
      <c r="H944" t="s">
        <v>58</v>
      </c>
      <c r="I944" t="s">
        <v>58</v>
      </c>
      <c r="J944" t="s">
        <v>58</v>
      </c>
      <c r="K944">
        <v>0</v>
      </c>
      <c r="L944" t="s">
        <v>77</v>
      </c>
    </row>
    <row r="945" spans="1:12">
      <c r="A945">
        <v>944</v>
      </c>
      <c r="B945" t="s">
        <v>245</v>
      </c>
      <c r="C945" t="s">
        <v>90</v>
      </c>
      <c r="D945">
        <v>1</v>
      </c>
      <c r="E945" t="s">
        <v>165</v>
      </c>
      <c r="F945">
        <v>3</v>
      </c>
      <c r="G945" t="s">
        <v>109</v>
      </c>
      <c r="H945" t="s">
        <v>151</v>
      </c>
      <c r="I945" t="s">
        <v>58</v>
      </c>
      <c r="J945" t="s">
        <v>58</v>
      </c>
      <c r="K945">
        <v>0</v>
      </c>
      <c r="L945" t="s">
        <v>77</v>
      </c>
    </row>
    <row r="946" spans="1:12">
      <c r="A946">
        <v>945</v>
      </c>
      <c r="B946" t="s">
        <v>131</v>
      </c>
      <c r="C946" t="s">
        <v>92</v>
      </c>
      <c r="D946">
        <v>3</v>
      </c>
      <c r="E946" t="s">
        <v>165</v>
      </c>
      <c r="F946">
        <v>3</v>
      </c>
      <c r="G946" t="s">
        <v>58</v>
      </c>
      <c r="H946" t="s">
        <v>58</v>
      </c>
      <c r="I946" t="s">
        <v>58</v>
      </c>
      <c r="J946" t="s">
        <v>58</v>
      </c>
      <c r="K946">
        <v>0</v>
      </c>
      <c r="L946" t="s">
        <v>77</v>
      </c>
    </row>
    <row r="947" spans="1:12">
      <c r="A947">
        <v>946</v>
      </c>
      <c r="B947" t="s">
        <v>131</v>
      </c>
      <c r="C947" t="s">
        <v>95</v>
      </c>
      <c r="D947">
        <v>3</v>
      </c>
      <c r="E947" t="s">
        <v>165</v>
      </c>
      <c r="F947">
        <v>3</v>
      </c>
      <c r="G947" t="s">
        <v>58</v>
      </c>
      <c r="H947" t="s">
        <v>58</v>
      </c>
      <c r="I947" t="s">
        <v>58</v>
      </c>
      <c r="J947" t="s">
        <v>58</v>
      </c>
      <c r="K947">
        <v>0</v>
      </c>
      <c r="L947" t="s">
        <v>77</v>
      </c>
    </row>
    <row r="948" spans="1:12">
      <c r="A948">
        <v>947</v>
      </c>
      <c r="B948" t="s">
        <v>131</v>
      </c>
      <c r="C948" t="s">
        <v>99</v>
      </c>
      <c r="D948">
        <v>4</v>
      </c>
      <c r="E948" t="s">
        <v>165</v>
      </c>
      <c r="F948">
        <v>3</v>
      </c>
      <c r="G948" t="s">
        <v>58</v>
      </c>
      <c r="H948" t="s">
        <v>58</v>
      </c>
      <c r="I948" t="s">
        <v>58</v>
      </c>
      <c r="J948" t="s">
        <v>58</v>
      </c>
      <c r="K948">
        <v>5</v>
      </c>
      <c r="L948" t="s">
        <v>77</v>
      </c>
    </row>
    <row r="949" spans="1:12">
      <c r="A949">
        <v>948</v>
      </c>
      <c r="B949" t="s">
        <v>131</v>
      </c>
      <c r="C949" t="s">
        <v>102</v>
      </c>
      <c r="D949">
        <v>4</v>
      </c>
      <c r="E949" t="s">
        <v>165</v>
      </c>
      <c r="F949">
        <v>3</v>
      </c>
      <c r="G949" t="s">
        <v>58</v>
      </c>
      <c r="H949" t="s">
        <v>58</v>
      </c>
      <c r="I949" t="s">
        <v>58</v>
      </c>
      <c r="J949" t="s">
        <v>58</v>
      </c>
      <c r="K949">
        <v>5</v>
      </c>
      <c r="L949" t="s">
        <v>77</v>
      </c>
    </row>
    <row r="950" spans="1:12">
      <c r="A950">
        <v>949</v>
      </c>
      <c r="B950" t="s">
        <v>180</v>
      </c>
      <c r="C950" t="s">
        <v>247</v>
      </c>
      <c r="D950">
        <v>0</v>
      </c>
      <c r="E950" t="s">
        <v>165</v>
      </c>
      <c r="F950">
        <v>3</v>
      </c>
      <c r="G950" t="s">
        <v>58</v>
      </c>
      <c r="H950" t="s">
        <v>58</v>
      </c>
      <c r="I950" t="s">
        <v>58</v>
      </c>
      <c r="J950" t="s">
        <v>58</v>
      </c>
      <c r="K950">
        <v>0</v>
      </c>
      <c r="L950" t="s">
        <v>77</v>
      </c>
    </row>
    <row r="951" spans="1:12">
      <c r="A951">
        <v>950</v>
      </c>
      <c r="B951" t="s">
        <v>131</v>
      </c>
      <c r="C951" t="s">
        <v>102</v>
      </c>
      <c r="D951">
        <v>5</v>
      </c>
      <c r="E951" t="s">
        <v>165</v>
      </c>
      <c r="F951">
        <v>3</v>
      </c>
      <c r="G951" t="s">
        <v>58</v>
      </c>
      <c r="H951" t="s">
        <v>58</v>
      </c>
      <c r="I951" t="s">
        <v>58</v>
      </c>
      <c r="J951" t="s">
        <v>58</v>
      </c>
      <c r="K951">
        <v>0</v>
      </c>
      <c r="L951" t="s">
        <v>77</v>
      </c>
    </row>
    <row r="952" spans="1:12">
      <c r="A952">
        <v>951</v>
      </c>
      <c r="B952" t="s">
        <v>131</v>
      </c>
      <c r="C952" t="s">
        <v>247</v>
      </c>
      <c r="D952">
        <v>2</v>
      </c>
      <c r="E952" t="s">
        <v>165</v>
      </c>
      <c r="F952">
        <v>3</v>
      </c>
      <c r="G952" t="s">
        <v>58</v>
      </c>
      <c r="H952" t="s">
        <v>58</v>
      </c>
      <c r="I952" t="s">
        <v>153</v>
      </c>
      <c r="J952" t="s">
        <v>233</v>
      </c>
      <c r="K952">
        <v>0</v>
      </c>
      <c r="L952" t="s">
        <v>77</v>
      </c>
    </row>
    <row r="953" spans="1:12">
      <c r="A953">
        <v>952</v>
      </c>
      <c r="B953" t="s">
        <v>131</v>
      </c>
      <c r="C953" t="s">
        <v>90</v>
      </c>
      <c r="D953">
        <v>2</v>
      </c>
      <c r="E953" t="s">
        <v>165</v>
      </c>
      <c r="F953">
        <v>3</v>
      </c>
      <c r="G953" t="s">
        <v>58</v>
      </c>
      <c r="H953" t="s">
        <v>58</v>
      </c>
      <c r="I953" t="s">
        <v>105</v>
      </c>
      <c r="J953" t="s">
        <v>244</v>
      </c>
      <c r="K953">
        <v>0</v>
      </c>
      <c r="L953" t="s">
        <v>77</v>
      </c>
    </row>
    <row r="954" spans="1:12">
      <c r="A954">
        <v>953</v>
      </c>
      <c r="B954" t="s">
        <v>131</v>
      </c>
      <c r="C954" t="s">
        <v>92</v>
      </c>
      <c r="D954">
        <v>1</v>
      </c>
      <c r="E954" t="s">
        <v>165</v>
      </c>
      <c r="F954">
        <v>3</v>
      </c>
      <c r="G954" t="s">
        <v>162</v>
      </c>
      <c r="H954" t="s">
        <v>167</v>
      </c>
      <c r="I954" t="s">
        <v>58</v>
      </c>
      <c r="J954" t="s">
        <v>58</v>
      </c>
      <c r="K954">
        <v>0</v>
      </c>
      <c r="L954" t="s">
        <v>77</v>
      </c>
    </row>
    <row r="955" spans="1:12">
      <c r="A955">
        <v>954</v>
      </c>
      <c r="B955" t="s">
        <v>131</v>
      </c>
      <c r="C955" t="s">
        <v>95</v>
      </c>
      <c r="D955">
        <v>1</v>
      </c>
      <c r="E955" t="s">
        <v>165</v>
      </c>
      <c r="F955">
        <v>3</v>
      </c>
      <c r="G955" t="s">
        <v>166</v>
      </c>
      <c r="H955" t="s">
        <v>167</v>
      </c>
      <c r="I955" t="s">
        <v>58</v>
      </c>
      <c r="J955" t="s">
        <v>58</v>
      </c>
      <c r="K955">
        <v>0</v>
      </c>
      <c r="L955" t="s">
        <v>77</v>
      </c>
    </row>
    <row r="956" spans="1:12">
      <c r="A956">
        <v>955</v>
      </c>
      <c r="B956" t="s">
        <v>245</v>
      </c>
      <c r="C956" t="s">
        <v>99</v>
      </c>
      <c r="D956">
        <v>3</v>
      </c>
      <c r="E956" t="s">
        <v>165</v>
      </c>
      <c r="F956">
        <v>3</v>
      </c>
      <c r="G956" t="s">
        <v>58</v>
      </c>
      <c r="H956" t="s">
        <v>58</v>
      </c>
      <c r="I956" t="s">
        <v>58</v>
      </c>
      <c r="J956" t="s">
        <v>58</v>
      </c>
      <c r="K956">
        <v>0</v>
      </c>
      <c r="L956" t="s">
        <v>77</v>
      </c>
    </row>
    <row r="957" spans="1:12">
      <c r="A957">
        <v>956</v>
      </c>
      <c r="B957" t="s">
        <v>245</v>
      </c>
      <c r="C957" t="s">
        <v>102</v>
      </c>
      <c r="D957">
        <v>5</v>
      </c>
      <c r="E957" t="s">
        <v>165</v>
      </c>
      <c r="F957">
        <v>3</v>
      </c>
      <c r="G957" t="s">
        <v>58</v>
      </c>
      <c r="H957" t="s">
        <v>58</v>
      </c>
      <c r="I957" t="s">
        <v>58</v>
      </c>
      <c r="J957" t="s">
        <v>58</v>
      </c>
      <c r="K957">
        <v>0</v>
      </c>
      <c r="L957" t="s">
        <v>77</v>
      </c>
    </row>
    <row r="958" spans="1:12">
      <c r="A958">
        <v>957</v>
      </c>
      <c r="B958" t="s">
        <v>245</v>
      </c>
      <c r="C958" t="s">
        <v>247</v>
      </c>
      <c r="D958">
        <v>2</v>
      </c>
      <c r="E958" t="s">
        <v>165</v>
      </c>
      <c r="F958">
        <v>3</v>
      </c>
      <c r="G958" t="s">
        <v>58</v>
      </c>
      <c r="H958" t="s">
        <v>58</v>
      </c>
      <c r="I958" t="s">
        <v>153</v>
      </c>
      <c r="J958" t="s">
        <v>233</v>
      </c>
      <c r="K958">
        <v>0</v>
      </c>
      <c r="L958" t="s">
        <v>77</v>
      </c>
    </row>
    <row r="959" spans="1:12">
      <c r="A959">
        <v>958</v>
      </c>
      <c r="B959" t="s">
        <v>131</v>
      </c>
      <c r="C959" t="s">
        <v>90</v>
      </c>
      <c r="D959">
        <v>2</v>
      </c>
      <c r="E959" t="s">
        <v>165</v>
      </c>
      <c r="F959">
        <v>3</v>
      </c>
      <c r="G959" t="s">
        <v>58</v>
      </c>
      <c r="H959" t="s">
        <v>58</v>
      </c>
      <c r="I959" t="s">
        <v>105</v>
      </c>
      <c r="J959" t="s">
        <v>244</v>
      </c>
      <c r="K959">
        <v>0</v>
      </c>
      <c r="L959" t="s">
        <v>77</v>
      </c>
    </row>
    <row r="960" spans="1:12">
      <c r="A960">
        <v>959</v>
      </c>
      <c r="B960" t="s">
        <v>131</v>
      </c>
      <c r="C960" t="s">
        <v>92</v>
      </c>
      <c r="D960">
        <v>1</v>
      </c>
      <c r="E960" t="s">
        <v>165</v>
      </c>
      <c r="F960">
        <v>3</v>
      </c>
      <c r="G960" t="s">
        <v>162</v>
      </c>
      <c r="H960" t="s">
        <v>167</v>
      </c>
      <c r="I960" t="s">
        <v>58</v>
      </c>
      <c r="J960" t="s">
        <v>58</v>
      </c>
      <c r="K960">
        <v>0</v>
      </c>
      <c r="L960" t="s">
        <v>77</v>
      </c>
    </row>
    <row r="961" spans="1:12">
      <c r="A961">
        <v>960</v>
      </c>
      <c r="B961" t="s">
        <v>131</v>
      </c>
      <c r="C961" t="s">
        <v>95</v>
      </c>
      <c r="D961">
        <v>1</v>
      </c>
      <c r="E961" t="s">
        <v>165</v>
      </c>
      <c r="F961">
        <v>3</v>
      </c>
      <c r="G961" t="s">
        <v>166</v>
      </c>
      <c r="H961" t="s">
        <v>167</v>
      </c>
      <c r="I961" t="s">
        <v>58</v>
      </c>
      <c r="J961" t="s">
        <v>58</v>
      </c>
      <c r="K961">
        <v>0</v>
      </c>
      <c r="L961" t="s">
        <v>77</v>
      </c>
    </row>
    <row r="962" spans="1:12">
      <c r="A962">
        <v>961</v>
      </c>
      <c r="B962" t="s">
        <v>245</v>
      </c>
      <c r="C962" t="s">
        <v>99</v>
      </c>
      <c r="D962">
        <v>3</v>
      </c>
      <c r="E962" t="s">
        <v>165</v>
      </c>
      <c r="F962">
        <v>3</v>
      </c>
      <c r="G962" t="s">
        <v>58</v>
      </c>
      <c r="H962" t="s">
        <v>58</v>
      </c>
      <c r="I962" t="s">
        <v>58</v>
      </c>
      <c r="J962" t="s">
        <v>58</v>
      </c>
      <c r="K962">
        <v>0</v>
      </c>
      <c r="L962" t="s">
        <v>77</v>
      </c>
    </row>
    <row r="963" spans="1:12">
      <c r="A963">
        <v>962</v>
      </c>
      <c r="B963" t="s">
        <v>245</v>
      </c>
      <c r="C963" t="s">
        <v>102</v>
      </c>
      <c r="D963">
        <v>3</v>
      </c>
      <c r="E963" t="s">
        <v>165</v>
      </c>
      <c r="F963">
        <v>3</v>
      </c>
      <c r="G963" t="s">
        <v>58</v>
      </c>
      <c r="H963" t="s">
        <v>58</v>
      </c>
      <c r="I963" t="s">
        <v>58</v>
      </c>
      <c r="J963" t="s">
        <v>58</v>
      </c>
      <c r="K963">
        <v>0</v>
      </c>
      <c r="L963" t="s">
        <v>77</v>
      </c>
    </row>
    <row r="964" spans="1:12">
      <c r="A964">
        <v>963</v>
      </c>
      <c r="B964" t="s">
        <v>131</v>
      </c>
      <c r="C964" t="s">
        <v>247</v>
      </c>
      <c r="D964">
        <v>4</v>
      </c>
      <c r="E964" t="s">
        <v>165</v>
      </c>
      <c r="F964">
        <v>3</v>
      </c>
      <c r="G964" t="s">
        <v>58</v>
      </c>
      <c r="H964" t="s">
        <v>58</v>
      </c>
      <c r="I964" t="s">
        <v>58</v>
      </c>
      <c r="J964" t="s">
        <v>58</v>
      </c>
      <c r="K964">
        <v>5</v>
      </c>
      <c r="L964" t="s">
        <v>77</v>
      </c>
    </row>
    <row r="965" spans="1:12">
      <c r="A965">
        <v>964</v>
      </c>
      <c r="B965" t="s">
        <v>131</v>
      </c>
      <c r="C965" t="s">
        <v>90</v>
      </c>
      <c r="D965">
        <v>4</v>
      </c>
      <c r="E965" t="s">
        <v>165</v>
      </c>
      <c r="F965">
        <v>3</v>
      </c>
      <c r="G965" t="s">
        <v>58</v>
      </c>
      <c r="H965" t="s">
        <v>58</v>
      </c>
      <c r="I965" t="s">
        <v>58</v>
      </c>
      <c r="J965" t="s">
        <v>58</v>
      </c>
      <c r="K965">
        <v>5</v>
      </c>
      <c r="L965" t="s">
        <v>77</v>
      </c>
    </row>
    <row r="966" spans="1:12">
      <c r="A966">
        <v>965</v>
      </c>
      <c r="B966" t="s">
        <v>131</v>
      </c>
      <c r="C966" t="s">
        <v>92</v>
      </c>
      <c r="D966">
        <v>5</v>
      </c>
      <c r="E966" t="s">
        <v>165</v>
      </c>
      <c r="F966">
        <v>3</v>
      </c>
      <c r="G966" t="s">
        <v>58</v>
      </c>
      <c r="H966" t="s">
        <v>58</v>
      </c>
      <c r="I966" t="s">
        <v>58</v>
      </c>
      <c r="J966" t="s">
        <v>58</v>
      </c>
      <c r="K966">
        <v>0</v>
      </c>
      <c r="L966" t="s">
        <v>77</v>
      </c>
    </row>
    <row r="967" spans="1:12">
      <c r="A967">
        <v>966</v>
      </c>
      <c r="B967" t="s">
        <v>131</v>
      </c>
      <c r="C967" t="s">
        <v>95</v>
      </c>
      <c r="D967">
        <v>5</v>
      </c>
      <c r="E967" t="s">
        <v>165</v>
      </c>
      <c r="F967">
        <v>3</v>
      </c>
      <c r="G967" t="s">
        <v>58</v>
      </c>
      <c r="H967" t="s">
        <v>58</v>
      </c>
      <c r="I967" t="s">
        <v>58</v>
      </c>
      <c r="J967" t="s">
        <v>58</v>
      </c>
      <c r="K967">
        <v>0</v>
      </c>
      <c r="L967" t="s">
        <v>77</v>
      </c>
    </row>
    <row r="968" spans="1:12">
      <c r="A968">
        <v>967</v>
      </c>
      <c r="B968" t="s">
        <v>131</v>
      </c>
      <c r="C968" t="s">
        <v>99</v>
      </c>
      <c r="D968">
        <v>2</v>
      </c>
      <c r="E968" t="s">
        <v>165</v>
      </c>
      <c r="F968">
        <v>3</v>
      </c>
      <c r="G968" t="s">
        <v>58</v>
      </c>
      <c r="H968" t="s">
        <v>58</v>
      </c>
      <c r="I968" t="s">
        <v>119</v>
      </c>
      <c r="J968" t="s">
        <v>239</v>
      </c>
      <c r="K968">
        <v>0</v>
      </c>
      <c r="L968" t="s">
        <v>77</v>
      </c>
    </row>
    <row r="969" spans="1:12">
      <c r="A969">
        <v>968</v>
      </c>
      <c r="B969" t="s">
        <v>131</v>
      </c>
      <c r="C969" t="s">
        <v>102</v>
      </c>
      <c r="D969">
        <v>2</v>
      </c>
      <c r="E969" t="s">
        <v>165</v>
      </c>
      <c r="F969">
        <v>3</v>
      </c>
      <c r="G969" t="s">
        <v>58</v>
      </c>
      <c r="H969" t="s">
        <v>58</v>
      </c>
      <c r="I969" t="s">
        <v>141</v>
      </c>
      <c r="J969" t="s">
        <v>240</v>
      </c>
      <c r="K969">
        <v>0</v>
      </c>
      <c r="L969" t="s">
        <v>77</v>
      </c>
    </row>
    <row r="970" spans="1:12">
      <c r="A970">
        <v>969</v>
      </c>
      <c r="B970" t="s">
        <v>245</v>
      </c>
      <c r="C970" t="s">
        <v>247</v>
      </c>
      <c r="D970">
        <v>1</v>
      </c>
      <c r="E970" t="s">
        <v>165</v>
      </c>
      <c r="F970">
        <v>3</v>
      </c>
      <c r="G970" t="s">
        <v>162</v>
      </c>
      <c r="H970" t="s">
        <v>167</v>
      </c>
      <c r="I970" t="s">
        <v>58</v>
      </c>
      <c r="J970" t="s">
        <v>58</v>
      </c>
      <c r="K970">
        <v>0</v>
      </c>
      <c r="L970" t="s">
        <v>77</v>
      </c>
    </row>
    <row r="971" spans="1:12">
      <c r="A971">
        <v>970</v>
      </c>
      <c r="B971" t="s">
        <v>245</v>
      </c>
      <c r="C971" t="s">
        <v>90</v>
      </c>
      <c r="D971">
        <v>1</v>
      </c>
      <c r="E971" t="s">
        <v>165</v>
      </c>
      <c r="F971">
        <v>3</v>
      </c>
      <c r="G971" t="s">
        <v>109</v>
      </c>
      <c r="H971" t="s">
        <v>151</v>
      </c>
      <c r="I971" t="s">
        <v>58</v>
      </c>
      <c r="J971" t="s">
        <v>58</v>
      </c>
      <c r="K971">
        <v>0</v>
      </c>
      <c r="L971" t="s">
        <v>77</v>
      </c>
    </row>
    <row r="972" spans="1:12">
      <c r="A972">
        <v>971</v>
      </c>
      <c r="B972" t="s">
        <v>131</v>
      </c>
      <c r="C972" t="s">
        <v>92</v>
      </c>
      <c r="D972">
        <v>3</v>
      </c>
      <c r="E972" t="s">
        <v>165</v>
      </c>
      <c r="F972">
        <v>3</v>
      </c>
      <c r="G972" t="s">
        <v>58</v>
      </c>
      <c r="H972" t="s">
        <v>58</v>
      </c>
      <c r="I972" t="s">
        <v>58</v>
      </c>
      <c r="J972" t="s">
        <v>58</v>
      </c>
      <c r="K972">
        <v>0</v>
      </c>
      <c r="L972" t="s">
        <v>77</v>
      </c>
    </row>
    <row r="973" spans="1:12">
      <c r="A973">
        <v>972</v>
      </c>
      <c r="B973" t="s">
        <v>131</v>
      </c>
      <c r="C973" t="s">
        <v>95</v>
      </c>
      <c r="D973">
        <v>3</v>
      </c>
      <c r="E973" t="s">
        <v>165</v>
      </c>
      <c r="F973">
        <v>3</v>
      </c>
      <c r="G973" t="s">
        <v>58</v>
      </c>
      <c r="H973" t="s">
        <v>58</v>
      </c>
      <c r="I973" t="s">
        <v>58</v>
      </c>
      <c r="J973" t="s">
        <v>58</v>
      </c>
      <c r="K973">
        <v>0</v>
      </c>
      <c r="L973" t="s">
        <v>77</v>
      </c>
    </row>
    <row r="974" spans="1:12">
      <c r="A974">
        <v>973</v>
      </c>
      <c r="B974" t="s">
        <v>131</v>
      </c>
      <c r="C974" t="s">
        <v>99</v>
      </c>
      <c r="D974">
        <v>4</v>
      </c>
      <c r="E974" t="s">
        <v>165</v>
      </c>
      <c r="F974">
        <v>3</v>
      </c>
      <c r="G974" t="s">
        <v>58</v>
      </c>
      <c r="H974" t="s">
        <v>58</v>
      </c>
      <c r="I974" t="s">
        <v>58</v>
      </c>
      <c r="J974" t="s">
        <v>58</v>
      </c>
      <c r="K974">
        <v>5</v>
      </c>
      <c r="L974" t="s">
        <v>77</v>
      </c>
    </row>
    <row r="975" spans="1:12">
      <c r="A975">
        <v>974</v>
      </c>
      <c r="B975" t="s">
        <v>131</v>
      </c>
      <c r="C975" t="s">
        <v>102</v>
      </c>
      <c r="D975">
        <v>4</v>
      </c>
      <c r="E975" t="s">
        <v>165</v>
      </c>
      <c r="F975">
        <v>3</v>
      </c>
      <c r="G975" t="s">
        <v>58</v>
      </c>
      <c r="H975" t="s">
        <v>58</v>
      </c>
      <c r="I975" t="s">
        <v>58</v>
      </c>
      <c r="J975" t="s">
        <v>58</v>
      </c>
      <c r="K975">
        <v>5</v>
      </c>
      <c r="L975" t="s">
        <v>77</v>
      </c>
    </row>
    <row r="976" spans="1:12">
      <c r="A976">
        <v>975</v>
      </c>
      <c r="B976" t="s">
        <v>180</v>
      </c>
      <c r="C976" t="s">
        <v>247</v>
      </c>
      <c r="D976">
        <v>0</v>
      </c>
      <c r="E976" t="s">
        <v>165</v>
      </c>
      <c r="F976">
        <v>3</v>
      </c>
      <c r="G976" t="s">
        <v>58</v>
      </c>
      <c r="H976" t="s">
        <v>58</v>
      </c>
      <c r="I976" t="s">
        <v>58</v>
      </c>
      <c r="J976" t="s">
        <v>58</v>
      </c>
      <c r="K976">
        <v>0</v>
      </c>
      <c r="L976" t="s">
        <v>77</v>
      </c>
    </row>
    <row r="977" spans="1:12">
      <c r="A977">
        <v>976</v>
      </c>
      <c r="B977" t="s">
        <v>131</v>
      </c>
      <c r="C977" t="s">
        <v>102</v>
      </c>
      <c r="D977">
        <v>5</v>
      </c>
      <c r="E977" t="s">
        <v>165</v>
      </c>
      <c r="F977">
        <v>3</v>
      </c>
      <c r="G977" t="s">
        <v>58</v>
      </c>
      <c r="H977" t="s">
        <v>58</v>
      </c>
      <c r="I977" t="s">
        <v>58</v>
      </c>
      <c r="J977" t="s">
        <v>58</v>
      </c>
      <c r="K977">
        <v>0</v>
      </c>
      <c r="L977" t="s">
        <v>77</v>
      </c>
    </row>
    <row r="978" spans="1:12">
      <c r="A978">
        <v>977</v>
      </c>
      <c r="B978" t="s">
        <v>131</v>
      </c>
      <c r="C978" t="s">
        <v>247</v>
      </c>
      <c r="D978">
        <v>2</v>
      </c>
      <c r="E978" t="s">
        <v>165</v>
      </c>
      <c r="F978">
        <v>3</v>
      </c>
      <c r="G978" t="s">
        <v>58</v>
      </c>
      <c r="H978" t="s">
        <v>58</v>
      </c>
      <c r="I978" t="s">
        <v>153</v>
      </c>
      <c r="J978" t="s">
        <v>233</v>
      </c>
      <c r="K978">
        <v>0</v>
      </c>
      <c r="L978" t="s">
        <v>77</v>
      </c>
    </row>
    <row r="979" spans="1:12">
      <c r="A979">
        <v>978</v>
      </c>
      <c r="B979" t="s">
        <v>131</v>
      </c>
      <c r="C979" t="s">
        <v>90</v>
      </c>
      <c r="D979">
        <v>2</v>
      </c>
      <c r="E979" t="s">
        <v>165</v>
      </c>
      <c r="F979">
        <v>3</v>
      </c>
      <c r="G979" t="s">
        <v>58</v>
      </c>
      <c r="H979" t="s">
        <v>58</v>
      </c>
      <c r="I979" t="s">
        <v>105</v>
      </c>
      <c r="J979" t="s">
        <v>244</v>
      </c>
      <c r="K979">
        <v>0</v>
      </c>
      <c r="L979" t="s">
        <v>77</v>
      </c>
    </row>
    <row r="980" spans="1:12">
      <c r="A980">
        <v>979</v>
      </c>
      <c r="B980" t="s">
        <v>131</v>
      </c>
      <c r="C980" t="s">
        <v>92</v>
      </c>
      <c r="D980">
        <v>1</v>
      </c>
      <c r="E980" t="s">
        <v>165</v>
      </c>
      <c r="F980">
        <v>3</v>
      </c>
      <c r="G980" t="s">
        <v>162</v>
      </c>
      <c r="H980" t="s">
        <v>167</v>
      </c>
      <c r="I980" t="s">
        <v>58</v>
      </c>
      <c r="J980" t="s">
        <v>58</v>
      </c>
      <c r="K980">
        <v>0</v>
      </c>
      <c r="L980" t="s">
        <v>77</v>
      </c>
    </row>
    <row r="981" spans="1:12">
      <c r="A981">
        <v>980</v>
      </c>
      <c r="B981" t="s">
        <v>131</v>
      </c>
      <c r="C981" t="s">
        <v>95</v>
      </c>
      <c r="D981">
        <v>1</v>
      </c>
      <c r="E981" t="s">
        <v>165</v>
      </c>
      <c r="F981">
        <v>3</v>
      </c>
      <c r="G981" t="s">
        <v>166</v>
      </c>
      <c r="H981" t="s">
        <v>167</v>
      </c>
      <c r="I981" t="s">
        <v>58</v>
      </c>
      <c r="J981" t="s">
        <v>58</v>
      </c>
      <c r="K981">
        <v>0</v>
      </c>
      <c r="L981" t="s">
        <v>77</v>
      </c>
    </row>
    <row r="982" spans="1:12">
      <c r="A982">
        <v>981</v>
      </c>
      <c r="B982" t="s">
        <v>245</v>
      </c>
      <c r="C982" t="s">
        <v>99</v>
      </c>
      <c r="D982">
        <v>3</v>
      </c>
      <c r="E982" t="s">
        <v>165</v>
      </c>
      <c r="F982">
        <v>3</v>
      </c>
      <c r="G982" t="s">
        <v>58</v>
      </c>
      <c r="H982" t="s">
        <v>58</v>
      </c>
      <c r="I982" t="s">
        <v>58</v>
      </c>
      <c r="J982" t="s">
        <v>58</v>
      </c>
      <c r="K982">
        <v>0</v>
      </c>
      <c r="L982" t="s">
        <v>77</v>
      </c>
    </row>
    <row r="983" spans="1:12">
      <c r="A983">
        <v>982</v>
      </c>
      <c r="B983" t="s">
        <v>245</v>
      </c>
      <c r="C983" t="s">
        <v>102</v>
      </c>
      <c r="D983">
        <v>3</v>
      </c>
      <c r="E983" t="s">
        <v>165</v>
      </c>
      <c r="F983">
        <v>3</v>
      </c>
      <c r="G983" t="s">
        <v>58</v>
      </c>
      <c r="H983" t="s">
        <v>58</v>
      </c>
      <c r="I983" t="s">
        <v>58</v>
      </c>
      <c r="J983" t="s">
        <v>58</v>
      </c>
      <c r="K983">
        <v>0</v>
      </c>
      <c r="L983" t="s">
        <v>77</v>
      </c>
    </row>
    <row r="984" spans="1:12">
      <c r="A984">
        <v>983</v>
      </c>
      <c r="B984" t="s">
        <v>131</v>
      </c>
      <c r="C984" t="s">
        <v>247</v>
      </c>
      <c r="D984">
        <v>4</v>
      </c>
      <c r="E984" t="s">
        <v>165</v>
      </c>
      <c r="F984">
        <v>3</v>
      </c>
      <c r="G984" t="s">
        <v>58</v>
      </c>
      <c r="H984" t="s">
        <v>58</v>
      </c>
      <c r="I984" t="s">
        <v>58</v>
      </c>
      <c r="J984" t="s">
        <v>58</v>
      </c>
      <c r="K984">
        <v>5</v>
      </c>
      <c r="L984" t="s">
        <v>77</v>
      </c>
    </row>
    <row r="985" spans="1:12">
      <c r="A985">
        <v>984</v>
      </c>
      <c r="B985" t="s">
        <v>131</v>
      </c>
      <c r="C985" t="s">
        <v>90</v>
      </c>
      <c r="D985">
        <v>4</v>
      </c>
      <c r="E985" t="s">
        <v>165</v>
      </c>
      <c r="F985">
        <v>3</v>
      </c>
      <c r="G985" t="s">
        <v>58</v>
      </c>
      <c r="H985" t="s">
        <v>58</v>
      </c>
      <c r="I985" t="s">
        <v>58</v>
      </c>
      <c r="J985" t="s">
        <v>58</v>
      </c>
      <c r="K985">
        <v>5</v>
      </c>
      <c r="L985" t="s">
        <v>77</v>
      </c>
    </row>
    <row r="986" spans="1:12">
      <c r="A986">
        <v>985</v>
      </c>
      <c r="B986" t="s">
        <v>131</v>
      </c>
      <c r="C986" t="s">
        <v>92</v>
      </c>
      <c r="D986">
        <v>5</v>
      </c>
      <c r="E986" t="s">
        <v>165</v>
      </c>
      <c r="F986">
        <v>3</v>
      </c>
      <c r="G986" t="s">
        <v>58</v>
      </c>
      <c r="H986" t="s">
        <v>58</v>
      </c>
      <c r="I986" t="s">
        <v>58</v>
      </c>
      <c r="J986" t="s">
        <v>58</v>
      </c>
      <c r="K986">
        <v>0</v>
      </c>
      <c r="L986" t="s">
        <v>77</v>
      </c>
    </row>
    <row r="987" spans="1:12">
      <c r="A987">
        <v>986</v>
      </c>
      <c r="B987" t="s">
        <v>245</v>
      </c>
      <c r="C987" t="s">
        <v>95</v>
      </c>
      <c r="D987">
        <v>5</v>
      </c>
      <c r="E987" t="s">
        <v>165</v>
      </c>
      <c r="F987">
        <v>3</v>
      </c>
      <c r="G987" t="s">
        <v>58</v>
      </c>
      <c r="H987" t="s">
        <v>58</v>
      </c>
      <c r="I987" t="s">
        <v>58</v>
      </c>
      <c r="J987" t="s">
        <v>58</v>
      </c>
      <c r="K987">
        <v>0</v>
      </c>
      <c r="L987" t="s">
        <v>77</v>
      </c>
    </row>
    <row r="988" spans="1:12">
      <c r="A988">
        <v>987</v>
      </c>
      <c r="B988" t="s">
        <v>131</v>
      </c>
      <c r="C988" t="s">
        <v>99</v>
      </c>
      <c r="D988">
        <v>2</v>
      </c>
      <c r="E988" t="s">
        <v>165</v>
      </c>
      <c r="F988">
        <v>3</v>
      </c>
      <c r="G988" t="s">
        <v>58</v>
      </c>
      <c r="H988" t="s">
        <v>58</v>
      </c>
      <c r="I988" t="s">
        <v>119</v>
      </c>
      <c r="J988" t="s">
        <v>239</v>
      </c>
      <c r="K988">
        <v>0</v>
      </c>
      <c r="L988" t="s">
        <v>77</v>
      </c>
    </row>
    <row r="989" spans="1:12">
      <c r="A989">
        <v>988</v>
      </c>
      <c r="B989" t="s">
        <v>131</v>
      </c>
      <c r="C989" t="s">
        <v>102</v>
      </c>
      <c r="D989">
        <v>2</v>
      </c>
      <c r="E989" t="s">
        <v>165</v>
      </c>
      <c r="F989">
        <v>3</v>
      </c>
      <c r="G989" t="s">
        <v>58</v>
      </c>
      <c r="H989" t="s">
        <v>58</v>
      </c>
      <c r="I989" t="s">
        <v>141</v>
      </c>
      <c r="J989" t="s">
        <v>240</v>
      </c>
      <c r="K989">
        <v>0</v>
      </c>
      <c r="L989" t="s">
        <v>77</v>
      </c>
    </row>
    <row r="990" spans="1:12">
      <c r="A990">
        <v>989</v>
      </c>
      <c r="B990" t="s">
        <v>131</v>
      </c>
      <c r="C990" t="s">
        <v>247</v>
      </c>
      <c r="D990">
        <v>1</v>
      </c>
      <c r="E990" t="s">
        <v>165</v>
      </c>
      <c r="F990">
        <v>3</v>
      </c>
      <c r="G990" t="s">
        <v>162</v>
      </c>
      <c r="H990" t="s">
        <v>167</v>
      </c>
      <c r="I990" t="s">
        <v>58</v>
      </c>
      <c r="J990" t="s">
        <v>58</v>
      </c>
      <c r="K990">
        <v>0</v>
      </c>
      <c r="L990" t="s">
        <v>77</v>
      </c>
    </row>
    <row r="991" spans="1:12">
      <c r="A991">
        <v>990</v>
      </c>
      <c r="B991" t="s">
        <v>131</v>
      </c>
      <c r="C991" t="s">
        <v>90</v>
      </c>
      <c r="D991">
        <v>1</v>
      </c>
      <c r="E991" t="s">
        <v>165</v>
      </c>
      <c r="F991">
        <v>3</v>
      </c>
      <c r="G991" t="s">
        <v>109</v>
      </c>
      <c r="H991" t="s">
        <v>151</v>
      </c>
      <c r="I991" t="s">
        <v>58</v>
      </c>
      <c r="J991" t="s">
        <v>58</v>
      </c>
      <c r="K991">
        <v>0</v>
      </c>
      <c r="L991" t="s">
        <v>77</v>
      </c>
    </row>
    <row r="992" spans="1:12">
      <c r="A992">
        <v>991</v>
      </c>
      <c r="B992" t="s">
        <v>245</v>
      </c>
      <c r="C992" t="s">
        <v>92</v>
      </c>
      <c r="D992">
        <v>3</v>
      </c>
      <c r="E992" t="s">
        <v>165</v>
      </c>
      <c r="F992">
        <v>3</v>
      </c>
      <c r="G992" t="s">
        <v>58</v>
      </c>
      <c r="H992" t="s">
        <v>58</v>
      </c>
      <c r="I992" t="s">
        <v>58</v>
      </c>
      <c r="J992" t="s">
        <v>58</v>
      </c>
      <c r="K992">
        <v>0</v>
      </c>
      <c r="L992" t="s">
        <v>77</v>
      </c>
    </row>
    <row r="993" spans="1:12">
      <c r="A993">
        <v>992</v>
      </c>
      <c r="B993" t="s">
        <v>245</v>
      </c>
      <c r="C993" t="s">
        <v>95</v>
      </c>
      <c r="D993">
        <v>3</v>
      </c>
      <c r="E993" t="s">
        <v>165</v>
      </c>
      <c r="F993">
        <v>3</v>
      </c>
      <c r="G993" t="s">
        <v>58</v>
      </c>
      <c r="H993" t="s">
        <v>58</v>
      </c>
      <c r="I993" t="s">
        <v>58</v>
      </c>
      <c r="J993" t="s">
        <v>58</v>
      </c>
      <c r="K993">
        <v>0</v>
      </c>
      <c r="L993" t="s">
        <v>77</v>
      </c>
    </row>
    <row r="994" spans="1:12">
      <c r="A994">
        <v>993</v>
      </c>
      <c r="B994" t="s">
        <v>131</v>
      </c>
      <c r="C994" t="s">
        <v>99</v>
      </c>
      <c r="D994">
        <v>4</v>
      </c>
      <c r="E994" t="s">
        <v>165</v>
      </c>
      <c r="F994">
        <v>3</v>
      </c>
      <c r="G994" t="s">
        <v>58</v>
      </c>
      <c r="H994" t="s">
        <v>58</v>
      </c>
      <c r="I994" t="s">
        <v>58</v>
      </c>
      <c r="J994" t="s">
        <v>58</v>
      </c>
      <c r="K994">
        <v>5</v>
      </c>
      <c r="L994" t="s">
        <v>77</v>
      </c>
    </row>
    <row r="995" spans="1:12">
      <c r="A995">
        <v>994</v>
      </c>
      <c r="B995" t="s">
        <v>131</v>
      </c>
      <c r="C995" t="s">
        <v>102</v>
      </c>
      <c r="D995">
        <v>4</v>
      </c>
      <c r="E995" t="s">
        <v>165</v>
      </c>
      <c r="F995">
        <v>3</v>
      </c>
      <c r="G995" t="s">
        <v>58</v>
      </c>
      <c r="H995" t="s">
        <v>58</v>
      </c>
      <c r="I995" t="s">
        <v>58</v>
      </c>
      <c r="J995" t="s">
        <v>58</v>
      </c>
      <c r="K995">
        <v>5</v>
      </c>
      <c r="L995" t="s">
        <v>77</v>
      </c>
    </row>
    <row r="996" spans="1:12">
      <c r="A996">
        <v>995</v>
      </c>
      <c r="B996" t="s">
        <v>180</v>
      </c>
      <c r="C996" t="s">
        <v>247</v>
      </c>
      <c r="D996">
        <v>0</v>
      </c>
      <c r="E996" t="s">
        <v>165</v>
      </c>
      <c r="F996">
        <v>3</v>
      </c>
      <c r="G996" t="s">
        <v>58</v>
      </c>
      <c r="H996" t="s">
        <v>58</v>
      </c>
      <c r="I996" t="s">
        <v>58</v>
      </c>
      <c r="J996" t="s">
        <v>58</v>
      </c>
      <c r="K996">
        <v>0</v>
      </c>
      <c r="L996" t="s">
        <v>77</v>
      </c>
    </row>
    <row r="997" spans="1:12">
      <c r="A997">
        <v>996</v>
      </c>
      <c r="B997" t="s">
        <v>131</v>
      </c>
      <c r="C997" t="s">
        <v>90</v>
      </c>
      <c r="D997">
        <v>2</v>
      </c>
      <c r="E997" t="s">
        <v>165</v>
      </c>
      <c r="F997">
        <v>3</v>
      </c>
      <c r="G997" t="s">
        <v>58</v>
      </c>
      <c r="H997" t="s">
        <v>58</v>
      </c>
      <c r="I997" t="s">
        <v>105</v>
      </c>
      <c r="J997" t="s">
        <v>244</v>
      </c>
      <c r="K997">
        <v>0</v>
      </c>
      <c r="L997" t="s">
        <v>77</v>
      </c>
    </row>
    <row r="998" spans="1:12">
      <c r="A998">
        <v>997</v>
      </c>
      <c r="B998" t="s">
        <v>131</v>
      </c>
      <c r="C998" t="s">
        <v>92</v>
      </c>
      <c r="D998">
        <v>1</v>
      </c>
      <c r="E998" t="s">
        <v>165</v>
      </c>
      <c r="F998">
        <v>3</v>
      </c>
      <c r="G998" t="s">
        <v>162</v>
      </c>
      <c r="H998" t="s">
        <v>167</v>
      </c>
      <c r="I998" t="s">
        <v>58</v>
      </c>
      <c r="J998" t="s">
        <v>58</v>
      </c>
      <c r="K998">
        <v>0</v>
      </c>
      <c r="L998" t="s">
        <v>77</v>
      </c>
    </row>
    <row r="999" spans="1:12">
      <c r="A999">
        <v>998</v>
      </c>
      <c r="B999" t="s">
        <v>131</v>
      </c>
      <c r="C999" t="s">
        <v>95</v>
      </c>
      <c r="D999">
        <v>1</v>
      </c>
      <c r="E999" t="s">
        <v>165</v>
      </c>
      <c r="F999">
        <v>3</v>
      </c>
      <c r="G999" t="s">
        <v>166</v>
      </c>
      <c r="H999" t="s">
        <v>167</v>
      </c>
      <c r="I999" t="s">
        <v>58</v>
      </c>
      <c r="J999" t="s">
        <v>58</v>
      </c>
      <c r="K999">
        <v>0</v>
      </c>
      <c r="L999" t="s">
        <v>77</v>
      </c>
    </row>
    <row r="1000" spans="1:12">
      <c r="A1000">
        <v>999</v>
      </c>
      <c r="B1000" t="s">
        <v>245</v>
      </c>
      <c r="C1000" t="s">
        <v>99</v>
      </c>
      <c r="D1000">
        <v>3</v>
      </c>
      <c r="E1000" t="s">
        <v>165</v>
      </c>
      <c r="F1000">
        <v>3</v>
      </c>
      <c r="G1000" t="s">
        <v>58</v>
      </c>
      <c r="H1000" t="s">
        <v>58</v>
      </c>
      <c r="I1000" t="s">
        <v>58</v>
      </c>
      <c r="J1000" t="s">
        <v>58</v>
      </c>
      <c r="K1000">
        <v>0</v>
      </c>
      <c r="L1000" t="s">
        <v>77</v>
      </c>
    </row>
  </sheetData>
  <phoneticPr fontId="9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关卡配置</vt:lpstr>
      <vt:lpstr>level</vt:lpstr>
    </vt:vector>
  </TitlesOfParts>
  <Company>MS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USER-</dc:creator>
  <cp:lastModifiedBy>User</cp:lastModifiedBy>
  <dcterms:created xsi:type="dcterms:W3CDTF">2015-11-26T02:49:16Z</dcterms:created>
  <dcterms:modified xsi:type="dcterms:W3CDTF">2017-11-23T10:59:34Z</dcterms:modified>
</cp:coreProperties>
</file>