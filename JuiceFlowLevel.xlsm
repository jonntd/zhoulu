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615" windowWidth="25440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" i="1"/>
  <c r="AE10"/>
  <c r="AD10"/>
  <c r="W10"/>
  <c r="V10"/>
  <c r="R10"/>
  <c r="N10"/>
  <c r="L10"/>
  <c r="E10"/>
  <c r="AI9"/>
  <c r="AE9"/>
  <c r="AD9"/>
  <c r="W9"/>
  <c r="V9"/>
  <c r="R9"/>
  <c r="N9"/>
  <c r="L9"/>
  <c r="E9"/>
  <c r="AI8"/>
  <c r="AE8"/>
  <c r="AD8"/>
  <c r="W8"/>
  <c r="V8"/>
  <c r="R8"/>
  <c r="N8"/>
  <c r="L8"/>
  <c r="E8"/>
  <c r="N4"/>
  <c r="N5"/>
  <c r="N6"/>
  <c r="N7"/>
  <c r="N3"/>
  <c r="AI4"/>
  <c r="AI5"/>
  <c r="AI6"/>
  <c r="AI7"/>
  <c r="AI3"/>
  <c r="AD4"/>
  <c r="AE4"/>
  <c r="AD5"/>
  <c r="AE5"/>
  <c r="AD6"/>
  <c r="AE6"/>
  <c r="AD7"/>
  <c r="AE7"/>
  <c r="AE3"/>
  <c r="AD3"/>
  <c r="V4" l="1"/>
  <c r="W4"/>
  <c r="V5"/>
  <c r="W5"/>
  <c r="V6"/>
  <c r="W6"/>
  <c r="V7"/>
  <c r="W7"/>
  <c r="V3"/>
  <c r="W3"/>
  <c r="R4"/>
  <c r="R5"/>
  <c r="R6"/>
  <c r="R7"/>
  <c r="R3"/>
  <c r="L4"/>
  <c r="L5"/>
  <c r="L6"/>
  <c r="L7"/>
  <c r="L3"/>
  <c r="E4"/>
  <c r="E5"/>
  <c r="E6"/>
  <c r="E7"/>
  <c r="E3"/>
</calcChain>
</file>

<file path=xl/sharedStrings.xml><?xml version="1.0" encoding="utf-8"?>
<sst xmlns="http://schemas.openxmlformats.org/spreadsheetml/2006/main" count="161" uniqueCount="96">
  <si>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</si>
  <si>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</si>
  <si>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</si>
  <si>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</si>
  <si>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</si>
  <si>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</si>
  <si>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</si>
  <si>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</si>
  <si>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</si>
  <si>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</si>
  <si>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</si>
  <si>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</si>
  <si>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</si>
  <si>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</si>
  <si>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</si>
  <si>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</si>
  <si>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</si>
  <si>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</si>
  <si>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</si>
  <si>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</si>
  <si>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</si>
  <si>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</si>
  <si>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</si>
  <si>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</si>
  <si>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</si>
  <si>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</si>
  <si>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</si>
  <si>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</si>
  <si>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</si>
  <si>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</si>
  <si>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</si>
  <si>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</si>
  <si>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</si>
  <si>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</si>
  <si>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</si>
  <si>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</si>
  <si>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炸弹</t>
    <phoneticPr fontId="0" type="noConversion"/>
  </si>
  <si>
    <t>掉落0</t>
    <phoneticPr fontId="0" type="noConversion"/>
  </si>
  <si>
    <t>掉落1</t>
    <phoneticPr fontId="0" type="noConversion"/>
  </si>
  <si>
    <t>目标1数量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</si>
  <si>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</si>
  <si>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</si>
  <si>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</si>
  <si>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</si>
  <si>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</si>
  <si>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</si>
  <si>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</si>
  <si>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</si>
  <si>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通关目标-收集数量</t>
    <phoneticPr fontId="0" type="noConversion"/>
  </si>
  <si>
    <t>target-cagehp</t>
    <phoneticPr fontId="0" type="noConversion"/>
  </si>
  <si>
    <t>炸弹回合数</t>
    <phoneticPr fontId="0" type="noConversion"/>
  </si>
  <si>
    <t>收集炸弹数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</si>
  <si>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</si>
  <si>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</si>
  <si>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</si>
  <si>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</si>
  <si>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</si>
  <si>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</si>
  <si>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炸弹</t>
  </si>
  <si>
    <t>通关目标-笼子血量</t>
    <phoneticPr fontId="0" type="noConversion"/>
  </si>
  <si>
    <t>0/5</t>
    <phoneticPr fontId="9" type="noConversion"/>
  </si>
  <si>
    <t>0,100,100,100,100,100</t>
    <phoneticPr fontId="9" type="noConversion"/>
  </si>
  <si>
    <t>500/1200/2300</t>
    <phoneticPr fontId="9" type="noConversion"/>
  </si>
  <si>
    <t>0/1/</t>
    <phoneticPr fontId="9" type="noConversion"/>
  </si>
  <si>
    <t>10/10/</t>
    <phoneticPr fontId="9" type="noConversion"/>
  </si>
  <si>
    <t>0/5/</t>
    <phoneticPr fontId="9" type="noConversion"/>
  </si>
  <si>
    <t>1/6/</t>
    <phoneticPr fontId="9" type="noConversion"/>
  </si>
  <si>
    <t>10/5</t>
    <phoneticPr fontId="9" type="noConversion"/>
  </si>
  <si>
    <t>1/10</t>
    <phoneticPr fontId="9" type="noConversion"/>
  </si>
  <si>
    <t>100,100,0,0,100,100</t>
    <phoneticPr fontId="9" type="noConversion"/>
  </si>
  <si>
    <t>1/</t>
    <phoneticPr fontId="9" type="noConversion"/>
  </si>
  <si>
    <t>5/</t>
    <phoneticPr fontId="9" type="noConversion"/>
  </si>
  <si>
    <t>1/3/4/</t>
    <phoneticPr fontId="9" type="noConversion"/>
  </si>
  <si>
    <t>2/4/5/</t>
    <phoneticPr fontId="9" type="noConversion"/>
  </si>
  <si>
    <t>0,100,100,0,100,100</t>
    <phoneticPr fontId="9" type="noConversion"/>
  </si>
  <si>
    <t>0/</t>
    <phoneticPr fontId="9" type="noConversion"/>
  </si>
  <si>
    <t>1/2/</t>
    <phoneticPr fontId="9" type="noConversion"/>
  </si>
  <si>
    <t>2/3/</t>
    <phoneticPr fontId="9" type="noConversion"/>
  </si>
  <si>
    <t>100,100,100,100,0,0</t>
    <phoneticPr fontId="9" type="noConversion"/>
  </si>
  <si>
    <t>2/</t>
    <phoneticPr fontId="9" type="noConversion"/>
  </si>
  <si>
    <t>1/2/3/</t>
    <phoneticPr fontId="9" type="noConversion"/>
  </si>
  <si>
    <t>2/3/4/</t>
    <phoneticPr fontId="9" type="noConversion"/>
  </si>
  <si>
    <t>0/10</t>
    <phoneticPr fontId="9" type="noConversion"/>
  </si>
  <si>
    <t>1/4/</t>
    <phoneticPr fontId="9" type="noConversion"/>
  </si>
  <si>
    <t>2/5/</t>
    <phoneticPr fontId="9" type="noConversion"/>
  </si>
  <si>
    <t>LvID</t>
    <phoneticPr fontId="0" type="noConversion"/>
  </si>
  <si>
    <t>Limit</t>
  </si>
  <si>
    <t>weight</t>
  </si>
  <si>
    <t>mode</t>
  </si>
  <si>
    <t>stars</t>
  </si>
  <si>
    <t>target-score</t>
  </si>
  <si>
    <t>target-collect</t>
  </si>
  <si>
    <t>target-collectnums</t>
  </si>
  <si>
    <t>target-item</t>
  </si>
  <si>
    <t>target-itemnum</t>
  </si>
  <si>
    <t>target-cagehp</t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</si>
</sst>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1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21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K29" sqref="K29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5" width="9" style="8" bestFit="1" customWidth="1"/>
    <col min="6" max="8" width="8.25" style="10" bestFit="1" customWidth="1"/>
    <col min="9" max="9" width="9.625" style="10" bestFit="1" customWidth="1"/>
    <col min="10" max="11" width="9" style="10" customWidth="1"/>
    <col min="12" max="12" width="9" style="8" bestFit="1" customWidth="1"/>
    <col min="13" max="13" width="6.625" style="8" customWidth="1"/>
    <col min="14" max="14" width="9" style="8" customWidth="1"/>
    <col min="15" max="17" width="9" style="10" customWidth="1"/>
    <col min="18" max="18" width="9" style="8" bestFit="1" customWidth="1"/>
    <col min="19" max="19" width="6.625" style="8" bestFit="1" customWidth="1"/>
    <col min="20" max="21" width="6.625" style="8" customWidth="1"/>
    <col min="22" max="23" width="9" style="8" bestFit="1" customWidth="1"/>
    <col min="24" max="29" width="8.25" style="10" bestFit="1" customWidth="1"/>
    <col min="30" max="31" width="9" style="8" bestFit="1" customWidth="1"/>
    <col min="32" max="32" width="6.625" style="8" bestFit="1" customWidth="1"/>
    <col min="33" max="34" width="8.25" style="10" bestFit="1" customWidth="1"/>
    <col min="35" max="35" width="9" style="8" bestFit="1" customWidth="1"/>
    <col min="36" max="16384" width="9" style="1"/>
  </cols>
  <sheetData>
    <row r="1" spans="1:35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1" t="s">
        <v>6</v>
      </c>
      <c r="F1" s="13" t="s">
        <v>7</v>
      </c>
      <c r="G1" s="13" t="s">
        <v>8</v>
      </c>
      <c r="H1" s="13" t="s">
        <v>9</v>
      </c>
      <c r="I1" s="13" t="s">
        <v>10</v>
      </c>
      <c r="J1" s="13" t="s">
        <v>11</v>
      </c>
      <c r="K1" s="13" t="s">
        <v>12</v>
      </c>
      <c r="L1" s="11" t="s">
        <v>14</v>
      </c>
      <c r="M1" s="2" t="s">
        <v>28</v>
      </c>
      <c r="N1" s="11" t="s">
        <v>30</v>
      </c>
      <c r="O1" s="13" t="s">
        <v>15</v>
      </c>
      <c r="P1" s="13" t="s">
        <v>16</v>
      </c>
      <c r="Q1" s="13" t="s">
        <v>17</v>
      </c>
      <c r="R1" s="11" t="s">
        <v>19</v>
      </c>
      <c r="S1" s="3" t="s">
        <v>23</v>
      </c>
      <c r="T1" s="2" t="s">
        <v>37</v>
      </c>
      <c r="U1" s="2" t="s">
        <v>38</v>
      </c>
      <c r="V1" s="11" t="s">
        <v>25</v>
      </c>
      <c r="W1" s="11" t="s">
        <v>27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11" t="s">
        <v>47</v>
      </c>
      <c r="AE1" s="11" t="s">
        <v>48</v>
      </c>
      <c r="AF1" s="3" t="s">
        <v>59</v>
      </c>
      <c r="AG1" s="13" t="s">
        <v>51</v>
      </c>
      <c r="AH1" s="13" t="s">
        <v>50</v>
      </c>
      <c r="AI1" s="11" t="s">
        <v>27</v>
      </c>
    </row>
    <row r="2" spans="1:35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1" t="s">
        <v>5</v>
      </c>
      <c r="F2" s="2" t="s">
        <v>4</v>
      </c>
      <c r="G2" s="2" t="s">
        <v>4</v>
      </c>
      <c r="H2" s="2" t="s">
        <v>4</v>
      </c>
      <c r="I2" s="2" t="s">
        <v>4</v>
      </c>
      <c r="J2" s="2" t="s">
        <v>4</v>
      </c>
      <c r="K2" s="2" t="s">
        <v>4</v>
      </c>
      <c r="L2" s="11" t="s">
        <v>13</v>
      </c>
      <c r="M2" s="2" t="s">
        <v>4</v>
      </c>
      <c r="N2" s="11" t="s">
        <v>29</v>
      </c>
      <c r="O2" s="2" t="s">
        <v>4</v>
      </c>
      <c r="P2" s="2" t="s">
        <v>4</v>
      </c>
      <c r="Q2" s="2" t="s">
        <v>4</v>
      </c>
      <c r="R2" s="11" t="s">
        <v>18</v>
      </c>
      <c r="S2" s="3" t="s">
        <v>22</v>
      </c>
      <c r="T2" s="2" t="s">
        <v>4</v>
      </c>
      <c r="U2" s="2" t="s">
        <v>4</v>
      </c>
      <c r="V2" s="11" t="s">
        <v>24</v>
      </c>
      <c r="W2" s="11" t="s">
        <v>26</v>
      </c>
      <c r="X2" s="2" t="s">
        <v>4</v>
      </c>
      <c r="Y2" s="2" t="s">
        <v>4</v>
      </c>
      <c r="Z2" s="2" t="s">
        <v>4</v>
      </c>
      <c r="AA2" s="2" t="s">
        <v>4</v>
      </c>
      <c r="AB2" s="2" t="s">
        <v>4</v>
      </c>
      <c r="AC2" s="2" t="s">
        <v>4</v>
      </c>
      <c r="AD2" s="11" t="s">
        <v>45</v>
      </c>
      <c r="AE2" s="11" t="s">
        <v>46</v>
      </c>
      <c r="AF2" s="3" t="s">
        <v>49</v>
      </c>
      <c r="AG2" s="2" t="s">
        <v>4</v>
      </c>
      <c r="AH2" s="2" t="s">
        <v>4</v>
      </c>
      <c r="AI2" s="11" t="s">
        <v>26</v>
      </c>
    </row>
    <row r="3" spans="1:35" s="7" customFormat="1" ht="21.95" customHeight="1">
      <c r="A3" s="9">
        <v>1</v>
      </c>
      <c r="B3" s="6">
        <v>1</v>
      </c>
      <c r="C3" s="6">
        <v>5</v>
      </c>
      <c r="D3" s="6">
        <v>0</v>
      </c>
      <c r="E3" s="12" t="str">
        <f>IF(C3=0,CONCATENATE("1/",D3),CONCATENATE("0/",C3))</f>
        <v>0/5</v>
      </c>
      <c r="F3" s="5">
        <v>0</v>
      </c>
      <c r="G3" s="5">
        <v>100</v>
      </c>
      <c r="H3" s="5">
        <v>100</v>
      </c>
      <c r="I3" s="5">
        <v>100</v>
      </c>
      <c r="J3" s="5">
        <v>100</v>
      </c>
      <c r="K3" s="5">
        <v>100</v>
      </c>
      <c r="L3" s="12" t="str">
        <f>CONCATENATE(F3,",",G3,",",H3,",",I3,",",J3,",",K3)</f>
        <v>0,100,100,100,100,100</v>
      </c>
      <c r="M3" s="6" t="s">
        <v>53</v>
      </c>
      <c r="N3" s="12">
        <f>VLOOKUP(M3,$M$14:$N$21,2,FALSE)</f>
        <v>1</v>
      </c>
      <c r="O3" s="5">
        <v>500</v>
      </c>
      <c r="P3" s="5">
        <v>1200</v>
      </c>
      <c r="Q3" s="5">
        <v>2300</v>
      </c>
      <c r="R3" s="12" t="str">
        <f>CONCATENATE(O3,"/",P3,"/",Q3)</f>
        <v>500/1200/2300</v>
      </c>
      <c r="S3" s="6">
        <v>3</v>
      </c>
      <c r="T3" s="6">
        <v>10</v>
      </c>
      <c r="U3" s="6">
        <v>10</v>
      </c>
      <c r="V3" s="12" t="str">
        <f>CONCATENATE(IF(T3=0,"","0/"),IF(U3=0,"","1/"))</f>
        <v>0/1/</v>
      </c>
      <c r="W3" s="12" t="str">
        <f>CONCATENATE(IF(T3=0,"",CONCATENATE(T3,"/")),IF(U3=0,"",CONCATENATE(U3,"/")))</f>
        <v>10/10/</v>
      </c>
      <c r="X3" s="5">
        <v>1</v>
      </c>
      <c r="Y3" s="5">
        <v>0</v>
      </c>
      <c r="Z3" s="5">
        <v>0</v>
      </c>
      <c r="AA3" s="5">
        <v>0</v>
      </c>
      <c r="AB3" s="5">
        <v>0</v>
      </c>
      <c r="AC3" s="5">
        <v>6</v>
      </c>
      <c r="AD3" s="12" t="str">
        <f>CONCATENATE(IF(X3=0,"","0/"),IF(Y3=0,"","1/"),IF(Z3=0,"","2/"),IF(AA3=0,"","3/"),IF(AB3=0,"","4/"),IF(AC3=0,"","5/"))</f>
        <v>0/5/</v>
      </c>
      <c r="AE3" s="12" t="str">
        <f>CONCATENATE(IF(X3=0,"",CONCATENATE(X3,"/")),IF(Y3=0,"",CONCATENATE(Y3,"/")),IF(Z3=0,"",CONCATENATE(Z3,"/")),IF(AA3=0,"",CONCATENATE(AA3,"/")),IF(AB3=0,"",CONCATENATE(AB3,"/")),IF(AC3=0,"",CONCATENATE(AC3,"/")))</f>
        <v>1/6/</v>
      </c>
      <c r="AF3" s="6">
        <v>1</v>
      </c>
      <c r="AG3" s="5">
        <v>10</v>
      </c>
      <c r="AH3" s="5">
        <v>5</v>
      </c>
      <c r="AI3" s="12" t="str">
        <f>CONCATENATE(AG3,"/",AH3)</f>
        <v>10/5</v>
      </c>
    </row>
    <row r="4" spans="1:35" s="8" customFormat="1" ht="21.95" customHeight="1">
      <c r="A4" s="9">
        <v>2</v>
      </c>
      <c r="B4" s="6">
        <v>2</v>
      </c>
      <c r="C4" s="6">
        <v>0</v>
      </c>
      <c r="D4" s="6">
        <v>10</v>
      </c>
      <c r="E4" s="12" t="str">
        <f t="shared" ref="E4:E7" si="0">IF(C4=0,CONCATENATE("1/",D4),CONCATENATE("0/",C4))</f>
        <v>1/10</v>
      </c>
      <c r="F4" s="5">
        <v>100</v>
      </c>
      <c r="G4" s="5">
        <v>100</v>
      </c>
      <c r="H4" s="5">
        <v>0</v>
      </c>
      <c r="I4" s="5">
        <v>0</v>
      </c>
      <c r="J4" s="5">
        <v>100</v>
      </c>
      <c r="K4" s="5">
        <v>100</v>
      </c>
      <c r="L4" s="12" t="str">
        <f t="shared" ref="L4:L7" si="1">CONCATENATE(F4,",",G4,",",H4,",",I4,",",J4,",",K4)</f>
        <v>100,100,0,0,100,100</v>
      </c>
      <c r="M4" s="6" t="s">
        <v>54</v>
      </c>
      <c r="N4" s="12">
        <f t="shared" ref="N4:N10" si="2">VLOOKUP(M4,$M$14:$N$21,2,FALSE)</f>
        <v>2</v>
      </c>
      <c r="O4" s="5">
        <v>500</v>
      </c>
      <c r="P4" s="5">
        <v>1200</v>
      </c>
      <c r="Q4" s="5">
        <v>2300</v>
      </c>
      <c r="R4" s="12" t="str">
        <f t="shared" ref="R4:R7" si="3">CONCATENATE(O4,"/",P4,"/",Q4)</f>
        <v>500/1200/2300</v>
      </c>
      <c r="S4" s="6">
        <v>3</v>
      </c>
      <c r="T4" s="6">
        <v>0</v>
      </c>
      <c r="U4" s="6">
        <v>5</v>
      </c>
      <c r="V4" s="12" t="str">
        <f t="shared" ref="V4:V7" si="4">CONCATENATE(IF(T4=0,"","0/"),IF(U4=0,"","1/"))</f>
        <v>1/</v>
      </c>
      <c r="W4" s="12" t="str">
        <f t="shared" ref="W4:W7" si="5">CONCATENATE(IF(T4=0,"",CONCATENATE(T4,"/")),IF(U4=0,"",CONCATENATE(U4,"/")))</f>
        <v>5/</v>
      </c>
      <c r="X4" s="5">
        <v>0</v>
      </c>
      <c r="Y4" s="5">
        <v>2</v>
      </c>
      <c r="Z4" s="5">
        <v>0</v>
      </c>
      <c r="AA4" s="5">
        <v>4</v>
      </c>
      <c r="AB4" s="5">
        <v>5</v>
      </c>
      <c r="AC4" s="5">
        <v>0</v>
      </c>
      <c r="AD4" s="12" t="str">
        <f t="shared" ref="AD4:AD7" si="6">CONCATENATE(IF(X4=0,"","0/"),IF(Y4=0,"","1/"),IF(Z4=0,"","2/"),IF(AA4=0,"","3/"),IF(AB4=0,"","4/"),IF(AC4=0,"","5/"))</f>
        <v>1/3/4/</v>
      </c>
      <c r="AE4" s="12" t="str">
        <f t="shared" ref="AE4:AE7" si="7">CONCATENATE(IF(X4=0,"",CONCATENATE(X4,"/")),IF(Y4=0,"",CONCATENATE(Y4,"/")),IF(Z4=0,"",CONCATENATE(Z4,"/")),IF(AA4=0,"",CONCATENATE(AA4,"/")),IF(AB4=0,"",CONCATENATE(AB4,"/")),IF(AC4=0,"",CONCATENATE(AC4,"/")))</f>
        <v>2/4/5/</v>
      </c>
      <c r="AF4" s="6">
        <v>1</v>
      </c>
      <c r="AG4" s="5">
        <v>10</v>
      </c>
      <c r="AH4" s="5">
        <v>5</v>
      </c>
      <c r="AI4" s="12" t="str">
        <f t="shared" ref="AI4:AI7" si="8">CONCATENATE(AG4,"/",AH4)</f>
        <v>10/5</v>
      </c>
    </row>
    <row r="5" spans="1:35" s="8" customFormat="1" ht="21.95" customHeight="1">
      <c r="A5" s="9">
        <v>3</v>
      </c>
      <c r="B5" s="6">
        <v>3</v>
      </c>
      <c r="C5" s="6">
        <v>0</v>
      </c>
      <c r="D5" s="6">
        <v>10</v>
      </c>
      <c r="E5" s="12" t="str">
        <f t="shared" si="0"/>
        <v>1/10</v>
      </c>
      <c r="F5" s="5">
        <v>0</v>
      </c>
      <c r="G5" s="5">
        <v>100</v>
      </c>
      <c r="H5" s="5">
        <v>100</v>
      </c>
      <c r="I5" s="5">
        <v>0</v>
      </c>
      <c r="J5" s="5">
        <v>100</v>
      </c>
      <c r="K5" s="5">
        <v>100</v>
      </c>
      <c r="L5" s="12" t="str">
        <f t="shared" si="1"/>
        <v>0,100,100,0,100,100</v>
      </c>
      <c r="M5" s="6" t="s">
        <v>55</v>
      </c>
      <c r="N5" s="12">
        <f t="shared" si="2"/>
        <v>3</v>
      </c>
      <c r="O5" s="5">
        <v>500</v>
      </c>
      <c r="P5" s="5">
        <v>1200</v>
      </c>
      <c r="Q5" s="5">
        <v>2300</v>
      </c>
      <c r="R5" s="12" t="str">
        <f t="shared" si="3"/>
        <v>500/1200/2300</v>
      </c>
      <c r="S5" s="6">
        <v>3</v>
      </c>
      <c r="T5" s="6">
        <v>5</v>
      </c>
      <c r="U5" s="6">
        <v>0</v>
      </c>
      <c r="V5" s="12" t="str">
        <f t="shared" si="4"/>
        <v>0/</v>
      </c>
      <c r="W5" s="12" t="str">
        <f t="shared" si="5"/>
        <v>5/</v>
      </c>
      <c r="X5" s="5">
        <v>0</v>
      </c>
      <c r="Y5" s="5">
        <v>2</v>
      </c>
      <c r="Z5" s="5">
        <v>3</v>
      </c>
      <c r="AA5" s="5">
        <v>0</v>
      </c>
      <c r="AB5" s="5">
        <v>0</v>
      </c>
      <c r="AC5" s="5">
        <v>0</v>
      </c>
      <c r="AD5" s="12" t="str">
        <f t="shared" si="6"/>
        <v>1/2/</v>
      </c>
      <c r="AE5" s="12" t="str">
        <f t="shared" si="7"/>
        <v>2/3/</v>
      </c>
      <c r="AF5" s="6">
        <v>1</v>
      </c>
      <c r="AG5" s="5">
        <v>10</v>
      </c>
      <c r="AH5" s="5">
        <v>5</v>
      </c>
      <c r="AI5" s="12" t="str">
        <f t="shared" si="8"/>
        <v>10/5</v>
      </c>
    </row>
    <row r="6" spans="1:35" s="8" customFormat="1" ht="21.95" customHeight="1">
      <c r="A6" s="9">
        <v>4</v>
      </c>
      <c r="B6" s="6">
        <v>4</v>
      </c>
      <c r="C6" s="6">
        <v>0</v>
      </c>
      <c r="D6" s="6">
        <v>10</v>
      </c>
      <c r="E6" s="12" t="str">
        <f t="shared" si="0"/>
        <v>1/10</v>
      </c>
      <c r="F6" s="5">
        <v>100</v>
      </c>
      <c r="G6" s="5">
        <v>100</v>
      </c>
      <c r="H6" s="5">
        <v>100</v>
      </c>
      <c r="I6" s="5">
        <v>100</v>
      </c>
      <c r="J6" s="5">
        <v>0</v>
      </c>
      <c r="K6" s="5">
        <v>0</v>
      </c>
      <c r="L6" s="12" t="str">
        <f t="shared" si="1"/>
        <v>100,100,100,100,0,0</v>
      </c>
      <c r="M6" s="6" t="s">
        <v>56</v>
      </c>
      <c r="N6" s="12">
        <f t="shared" si="2"/>
        <v>4</v>
      </c>
      <c r="O6" s="5">
        <v>500</v>
      </c>
      <c r="P6" s="5">
        <v>1200</v>
      </c>
      <c r="Q6" s="5">
        <v>2300</v>
      </c>
      <c r="R6" s="12" t="str">
        <f t="shared" si="3"/>
        <v>500/1200/2300</v>
      </c>
      <c r="S6" s="6">
        <v>3</v>
      </c>
      <c r="T6" s="6">
        <v>2</v>
      </c>
      <c r="U6" s="6">
        <v>0</v>
      </c>
      <c r="V6" s="12" t="str">
        <f t="shared" si="4"/>
        <v>0/</v>
      </c>
      <c r="W6" s="12" t="str">
        <f t="shared" si="5"/>
        <v>2/</v>
      </c>
      <c r="X6" s="5">
        <v>0</v>
      </c>
      <c r="Y6" s="5">
        <v>2</v>
      </c>
      <c r="Z6" s="5">
        <v>3</v>
      </c>
      <c r="AA6" s="5">
        <v>4</v>
      </c>
      <c r="AB6" s="5">
        <v>0</v>
      </c>
      <c r="AC6" s="5">
        <v>0</v>
      </c>
      <c r="AD6" s="12" t="str">
        <f t="shared" si="6"/>
        <v>1/2/3/</v>
      </c>
      <c r="AE6" s="12" t="str">
        <f t="shared" si="7"/>
        <v>2/3/4/</v>
      </c>
      <c r="AF6" s="6">
        <v>1</v>
      </c>
      <c r="AG6" s="5">
        <v>10</v>
      </c>
      <c r="AH6" s="5">
        <v>5</v>
      </c>
      <c r="AI6" s="12" t="str">
        <f t="shared" si="8"/>
        <v>10/5</v>
      </c>
    </row>
    <row r="7" spans="1:35" s="8" customFormat="1" ht="21.95" customHeight="1">
      <c r="A7" s="9">
        <v>5</v>
      </c>
      <c r="B7" s="6">
        <v>5</v>
      </c>
      <c r="C7" s="6">
        <v>10</v>
      </c>
      <c r="D7" s="6">
        <v>0</v>
      </c>
      <c r="E7" s="12" t="str">
        <f t="shared" si="0"/>
        <v>0/10</v>
      </c>
      <c r="F7" s="5">
        <v>0</v>
      </c>
      <c r="G7" s="5">
        <v>100</v>
      </c>
      <c r="H7" s="5">
        <v>100</v>
      </c>
      <c r="I7" s="5">
        <v>100</v>
      </c>
      <c r="J7" s="5">
        <v>100</v>
      </c>
      <c r="K7" s="5">
        <v>100</v>
      </c>
      <c r="L7" s="12" t="str">
        <f t="shared" si="1"/>
        <v>0,100,100,100,100,100</v>
      </c>
      <c r="M7" s="6" t="s">
        <v>57</v>
      </c>
      <c r="N7" s="12">
        <f t="shared" si="2"/>
        <v>5</v>
      </c>
      <c r="O7" s="5">
        <v>500</v>
      </c>
      <c r="P7" s="5">
        <v>1200</v>
      </c>
      <c r="Q7" s="5">
        <v>2300</v>
      </c>
      <c r="R7" s="12" t="str">
        <f t="shared" si="3"/>
        <v>500/1200/2300</v>
      </c>
      <c r="S7" s="6">
        <v>3</v>
      </c>
      <c r="T7" s="6">
        <v>0</v>
      </c>
      <c r="U7" s="6">
        <v>1</v>
      </c>
      <c r="V7" s="12" t="str">
        <f t="shared" si="4"/>
        <v>1/</v>
      </c>
      <c r="W7" s="12" t="str">
        <f t="shared" si="5"/>
        <v>1/</v>
      </c>
      <c r="X7" s="5">
        <v>0</v>
      </c>
      <c r="Y7" s="5">
        <v>2</v>
      </c>
      <c r="Z7" s="5">
        <v>0</v>
      </c>
      <c r="AA7" s="5">
        <v>0</v>
      </c>
      <c r="AB7" s="5">
        <v>5</v>
      </c>
      <c r="AC7" s="5">
        <v>0</v>
      </c>
      <c r="AD7" s="12" t="str">
        <f t="shared" si="6"/>
        <v>1/4/</v>
      </c>
      <c r="AE7" s="12" t="str">
        <f t="shared" si="7"/>
        <v>2/5/</v>
      </c>
      <c r="AF7" s="6">
        <v>1</v>
      </c>
      <c r="AG7" s="5">
        <v>10</v>
      </c>
      <c r="AH7" s="5">
        <v>5</v>
      </c>
      <c r="AI7" s="12" t="str">
        <f t="shared" si="8"/>
        <v>10/5</v>
      </c>
    </row>
    <row r="8" spans="1:35" s="8" customFormat="1" ht="21.95" customHeight="1">
      <c r="A8" s="9">
        <v>5</v>
      </c>
      <c r="B8" s="6">
        <v>6</v>
      </c>
      <c r="C8" s="6">
        <v>10</v>
      </c>
      <c r="D8" s="6">
        <v>0</v>
      </c>
      <c r="E8" s="12" t="str">
        <f t="shared" ref="E8:E10" si="9">IF(C8=0,CONCATENATE("1/",D8),CONCATENATE("0/",C8))</f>
        <v>0/10</v>
      </c>
      <c r="F8" s="5">
        <v>0</v>
      </c>
      <c r="G8" s="5">
        <v>100</v>
      </c>
      <c r="H8" s="5">
        <v>100</v>
      </c>
      <c r="I8" s="5">
        <v>100</v>
      </c>
      <c r="J8" s="5">
        <v>100</v>
      </c>
      <c r="K8" s="5">
        <v>100</v>
      </c>
      <c r="L8" s="12" t="str">
        <f t="shared" ref="L8:L10" si="10">CONCATENATE(F8,",",G8,",",H8,",",I8,",",J8,",",K8)</f>
        <v>0,100,100,100,100,100</v>
      </c>
      <c r="M8" s="6" t="s">
        <v>58</v>
      </c>
      <c r="N8" s="12">
        <f t="shared" si="2"/>
        <v>6</v>
      </c>
      <c r="O8" s="5">
        <v>500</v>
      </c>
      <c r="P8" s="5">
        <v>1200</v>
      </c>
      <c r="Q8" s="5">
        <v>2300</v>
      </c>
      <c r="R8" s="12" t="str">
        <f t="shared" ref="R8:R10" si="11">CONCATENATE(O8,"/",P8,"/",Q8)</f>
        <v>500/1200/2300</v>
      </c>
      <c r="S8" s="6">
        <v>3</v>
      </c>
      <c r="T8" s="6">
        <v>0</v>
      </c>
      <c r="U8" s="6">
        <v>1</v>
      </c>
      <c r="V8" s="12" t="str">
        <f t="shared" ref="V8:V10" si="12">CONCATENATE(IF(T8=0,"","0/"),IF(U8=0,"","1/"))</f>
        <v>1/</v>
      </c>
      <c r="W8" s="12" t="str">
        <f t="shared" ref="W8:W10" si="13">CONCATENATE(IF(T8=0,"",CONCATENATE(T8,"/")),IF(U8=0,"",CONCATENATE(U8,"/")))</f>
        <v>1/</v>
      </c>
      <c r="X8" s="5">
        <v>0</v>
      </c>
      <c r="Y8" s="5">
        <v>2</v>
      </c>
      <c r="Z8" s="5">
        <v>0</v>
      </c>
      <c r="AA8" s="5">
        <v>0</v>
      </c>
      <c r="AB8" s="5">
        <v>5</v>
      </c>
      <c r="AC8" s="5">
        <v>0</v>
      </c>
      <c r="AD8" s="12" t="str">
        <f t="shared" ref="AD8:AD10" si="14">CONCATENATE(IF(X8=0,"","0/"),IF(Y8=0,"","1/"),IF(Z8=0,"","2/"),IF(AA8=0,"","3/"),IF(AB8=0,"","4/"),IF(AC8=0,"","5/"))</f>
        <v>1/4/</v>
      </c>
      <c r="AE8" s="12" t="str">
        <f t="shared" ref="AE8:AE10" si="15">CONCATENATE(IF(X8=0,"",CONCATENATE(X8,"/")),IF(Y8=0,"",CONCATENATE(Y8,"/")),IF(Z8=0,"",CONCATENATE(Z8,"/")),IF(AA8=0,"",CONCATENATE(AA8,"/")),IF(AB8=0,"",CONCATENATE(AB8,"/")),IF(AC8=0,"",CONCATENATE(AC8,"/")))</f>
        <v>2/5/</v>
      </c>
      <c r="AF8" s="6">
        <v>1</v>
      </c>
      <c r="AG8" s="5">
        <v>10</v>
      </c>
      <c r="AH8" s="5">
        <v>5</v>
      </c>
      <c r="AI8" s="12" t="str">
        <f t="shared" ref="AI8:AI10" si="16">CONCATENATE(AG8,"/",AH8)</f>
        <v>10/5</v>
      </c>
    </row>
    <row r="9" spans="1:35" s="8" customFormat="1" ht="21.95" customHeight="1">
      <c r="A9" s="9">
        <v>5</v>
      </c>
      <c r="B9" s="6">
        <v>7</v>
      </c>
      <c r="C9" s="6">
        <v>10</v>
      </c>
      <c r="D9" s="6">
        <v>0</v>
      </c>
      <c r="E9" s="12" t="str">
        <f t="shared" si="9"/>
        <v>0/10</v>
      </c>
      <c r="F9" s="5">
        <v>0</v>
      </c>
      <c r="G9" s="5">
        <v>100</v>
      </c>
      <c r="H9" s="5">
        <v>100</v>
      </c>
      <c r="I9" s="5">
        <v>100</v>
      </c>
      <c r="J9" s="5">
        <v>100</v>
      </c>
      <c r="K9" s="5">
        <v>100</v>
      </c>
      <c r="L9" s="12" t="str">
        <f t="shared" si="10"/>
        <v>0,100,100,100,100,100</v>
      </c>
      <c r="M9" s="6" t="s">
        <v>53</v>
      </c>
      <c r="N9" s="12">
        <f t="shared" si="2"/>
        <v>1</v>
      </c>
      <c r="O9" s="5">
        <v>500</v>
      </c>
      <c r="P9" s="5">
        <v>1200</v>
      </c>
      <c r="Q9" s="5">
        <v>2300</v>
      </c>
      <c r="R9" s="12" t="str">
        <f t="shared" si="11"/>
        <v>500/1200/2300</v>
      </c>
      <c r="S9" s="6">
        <v>3</v>
      </c>
      <c r="T9" s="6">
        <v>0</v>
      </c>
      <c r="U9" s="6">
        <v>1</v>
      </c>
      <c r="V9" s="12" t="str">
        <f t="shared" si="12"/>
        <v>1/</v>
      </c>
      <c r="W9" s="12" t="str">
        <f t="shared" si="13"/>
        <v>1/</v>
      </c>
      <c r="X9" s="5">
        <v>0</v>
      </c>
      <c r="Y9" s="5">
        <v>2</v>
      </c>
      <c r="Z9" s="5">
        <v>0</v>
      </c>
      <c r="AA9" s="5">
        <v>0</v>
      </c>
      <c r="AB9" s="5">
        <v>5</v>
      </c>
      <c r="AC9" s="5">
        <v>0</v>
      </c>
      <c r="AD9" s="12" t="str">
        <f t="shared" si="14"/>
        <v>1/4/</v>
      </c>
      <c r="AE9" s="12" t="str">
        <f t="shared" si="15"/>
        <v>2/5/</v>
      </c>
      <c r="AF9" s="6">
        <v>1</v>
      </c>
      <c r="AG9" s="5">
        <v>10</v>
      </c>
      <c r="AH9" s="5">
        <v>5</v>
      </c>
      <c r="AI9" s="12" t="str">
        <f t="shared" si="16"/>
        <v>10/5</v>
      </c>
    </row>
    <row r="10" spans="1:35" s="8" customFormat="1" ht="21.95" customHeight="1">
      <c r="A10" s="9">
        <v>5</v>
      </c>
      <c r="B10" s="6">
        <v>8</v>
      </c>
      <c r="C10" s="6">
        <v>10</v>
      </c>
      <c r="D10" s="6">
        <v>0</v>
      </c>
      <c r="E10" s="12" t="str">
        <f t="shared" si="9"/>
        <v>0/10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5">
        <v>100</v>
      </c>
      <c r="L10" s="12" t="str">
        <f t="shared" si="10"/>
        <v>0,100,100,100,100,100</v>
      </c>
      <c r="M10" s="6" t="s">
        <v>53</v>
      </c>
      <c r="N10" s="12">
        <f t="shared" si="2"/>
        <v>1</v>
      </c>
      <c r="O10" s="5">
        <v>500</v>
      </c>
      <c r="P10" s="5">
        <v>1200</v>
      </c>
      <c r="Q10" s="5">
        <v>2300</v>
      </c>
      <c r="R10" s="12" t="str">
        <f t="shared" si="11"/>
        <v>500/1200/2300</v>
      </c>
      <c r="S10" s="6">
        <v>3</v>
      </c>
      <c r="T10" s="6">
        <v>0</v>
      </c>
      <c r="U10" s="6">
        <v>1</v>
      </c>
      <c r="V10" s="12" t="str">
        <f t="shared" si="12"/>
        <v>1/</v>
      </c>
      <c r="W10" s="12" t="str">
        <f t="shared" si="13"/>
        <v>1/</v>
      </c>
      <c r="X10" s="5">
        <v>0</v>
      </c>
      <c r="Y10" s="5">
        <v>2</v>
      </c>
      <c r="Z10" s="5">
        <v>0</v>
      </c>
      <c r="AA10" s="5">
        <v>0</v>
      </c>
      <c r="AB10" s="5">
        <v>5</v>
      </c>
      <c r="AC10" s="5">
        <v>0</v>
      </c>
      <c r="AD10" s="12" t="str">
        <f t="shared" si="14"/>
        <v>1/4/</v>
      </c>
      <c r="AE10" s="12" t="str">
        <f t="shared" si="15"/>
        <v>2/5/</v>
      </c>
      <c r="AF10" s="6">
        <v>1</v>
      </c>
      <c r="AG10" s="5">
        <v>10</v>
      </c>
      <c r="AH10" s="5">
        <v>5</v>
      </c>
      <c r="AI10" s="12" t="str">
        <f t="shared" si="16"/>
        <v>10/5</v>
      </c>
    </row>
    <row r="12" spans="1:35" s="8" customFormat="1" ht="21.95" customHeight="1">
      <c r="A12" s="2">
        <v>1</v>
      </c>
      <c r="B12" s="3">
        <v>2</v>
      </c>
      <c r="C12" s="2">
        <v>3</v>
      </c>
      <c r="D12" s="2">
        <v>4</v>
      </c>
      <c r="E12" s="11">
        <v>5</v>
      </c>
      <c r="F12" s="13">
        <v>6</v>
      </c>
      <c r="G12" s="13">
        <v>7</v>
      </c>
      <c r="H12" s="13">
        <v>8</v>
      </c>
      <c r="I12" s="13">
        <v>9</v>
      </c>
      <c r="J12" s="13">
        <v>10</v>
      </c>
      <c r="K12" s="13">
        <v>11</v>
      </c>
      <c r="L12" s="11">
        <v>12</v>
      </c>
      <c r="M12" s="2">
        <v>13</v>
      </c>
      <c r="N12" s="11">
        <v>14</v>
      </c>
      <c r="O12" s="13">
        <v>15</v>
      </c>
      <c r="P12" s="13">
        <v>16</v>
      </c>
      <c r="Q12" s="13">
        <v>17</v>
      </c>
      <c r="R12" s="11">
        <v>18</v>
      </c>
      <c r="S12" s="3">
        <v>19</v>
      </c>
      <c r="T12" s="2">
        <v>20</v>
      </c>
      <c r="U12" s="2">
        <v>21</v>
      </c>
      <c r="V12" s="11">
        <v>22</v>
      </c>
      <c r="W12" s="11">
        <v>23</v>
      </c>
      <c r="X12" s="13">
        <v>24</v>
      </c>
      <c r="Y12" s="13">
        <v>25</v>
      </c>
      <c r="Z12" s="13">
        <v>26</v>
      </c>
      <c r="AA12" s="13">
        <v>27</v>
      </c>
      <c r="AB12" s="13">
        <v>28</v>
      </c>
      <c r="AC12" s="13">
        <v>29</v>
      </c>
      <c r="AD12" s="11">
        <v>30</v>
      </c>
      <c r="AE12" s="11">
        <v>31</v>
      </c>
      <c r="AF12" s="3">
        <v>32</v>
      </c>
      <c r="AG12" s="13">
        <v>33</v>
      </c>
      <c r="AH12" s="13">
        <v>34</v>
      </c>
      <c r="AI12" s="11">
        <v>35</v>
      </c>
    </row>
    <row r="13" spans="1:35" s="8" customFormat="1" ht="21.95" customHeight="1">
      <c r="A13" s="4"/>
      <c r="F13" s="10"/>
      <c r="G13" s="10"/>
      <c r="H13" s="10"/>
      <c r="I13" s="10"/>
      <c r="J13" s="10"/>
      <c r="K13" s="10"/>
      <c r="O13" s="10"/>
      <c r="P13" s="10"/>
      <c r="Q13" s="10"/>
      <c r="X13" s="10"/>
      <c r="Y13" s="10"/>
      <c r="Z13" s="10"/>
      <c r="AA13" s="10"/>
      <c r="AB13" s="10"/>
      <c r="AC13" s="10"/>
      <c r="AG13" s="10"/>
      <c r="AH13" s="10"/>
    </row>
    <row r="14" spans="1:35" ht="21.95" customHeight="1">
      <c r="M14" s="14" t="s">
        <v>31</v>
      </c>
      <c r="N14" s="14">
        <v>1</v>
      </c>
    </row>
    <row r="15" spans="1:35" ht="21.95" customHeight="1">
      <c r="M15" s="14" t="s">
        <v>32</v>
      </c>
      <c r="N15" s="14">
        <v>2</v>
      </c>
    </row>
    <row r="16" spans="1:35" ht="21.95" customHeight="1">
      <c r="M16" s="14" t="s">
        <v>33</v>
      </c>
      <c r="N16" s="14">
        <v>3</v>
      </c>
    </row>
    <row r="17" spans="13:14" ht="21.95" customHeight="1">
      <c r="M17" s="14" t="s">
        <v>34</v>
      </c>
      <c r="N17" s="14">
        <v>4</v>
      </c>
    </row>
    <row r="18" spans="13:14" ht="21.95" customHeight="1">
      <c r="M18" s="14" t="s">
        <v>35</v>
      </c>
      <c r="N18" s="14">
        <v>5</v>
      </c>
    </row>
    <row r="19" spans="13:14" ht="21.95" customHeight="1">
      <c r="M19" s="14" t="s">
        <v>36</v>
      </c>
      <c r="N19" s="14">
        <v>6</v>
      </c>
    </row>
    <row r="20" spans="13:14" ht="21.95" customHeight="1">
      <c r="M20" s="14" t="s">
        <v>52</v>
      </c>
      <c r="N20" s="14"/>
    </row>
    <row r="21" spans="13:14" ht="21.95" customHeight="1">
      <c r="M21" s="14"/>
      <c r="N21" s="14"/>
    </row>
  </sheetData>
  <phoneticPr fontId="0" type="noConversion"/>
  <dataValidations count="1">
    <dataValidation type="list" allowBlank="1" showInputMessage="1" showErrorMessage="1" sqref="M3:M10">
      <formula1>$M$14:$M$21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9"/>
  <sheetViews>
    <sheetView workbookViewId="0">
      <selection activeCell="B8" sqref="B8"/>
    </sheetView>
  </sheetViews>
  <sheetFormatPr defaultRowHeight="13.5"/>
  <sheetData>
    <row r="1" spans="1:12">
      <c r="A1" t="s">
        <v>85</v>
      </c>
      <c r="B1" t="s">
        <v>86</v>
      </c>
      <c r="C1" t="s">
        <v>87</v>
      </c>
      <c r="D1" t="s">
        <v>88</v>
      </c>
      <c r="E1" t="s">
        <v>89</v>
      </c>
      <c r="F1" t="s">
        <v>90</v>
      </c>
      <c r="G1" t="s">
        <v>91</v>
      </c>
      <c r="H1" t="s">
        <v>92</v>
      </c>
      <c r="I1" t="s">
        <v>93</v>
      </c>
      <c r="J1" t="s">
        <v>94</v>
      </c>
      <c r="K1" t="s">
        <v>95</v>
      </c>
      <c r="L1" t="s">
        <v>92</v>
      </c>
    </row>
    <row r="2" spans="1:12">
      <c r="A2">
        <v>1</v>
      </c>
      <c r="B2" t="s">
        <v>60</v>
      </c>
      <c r="C2" t="s">
        <v>61</v>
      </c>
      <c r="D2">
        <v>1</v>
      </c>
      <c r="E2" t="s">
        <v>62</v>
      </c>
      <c r="F2">
        <v>3</v>
      </c>
      <c r="G2" t="s">
        <v>63</v>
      </c>
      <c r="H2" t="s">
        <v>64</v>
      </c>
      <c r="I2" t="s">
        <v>65</v>
      </c>
      <c r="J2" t="s">
        <v>66</v>
      </c>
      <c r="K2">
        <v>1</v>
      </c>
      <c r="L2" t="s">
        <v>67</v>
      </c>
    </row>
    <row r="3" spans="1:12">
      <c r="A3">
        <v>2</v>
      </c>
      <c r="B3" t="s">
        <v>68</v>
      </c>
      <c r="C3" t="s">
        <v>69</v>
      </c>
      <c r="D3">
        <v>2</v>
      </c>
      <c r="E3" t="s">
        <v>62</v>
      </c>
      <c r="F3">
        <v>3</v>
      </c>
      <c r="G3" t="s">
        <v>70</v>
      </c>
      <c r="H3" t="s">
        <v>71</v>
      </c>
      <c r="I3" t="s">
        <v>72</v>
      </c>
      <c r="J3" t="s">
        <v>73</v>
      </c>
      <c r="K3">
        <v>1</v>
      </c>
      <c r="L3" t="s">
        <v>67</v>
      </c>
    </row>
    <row r="4" spans="1:12">
      <c r="A4">
        <v>3</v>
      </c>
      <c r="B4" t="s">
        <v>68</v>
      </c>
      <c r="C4" t="s">
        <v>74</v>
      </c>
      <c r="D4">
        <v>3</v>
      </c>
      <c r="E4" t="s">
        <v>62</v>
      </c>
      <c r="F4">
        <v>3</v>
      </c>
      <c r="G4" t="s">
        <v>75</v>
      </c>
      <c r="H4" t="s">
        <v>71</v>
      </c>
      <c r="I4" t="s">
        <v>76</v>
      </c>
      <c r="J4" t="s">
        <v>77</v>
      </c>
      <c r="K4">
        <v>1</v>
      </c>
      <c r="L4" t="s">
        <v>67</v>
      </c>
    </row>
    <row r="5" spans="1:12">
      <c r="A5">
        <v>4</v>
      </c>
      <c r="B5" t="s">
        <v>68</v>
      </c>
      <c r="C5" t="s">
        <v>78</v>
      </c>
      <c r="D5">
        <v>4</v>
      </c>
      <c r="E5" t="s">
        <v>62</v>
      </c>
      <c r="F5">
        <v>3</v>
      </c>
      <c r="G5" t="s">
        <v>75</v>
      </c>
      <c r="H5" t="s">
        <v>79</v>
      </c>
      <c r="I5" t="s">
        <v>80</v>
      </c>
      <c r="J5" t="s">
        <v>81</v>
      </c>
      <c r="K5">
        <v>1</v>
      </c>
      <c r="L5" t="s">
        <v>67</v>
      </c>
    </row>
    <row r="6" spans="1:12">
      <c r="A6">
        <v>5</v>
      </c>
      <c r="B6" t="s">
        <v>82</v>
      </c>
      <c r="C6" t="s">
        <v>61</v>
      </c>
      <c r="D6">
        <v>5</v>
      </c>
      <c r="E6" t="s">
        <v>62</v>
      </c>
      <c r="F6">
        <v>3</v>
      </c>
      <c r="G6" t="s">
        <v>70</v>
      </c>
      <c r="H6" t="s">
        <v>70</v>
      </c>
      <c r="I6" t="s">
        <v>83</v>
      </c>
      <c r="J6" t="s">
        <v>84</v>
      </c>
      <c r="K6">
        <v>1</v>
      </c>
      <c r="L6" t="s">
        <v>67</v>
      </c>
    </row>
    <row r="7" spans="1:12">
      <c r="A7">
        <v>6</v>
      </c>
      <c r="B7" t="s">
        <v>82</v>
      </c>
      <c r="C7" t="s">
        <v>61</v>
      </c>
      <c r="D7">
        <v>6</v>
      </c>
      <c r="E7" t="s">
        <v>62</v>
      </c>
      <c r="F7">
        <v>3</v>
      </c>
      <c r="G7" t="s">
        <v>70</v>
      </c>
      <c r="H7" t="s">
        <v>70</v>
      </c>
      <c r="I7" t="s">
        <v>83</v>
      </c>
      <c r="J7" t="s">
        <v>84</v>
      </c>
      <c r="K7">
        <v>1</v>
      </c>
      <c r="L7" t="s">
        <v>67</v>
      </c>
    </row>
    <row r="8" spans="1:12">
      <c r="A8">
        <v>7</v>
      </c>
      <c r="B8" t="s">
        <v>82</v>
      </c>
      <c r="C8" t="s">
        <v>61</v>
      </c>
      <c r="D8">
        <v>1</v>
      </c>
      <c r="E8" t="s">
        <v>62</v>
      </c>
      <c r="F8">
        <v>3</v>
      </c>
      <c r="G8" t="s">
        <v>70</v>
      </c>
      <c r="H8" t="s">
        <v>70</v>
      </c>
      <c r="I8" t="s">
        <v>83</v>
      </c>
      <c r="J8" t="s">
        <v>84</v>
      </c>
      <c r="K8">
        <v>1</v>
      </c>
      <c r="L8" t="s">
        <v>67</v>
      </c>
    </row>
    <row r="9" spans="1:12">
      <c r="A9">
        <v>8</v>
      </c>
      <c r="B9" t="s">
        <v>82</v>
      </c>
      <c r="C9" t="s">
        <v>61</v>
      </c>
      <c r="D9">
        <v>1</v>
      </c>
      <c r="E9" t="s">
        <v>62</v>
      </c>
      <c r="F9">
        <v>3</v>
      </c>
      <c r="G9" t="s">
        <v>70</v>
      </c>
      <c r="H9" t="s">
        <v>70</v>
      </c>
      <c r="I9" t="s">
        <v>83</v>
      </c>
      <c r="J9" t="s">
        <v>84</v>
      </c>
      <c r="K9">
        <v>1</v>
      </c>
      <c r="L9" t="s">
        <v>67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2017-07-30T07:16:52Z</dcterms:modified>
</cp:coreProperties>
</file>