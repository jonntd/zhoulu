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A11" i="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<sst xmlns="http://schemas.openxmlformats.org/spreadsheetml/2006/main" count="989" uniqueCount="100">
  <si>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</si>
  <si>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</si>
  <si>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</si>
  <si>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</si>
  <si>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</si>
  <si>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</si>
  <si>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</si>
  <si>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</si>
  <si>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</si>
  <si>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</si>
  <si>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</si>
  <si>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</si>
  <si>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</si>
  <si>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</si>
  <si>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</si>
  <si>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</si>
  <si>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</si>
  <si>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</si>
  <si>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</si>
  <si>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</si>
  <si>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</si>
  <si>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</si>
  <si>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</si>
  <si>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</si>
  <si>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</si>
  <si>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</si>
  <si>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</si>
  <si>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</si>
  <si>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</si>
  <si>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</si>
  <si>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</si>
  <si>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</si>
  <si>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</si>
  <si>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</si>
  <si>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</si>
  <si>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</si>
  <si>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</si>
  <si>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</si>
  <si>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</si>
  <si>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</si>
  <si>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</si>
  <si>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</si>
  <si>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</si>
  <si>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</si>
  <si>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</si>
  <si>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</si>
  <si>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</si>
  <si>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</si>
  <si>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</si>
  <si>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</si>
  <si>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</si>
  <si>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</si>
  <si>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</si>
  <si>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</si>
  <si>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</si>
  <si>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</si>
  <si>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</si>
  <si>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</si>
  <si>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</si>
  <si>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</si>
  <si>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</si>
  <si>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</si>
  <si>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</si>
  <si>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</si>
  <si>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</si>
  <si>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</si>
  <si>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</si>
  <si>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</si>
  <si>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</si>
  <si>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</si>
  <si>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</si>
  <si>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</si>
  <si>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</si>
  <si>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</si>
  <si>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0,100,100,100,100,100</t>
    <phoneticPr fontId="9" type="noConversion"/>
  </si>
  <si>
    <t>500/1200/2300</t>
    <phoneticPr fontId="9" type="noConversion"/>
  </si>
  <si>
    <t>1/2/</t>
    <phoneticPr fontId="9" type="noConversion"/>
  </si>
  <si>
    <t>10/10/</t>
    <phoneticPr fontId="9" type="noConversion"/>
  </si>
  <si>
    <t>10/5</t>
    <phoneticPr fontId="9" type="noConversion"/>
  </si>
  <si>
    <t>1/30</t>
    <phoneticPr fontId="9" type="noConversion"/>
  </si>
  <si>
    <t>100,0,100,100,100,100</t>
    <phoneticPr fontId="9" type="noConversion"/>
  </si>
  <si>
    <t>2/3/</t>
    <phoneticPr fontId="9" type="noConversion"/>
  </si>
  <si>
    <t>0/20</t>
    <phoneticPr fontId="9" type="noConversion"/>
  </si>
  <si>
    <t>100,100,0,100,100,100</t>
    <phoneticPr fontId="9" type="noConversion"/>
  </si>
  <si>
    <t>3/4/</t>
    <phoneticPr fontId="9" type="noConversion"/>
  </si>
  <si>
    <t>100,100,100,0,100,100</t>
    <phoneticPr fontId="9" type="noConversion"/>
  </si>
  <si>
    <t>4/5/</t>
    <phoneticPr fontId="9" type="noConversion"/>
  </si>
  <si>
    <t>0/30</t>
    <phoneticPr fontId="9" type="noConversion"/>
  </si>
  <si>
    <t>100,100,100,100,0,100</t>
    <phoneticPr fontId="9" type="noConversion"/>
  </si>
  <si>
    <t>0/5/</t>
    <phoneticPr fontId="9" type="noConversion"/>
  </si>
  <si>
    <t>100,100,100,100,100,0</t>
    <phoneticPr fontId="9" type="noConversion"/>
  </si>
  <si>
    <t>0/1/</t>
    <phoneticPr fontId="9" type="noConversion"/>
  </si>
  <si>
    <t>0/</t>
    <phoneticPr fontId="9" type="noConversion"/>
  </si>
  <si>
    <t>3/</t>
    <phoneticPr fontId="9" type="noConversion"/>
  </si>
  <si>
    <t>1/</t>
    <phoneticPr fontId="9" type="noConversion"/>
  </si>
  <si>
    <t>2/2/</t>
    <phoneticPr fontId="9" type="noConversion"/>
  </si>
  <si>
    <t>1/3/</t>
    <phoneticPr fontId="9" type="noConversion"/>
  </si>
  <si>
    <t>3/3/</t>
    <phoneticPr fontId="9" type="noConversion"/>
  </si>
  <si>
    <t>2/</t>
    <phoneticPr fontId="9" type="noConversion"/>
  </si>
  <si>
    <t>4/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</si>
</sst>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111"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13"/>
  <sheetViews>
    <sheetView tabSelected="1" zoomScale="85" zoomScaleNormal="85" workbookViewId="0">
      <pane xSplit="3" ySplit="1" topLeftCell="D38" activePane="bottomRight" state="frozen"/>
      <selection pane="topRight" activeCell="D1" sqref="D1"/>
      <selection pane="bottomLeft" activeCell="A3" sqref="A3"/>
      <selection pane="bottomRight" activeCell="B63" sqref="B63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3" t="s">
        <v>39</v>
      </c>
      <c r="P1" s="13" t="s">
        <v>40</v>
      </c>
      <c r="Q1" s="13" t="s">
        <v>41</v>
      </c>
      <c r="R1" s="13" t="s">
        <v>42</v>
      </c>
      <c r="S1" s="13" t="s">
        <v>43</v>
      </c>
      <c r="T1" s="13" t="s">
        <v>44</v>
      </c>
      <c r="U1" s="3" t="s">
        <v>58</v>
      </c>
      <c r="V1" s="13" t="s">
        <v>50</v>
      </c>
      <c r="W1" s="13" t="s">
        <v>49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47</v>
      </c>
      <c r="AH1" s="11" t="s">
        <v>61</v>
      </c>
      <c r="AI1" s="11" t="s">
        <v>60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2" t="s">
        <v>4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3" t="s">
        <v>48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45</v>
      </c>
      <c r="AH2" s="11" t="s">
        <v>46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17" t="s">
        <v>52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1200</v>
      </c>
      <c r="Z3" s="16">
        <v>2300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0,100,100,100,100,100</v>
      </c>
      <c r="AC3" s="12">
        <f t="shared" ref="AC3:AC34" si="1">VLOOKUP(K3,$I$106:$J$113,2,FALSE)</f>
        <v>0</v>
      </c>
      <c r="AD3" s="12" t="str">
        <f t="shared" ref="AD3:AD34" si="2">CONCATENATE(X3,"/",Y3,"/",Z3)</f>
        <v>500/1200/2300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0</v>
      </c>
      <c r="D4" s="6">
        <v>30</v>
      </c>
      <c r="E4" s="5">
        <v>100</v>
      </c>
      <c r="F4" s="5">
        <v>0</v>
      </c>
      <c r="G4" s="5">
        <v>100</v>
      </c>
      <c r="H4" s="5">
        <v>100</v>
      </c>
      <c r="I4" s="5">
        <v>100</v>
      </c>
      <c r="J4" s="5">
        <v>100</v>
      </c>
      <c r="K4" s="15" t="s">
        <v>52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1200</v>
      </c>
      <c r="Z4" s="16">
        <v>2300</v>
      </c>
      <c r="AA4" s="12" t="str">
        <f t="shared" si="0"/>
        <v>1/30</v>
      </c>
      <c r="AB4" s="12" t="str">
        <f t="shared" ref="AB4:AB7" si="8">CONCATENATE(E4,",",F4,",",G4,",",H4,",",I4,",",J4)</f>
        <v>100,0,100,100,100,100</v>
      </c>
      <c r="AC4" s="12">
        <f t="shared" si="1"/>
        <v>0</v>
      </c>
      <c r="AD4" s="12" t="str">
        <f t="shared" si="2"/>
        <v>500/1200/2300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100</v>
      </c>
      <c r="K5" s="15" t="s">
        <v>52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1200</v>
      </c>
      <c r="Z5" s="16">
        <v>2300</v>
      </c>
      <c r="AA5" s="12" t="str">
        <f t="shared" si="0"/>
        <v>0/20</v>
      </c>
      <c r="AB5" s="12" t="str">
        <f t="shared" si="8"/>
        <v>100,100,0,100,100,100</v>
      </c>
      <c r="AC5" s="12">
        <f t="shared" si="1"/>
        <v>0</v>
      </c>
      <c r="AD5" s="12" t="str">
        <f t="shared" si="2"/>
        <v>500/1200/2300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0</v>
      </c>
      <c r="D6" s="6">
        <v>30</v>
      </c>
      <c r="E6" s="5">
        <v>100</v>
      </c>
      <c r="F6" s="5">
        <v>100</v>
      </c>
      <c r="G6" s="5">
        <v>100</v>
      </c>
      <c r="H6" s="5">
        <v>0</v>
      </c>
      <c r="I6" s="5">
        <v>100</v>
      </c>
      <c r="J6" s="5">
        <v>100</v>
      </c>
      <c r="K6" s="15" t="s">
        <v>52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1200</v>
      </c>
      <c r="Z6" s="16">
        <v>2300</v>
      </c>
      <c r="AA6" s="12" t="str">
        <f t="shared" si="0"/>
        <v>1/30</v>
      </c>
      <c r="AB6" s="12" t="str">
        <f t="shared" si="8"/>
        <v>100,100,100,0,100,100</v>
      </c>
      <c r="AC6" s="12">
        <f t="shared" si="1"/>
        <v>0</v>
      </c>
      <c r="AD6" s="12" t="str">
        <f t="shared" si="2"/>
        <v>500/1200/2300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30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54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1200</v>
      </c>
      <c r="Z7" s="16">
        <v>2300</v>
      </c>
      <c r="AA7" s="12" t="str">
        <f t="shared" si="0"/>
        <v>0/30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500/1200/2300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54</v>
      </c>
      <c r="L8" s="6">
        <v>3</v>
      </c>
      <c r="M8" s="6">
        <v>0</v>
      </c>
      <c r="N8" s="6">
        <v>0</v>
      </c>
      <c r="O8" s="5">
        <v>10</v>
      </c>
      <c r="P8" s="5">
        <v>10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1200</v>
      </c>
      <c r="Z8" s="16">
        <v>2300</v>
      </c>
      <c r="AA8" s="12" t="str">
        <f t="shared" si="0"/>
        <v>0/30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500/1200/2300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10/10/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1200</v>
      </c>
      <c r="Z9" s="16">
        <v>2300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500/1200/2300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30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1200</v>
      </c>
      <c r="Z10" s="16">
        <v>2300</v>
      </c>
      <c r="AA10" s="12" t="str">
        <f t="shared" si="0"/>
        <v>0/30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500/1200/2300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30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53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1200</v>
      </c>
      <c r="Z11" s="16">
        <v>2300</v>
      </c>
      <c r="AA11" s="12" t="str">
        <f t="shared" si="0"/>
        <v>0/30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500/1200/2300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100</v>
      </c>
      <c r="G12" s="5">
        <v>100</v>
      </c>
      <c r="H12" s="5">
        <v>0</v>
      </c>
      <c r="I12" s="5">
        <v>100</v>
      </c>
      <c r="J12" s="5">
        <v>100</v>
      </c>
      <c r="K12" s="15" t="s">
        <v>53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1200</v>
      </c>
      <c r="Z12" s="16">
        <v>2300</v>
      </c>
      <c r="AA12" s="12" t="str">
        <f t="shared" si="0"/>
        <v>0/30</v>
      </c>
      <c r="AB12" s="12" t="str">
        <f t="shared" si="10"/>
        <v>100,100,100,0,100,100</v>
      </c>
      <c r="AC12" s="12">
        <f t="shared" si="1"/>
        <v>1</v>
      </c>
      <c r="AD12" s="12" t="str">
        <f t="shared" si="2"/>
        <v>500/1200/2300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30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54</v>
      </c>
      <c r="L13" s="6">
        <v>3</v>
      </c>
      <c r="M13" s="6">
        <v>0</v>
      </c>
      <c r="N13" s="6">
        <v>0</v>
      </c>
      <c r="O13" s="5">
        <v>10</v>
      </c>
      <c r="P13" s="5">
        <v>0</v>
      </c>
      <c r="Q13" s="5">
        <v>0</v>
      </c>
      <c r="R13" s="5">
        <v>0</v>
      </c>
      <c r="S13" s="5">
        <v>0</v>
      </c>
      <c r="T13" s="5">
        <v>10</v>
      </c>
      <c r="U13" s="6">
        <v>0</v>
      </c>
      <c r="V13" s="5">
        <v>10</v>
      </c>
      <c r="W13" s="5">
        <v>5</v>
      </c>
      <c r="X13" s="16">
        <v>500</v>
      </c>
      <c r="Y13" s="16">
        <v>1200</v>
      </c>
      <c r="Z13" s="16">
        <v>2300</v>
      </c>
      <c r="AA13" s="12" t="str">
        <f t="shared" si="0"/>
        <v>0/30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500/1200/2300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10/10/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100</v>
      </c>
      <c r="F14" s="5">
        <v>100</v>
      </c>
      <c r="G14" s="5">
        <v>100</v>
      </c>
      <c r="H14" s="5">
        <v>100</v>
      </c>
      <c r="I14" s="5">
        <v>100</v>
      </c>
      <c r="J14" s="5">
        <v>0</v>
      </c>
      <c r="K14" s="15" t="s">
        <v>54</v>
      </c>
      <c r="L14" s="6">
        <v>3</v>
      </c>
      <c r="M14" s="6">
        <v>0</v>
      </c>
      <c r="N14" s="6">
        <v>0</v>
      </c>
      <c r="O14" s="5">
        <v>10</v>
      </c>
      <c r="P14" s="5">
        <v>10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500</v>
      </c>
      <c r="Y14" s="16">
        <v>1200</v>
      </c>
      <c r="Z14" s="16">
        <v>2300</v>
      </c>
      <c r="AA14" s="12" t="str">
        <f t="shared" si="0"/>
        <v>0/30</v>
      </c>
      <c r="AB14" s="12" t="str">
        <f t="shared" si="10"/>
        <v>100,100,100,100,100,0</v>
      </c>
      <c r="AC14" s="12">
        <f t="shared" si="1"/>
        <v>2</v>
      </c>
      <c r="AD14" s="12" t="str">
        <f t="shared" si="2"/>
        <v>500/1200/2300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10/10/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30</v>
      </c>
      <c r="D15" s="6">
        <v>0</v>
      </c>
      <c r="E15" s="5">
        <v>0</v>
      </c>
      <c r="F15" s="5">
        <v>100</v>
      </c>
      <c r="G15" s="5">
        <v>100</v>
      </c>
      <c r="H15" s="5">
        <v>100</v>
      </c>
      <c r="I15" s="5">
        <v>100</v>
      </c>
      <c r="J15" s="5">
        <v>100</v>
      </c>
      <c r="K15" s="15" t="s">
        <v>54</v>
      </c>
      <c r="L15" s="6">
        <v>3</v>
      </c>
      <c r="M15" s="6">
        <v>0</v>
      </c>
      <c r="N15" s="6">
        <v>0</v>
      </c>
      <c r="O15" s="5">
        <v>0</v>
      </c>
      <c r="P15" s="5">
        <v>10</v>
      </c>
      <c r="Q15" s="5">
        <v>10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500</v>
      </c>
      <c r="Y15" s="16">
        <v>1200</v>
      </c>
      <c r="Z15" s="16">
        <v>2300</v>
      </c>
      <c r="AA15" s="12" t="str">
        <f t="shared" si="0"/>
        <v>0/30</v>
      </c>
      <c r="AB15" s="12" t="str">
        <f t="shared" si="10"/>
        <v>0,100,100,100,100,100</v>
      </c>
      <c r="AC15" s="12">
        <f t="shared" si="1"/>
        <v>2</v>
      </c>
      <c r="AD15" s="12" t="str">
        <f t="shared" si="2"/>
        <v>500/1200/2300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10/10/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30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100</v>
      </c>
      <c r="J16" s="5">
        <v>100</v>
      </c>
      <c r="K16" s="15" t="s">
        <v>54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10</v>
      </c>
      <c r="R16" s="5">
        <v>10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500</v>
      </c>
      <c r="Y16" s="16">
        <v>1200</v>
      </c>
      <c r="Z16" s="16">
        <v>2300</v>
      </c>
      <c r="AA16" s="12" t="str">
        <f t="shared" si="0"/>
        <v>0/30</v>
      </c>
      <c r="AB16" s="12" t="str">
        <f t="shared" si="10"/>
        <v>100,0,100,100,100,100</v>
      </c>
      <c r="AC16" s="12">
        <f t="shared" si="1"/>
        <v>2</v>
      </c>
      <c r="AD16" s="12" t="str">
        <f t="shared" si="2"/>
        <v>500/1200/2300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10/10/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30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100</v>
      </c>
      <c r="J17" s="5">
        <v>100</v>
      </c>
      <c r="K17" s="15" t="s">
        <v>53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500</v>
      </c>
      <c r="Y17" s="16">
        <v>1200</v>
      </c>
      <c r="Z17" s="16">
        <v>2300</v>
      </c>
      <c r="AA17" s="12" t="str">
        <f t="shared" si="0"/>
        <v>0/30</v>
      </c>
      <c r="AB17" s="12" t="str">
        <f t="shared" si="10"/>
        <v>100,100,0,100,100,100</v>
      </c>
      <c r="AC17" s="12">
        <f t="shared" si="1"/>
        <v>1</v>
      </c>
      <c r="AD17" s="12" t="str">
        <f t="shared" si="2"/>
        <v>500/1200/2300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30</v>
      </c>
      <c r="D18" s="6">
        <v>0</v>
      </c>
      <c r="E18" s="5">
        <v>100</v>
      </c>
      <c r="F18" s="5">
        <v>100</v>
      </c>
      <c r="G18" s="5">
        <v>100</v>
      </c>
      <c r="H18" s="5">
        <v>0</v>
      </c>
      <c r="I18" s="5">
        <v>100</v>
      </c>
      <c r="J18" s="5">
        <v>100</v>
      </c>
      <c r="K18" s="15" t="s">
        <v>53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500</v>
      </c>
      <c r="Y18" s="16">
        <v>1200</v>
      </c>
      <c r="Z18" s="16">
        <v>2300</v>
      </c>
      <c r="AA18" s="12" t="str">
        <f t="shared" si="0"/>
        <v>0/30</v>
      </c>
      <c r="AB18" s="12" t="str">
        <f t="shared" si="10"/>
        <v>100,100,100,0,100,100</v>
      </c>
      <c r="AC18" s="12">
        <f t="shared" si="1"/>
        <v>1</v>
      </c>
      <c r="AD18" s="12" t="str">
        <f t="shared" si="2"/>
        <v>500/1200/2300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30</v>
      </c>
      <c r="D19" s="6">
        <v>0</v>
      </c>
      <c r="E19" s="5">
        <v>100</v>
      </c>
      <c r="F19" s="5">
        <v>100</v>
      </c>
      <c r="G19" s="5">
        <v>100</v>
      </c>
      <c r="H19" s="5">
        <v>100</v>
      </c>
      <c r="I19" s="5">
        <v>0</v>
      </c>
      <c r="J19" s="5">
        <v>100</v>
      </c>
      <c r="K19" s="15" t="s">
        <v>54</v>
      </c>
      <c r="L19" s="6">
        <v>3</v>
      </c>
      <c r="M19" s="6">
        <v>0</v>
      </c>
      <c r="N19" s="6">
        <v>0</v>
      </c>
      <c r="O19" s="5">
        <v>10</v>
      </c>
      <c r="P19" s="5">
        <v>0</v>
      </c>
      <c r="Q19" s="5">
        <v>0</v>
      </c>
      <c r="R19" s="5">
        <v>0</v>
      </c>
      <c r="S19" s="5">
        <v>0</v>
      </c>
      <c r="T19" s="5">
        <v>10</v>
      </c>
      <c r="U19" s="6">
        <v>0</v>
      </c>
      <c r="V19" s="5">
        <v>10</v>
      </c>
      <c r="W19" s="5">
        <v>5</v>
      </c>
      <c r="X19" s="16">
        <v>500</v>
      </c>
      <c r="Y19" s="16">
        <v>1200</v>
      </c>
      <c r="Z19" s="16">
        <v>2300</v>
      </c>
      <c r="AA19" s="12" t="str">
        <f t="shared" si="0"/>
        <v>0/30</v>
      </c>
      <c r="AB19" s="12" t="str">
        <f t="shared" si="10"/>
        <v>100,100,100,100,0,100</v>
      </c>
      <c r="AC19" s="12">
        <f t="shared" si="1"/>
        <v>2</v>
      </c>
      <c r="AD19" s="12" t="str">
        <f t="shared" si="2"/>
        <v>500/1200/2300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10/10/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30</v>
      </c>
      <c r="D20" s="6">
        <v>0</v>
      </c>
      <c r="E20" s="5">
        <v>100</v>
      </c>
      <c r="F20" s="5">
        <v>100</v>
      </c>
      <c r="G20" s="5">
        <v>100</v>
      </c>
      <c r="H20" s="5">
        <v>100</v>
      </c>
      <c r="I20" s="5">
        <v>100</v>
      </c>
      <c r="J20" s="5">
        <v>0</v>
      </c>
      <c r="K20" s="15" t="s">
        <v>54</v>
      </c>
      <c r="L20" s="6">
        <v>3</v>
      </c>
      <c r="M20" s="6">
        <v>0</v>
      </c>
      <c r="N20" s="6">
        <v>0</v>
      </c>
      <c r="O20" s="5">
        <v>10</v>
      </c>
      <c r="P20" s="5">
        <v>10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500</v>
      </c>
      <c r="Y20" s="16">
        <v>1200</v>
      </c>
      <c r="Z20" s="16">
        <v>2300</v>
      </c>
      <c r="AA20" s="12" t="str">
        <f t="shared" si="0"/>
        <v>0/30</v>
      </c>
      <c r="AB20" s="12" t="str">
        <f t="shared" si="10"/>
        <v>100,100,100,100,100,0</v>
      </c>
      <c r="AC20" s="12">
        <f t="shared" si="1"/>
        <v>2</v>
      </c>
      <c r="AD20" s="12" t="str">
        <f t="shared" si="2"/>
        <v>500/1200/2300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10/10/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30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52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500</v>
      </c>
      <c r="Y21" s="16">
        <v>1200</v>
      </c>
      <c r="Z21" s="16">
        <v>2300</v>
      </c>
      <c r="AA21" s="12" t="str">
        <f t="shared" si="0"/>
        <v>0/30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500/1200/2300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100</v>
      </c>
      <c r="H22" s="5">
        <v>100</v>
      </c>
      <c r="I22" s="5">
        <v>100</v>
      </c>
      <c r="J22" s="5">
        <v>100</v>
      </c>
      <c r="K22" s="17" t="s">
        <v>55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500</v>
      </c>
      <c r="Y22" s="16">
        <v>1200</v>
      </c>
      <c r="Z22" s="16">
        <v>2300</v>
      </c>
      <c r="AA22" s="12" t="str">
        <f t="shared" si="0"/>
        <v>0/30</v>
      </c>
      <c r="AB22" s="12" t="str">
        <f t="shared" si="10"/>
        <v>100,0,100,100,100,100</v>
      </c>
      <c r="AC22" s="12">
        <f t="shared" si="1"/>
        <v>3</v>
      </c>
      <c r="AD22" s="12" t="str">
        <f t="shared" si="2"/>
        <v>500/1200/2300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100</v>
      </c>
      <c r="F23" s="5">
        <v>100</v>
      </c>
      <c r="G23" s="5">
        <v>0</v>
      </c>
      <c r="H23" s="5">
        <v>100</v>
      </c>
      <c r="I23" s="5">
        <v>100</v>
      </c>
      <c r="J23" s="5">
        <v>100</v>
      </c>
      <c r="K23" s="15" t="s">
        <v>55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500</v>
      </c>
      <c r="Y23" s="16">
        <v>1200</v>
      </c>
      <c r="Z23" s="16">
        <v>2300</v>
      </c>
      <c r="AA23" s="12" t="str">
        <f t="shared" si="0"/>
        <v>0/30</v>
      </c>
      <c r="AB23" s="12" t="str">
        <f t="shared" si="10"/>
        <v>100,100,0,100,100,100</v>
      </c>
      <c r="AC23" s="12">
        <f t="shared" si="1"/>
        <v>3</v>
      </c>
      <c r="AD23" s="12" t="str">
        <f t="shared" si="2"/>
        <v>500/1200/2300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30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52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500</v>
      </c>
      <c r="Y24" s="16">
        <v>1200</v>
      </c>
      <c r="Z24" s="16">
        <v>2300</v>
      </c>
      <c r="AA24" s="12" t="str">
        <f t="shared" si="0"/>
        <v>0/30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500/1200/2300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500</v>
      </c>
      <c r="Y25" s="16">
        <v>1200</v>
      </c>
      <c r="Z25" s="16">
        <v>2300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500/1200/2300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100</v>
      </c>
      <c r="H26" s="5">
        <v>100</v>
      </c>
      <c r="I26" s="5">
        <v>100</v>
      </c>
      <c r="J26" s="5">
        <v>0</v>
      </c>
      <c r="K26" s="15" t="s">
        <v>53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500</v>
      </c>
      <c r="Y26" s="16">
        <v>1200</v>
      </c>
      <c r="Z26" s="16">
        <v>2300</v>
      </c>
      <c r="AA26" s="12" t="str">
        <f t="shared" si="0"/>
        <v>0/30</v>
      </c>
      <c r="AB26" s="12" t="str">
        <f t="shared" si="10"/>
        <v>100,100,100,100,100,0</v>
      </c>
      <c r="AC26" s="12">
        <f t="shared" si="1"/>
        <v>1</v>
      </c>
      <c r="AD26" s="12" t="str">
        <f t="shared" si="2"/>
        <v>500/1200/2300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100</v>
      </c>
      <c r="J27" s="5">
        <v>100</v>
      </c>
      <c r="K27" s="15" t="s">
        <v>53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500</v>
      </c>
      <c r="Y27" s="16">
        <v>1200</v>
      </c>
      <c r="Z27" s="16">
        <v>2300</v>
      </c>
      <c r="AA27" s="12" t="str">
        <f t="shared" si="0"/>
        <v>0/30</v>
      </c>
      <c r="AB27" s="12" t="str">
        <f t="shared" si="10"/>
        <v>0,100,100,100,100,100</v>
      </c>
      <c r="AC27" s="12">
        <f t="shared" si="1"/>
        <v>1</v>
      </c>
      <c r="AD27" s="12" t="str">
        <f t="shared" si="2"/>
        <v>500/1200/2300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100</v>
      </c>
      <c r="K28" s="15" t="s">
        <v>54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10</v>
      </c>
      <c r="R28" s="5">
        <v>10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500</v>
      </c>
      <c r="Y28" s="16">
        <v>1200</v>
      </c>
      <c r="Z28" s="16">
        <v>2300</v>
      </c>
      <c r="AA28" s="12" t="str">
        <f t="shared" si="0"/>
        <v>0/30</v>
      </c>
      <c r="AB28" s="12" t="str">
        <f t="shared" si="10"/>
        <v>100,0,100,100,100,100</v>
      </c>
      <c r="AC28" s="12">
        <f t="shared" si="1"/>
        <v>2</v>
      </c>
      <c r="AD28" s="12" t="str">
        <f t="shared" si="2"/>
        <v>500/1200/2300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10/10/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100</v>
      </c>
      <c r="I29" s="5">
        <v>100</v>
      </c>
      <c r="J29" s="5">
        <v>100</v>
      </c>
      <c r="K29" s="15" t="s">
        <v>54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10</v>
      </c>
      <c r="S29" s="5">
        <v>10</v>
      </c>
      <c r="T29" s="5">
        <v>0</v>
      </c>
      <c r="U29" s="6">
        <v>0</v>
      </c>
      <c r="V29" s="5">
        <v>10</v>
      </c>
      <c r="W29" s="5">
        <v>5</v>
      </c>
      <c r="X29" s="16">
        <v>500</v>
      </c>
      <c r="Y29" s="16">
        <v>1200</v>
      </c>
      <c r="Z29" s="16">
        <v>2300</v>
      </c>
      <c r="AA29" s="12" t="str">
        <f t="shared" si="0"/>
        <v>0/30</v>
      </c>
      <c r="AB29" s="12" t="str">
        <f t="shared" si="10"/>
        <v>100,100,0,100,100,100</v>
      </c>
      <c r="AC29" s="12">
        <f t="shared" si="1"/>
        <v>2</v>
      </c>
      <c r="AD29" s="12" t="str">
        <f t="shared" si="2"/>
        <v>500/1200/2300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10/10/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55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500</v>
      </c>
      <c r="Y30" s="16">
        <v>1200</v>
      </c>
      <c r="Z30" s="16">
        <v>2300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500/1200/2300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30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55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500</v>
      </c>
      <c r="Y31" s="16">
        <v>1200</v>
      </c>
      <c r="Z31" s="16">
        <v>2300</v>
      </c>
      <c r="AA31" s="12" t="str">
        <f t="shared" si="0"/>
        <v>0/30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500/1200/2300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52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500</v>
      </c>
      <c r="Y32" s="16">
        <v>1200</v>
      </c>
      <c r="Z32" s="16">
        <v>2300</v>
      </c>
      <c r="AA32" s="12" t="str">
        <f t="shared" si="0"/>
        <v>0/30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500/1200/2300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500</v>
      </c>
      <c r="Y33" s="16">
        <v>1200</v>
      </c>
      <c r="Z33" s="16">
        <v>2300</v>
      </c>
      <c r="AA33" s="12" t="str">
        <f t="shared" si="0"/>
        <v>0/30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500/1200/2300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0</v>
      </c>
      <c r="G34" s="5">
        <v>100</v>
      </c>
      <c r="H34" s="5">
        <v>100</v>
      </c>
      <c r="I34" s="5">
        <v>100</v>
      </c>
      <c r="J34" s="5">
        <v>100</v>
      </c>
      <c r="K34" s="15" t="s">
        <v>53</v>
      </c>
      <c r="L34" s="6">
        <v>3</v>
      </c>
      <c r="M34" s="6">
        <v>0</v>
      </c>
      <c r="N34" s="6">
        <v>2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500</v>
      </c>
      <c r="Y34" s="16">
        <v>1200</v>
      </c>
      <c r="Z34" s="16">
        <v>2300</v>
      </c>
      <c r="AA34" s="12" t="str">
        <f t="shared" si="0"/>
        <v>0/30</v>
      </c>
      <c r="AB34" s="12" t="str">
        <f t="shared" si="10"/>
        <v>100,0,100,100,100,100</v>
      </c>
      <c r="AC34" s="12">
        <f t="shared" si="1"/>
        <v>1</v>
      </c>
      <c r="AD34" s="12" t="str">
        <f t="shared" si="2"/>
        <v>500/1200/2300</v>
      </c>
      <c r="AE34" s="12" t="str">
        <f t="shared" si="3"/>
        <v>1/</v>
      </c>
      <c r="AF34" s="12" t="str">
        <f t="shared" si="4"/>
        <v>2/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53</v>
      </c>
      <c r="L35" s="6">
        <v>3</v>
      </c>
      <c r="M35" s="6">
        <v>2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500</v>
      </c>
      <c r="Y35" s="16">
        <v>1200</v>
      </c>
      <c r="Z35" s="16">
        <v>2300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VLOOKUP(K35,$I$106:$J$113,2,FALSE)</f>
        <v>1</v>
      </c>
      <c r="AD35" s="12" t="str">
        <f t="shared" ref="AD35:AD66" si="13">CONCATENATE(X35,"/",Y35,"/",Z35)</f>
        <v>500/1200/2300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2/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100</v>
      </c>
      <c r="G36" s="5">
        <v>100</v>
      </c>
      <c r="H36" s="5">
        <v>0</v>
      </c>
      <c r="I36" s="5">
        <v>100</v>
      </c>
      <c r="J36" s="5">
        <v>100</v>
      </c>
      <c r="K36" s="15" t="s">
        <v>54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10</v>
      </c>
      <c r="T36" s="5">
        <v>10</v>
      </c>
      <c r="U36" s="6">
        <v>0</v>
      </c>
      <c r="V36" s="5">
        <v>10</v>
      </c>
      <c r="W36" s="5">
        <v>5</v>
      </c>
      <c r="X36" s="16">
        <v>500</v>
      </c>
      <c r="Y36" s="16">
        <v>1200</v>
      </c>
      <c r="Z36" s="16">
        <v>2300</v>
      </c>
      <c r="AA36" s="12" t="str">
        <f t="shared" si="11"/>
        <v>0/30</v>
      </c>
      <c r="AB36" s="12" t="str">
        <f t="shared" si="10"/>
        <v>100,100,100,0,100,100</v>
      </c>
      <c r="AC36" s="12">
        <f t="shared" si="12"/>
        <v>2</v>
      </c>
      <c r="AD36" s="12" t="str">
        <f t="shared" si="13"/>
        <v>500/1200/2300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10/10/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30</v>
      </c>
      <c r="D37" s="6">
        <v>0</v>
      </c>
      <c r="E37" s="5">
        <v>100</v>
      </c>
      <c r="F37" s="5">
        <v>100</v>
      </c>
      <c r="G37" s="5">
        <v>100</v>
      </c>
      <c r="H37" s="5">
        <v>100</v>
      </c>
      <c r="I37" s="5">
        <v>0</v>
      </c>
      <c r="J37" s="5">
        <v>100</v>
      </c>
      <c r="K37" s="15" t="s">
        <v>54</v>
      </c>
      <c r="L37" s="6">
        <v>3</v>
      </c>
      <c r="M37" s="6">
        <v>0</v>
      </c>
      <c r="N37" s="6">
        <v>0</v>
      </c>
      <c r="O37" s="5">
        <v>10</v>
      </c>
      <c r="P37" s="5">
        <v>0</v>
      </c>
      <c r="Q37" s="5">
        <v>0</v>
      </c>
      <c r="R37" s="5">
        <v>0</v>
      </c>
      <c r="S37" s="5">
        <v>0</v>
      </c>
      <c r="T37" s="5">
        <v>10</v>
      </c>
      <c r="U37" s="6">
        <v>0</v>
      </c>
      <c r="V37" s="5">
        <v>10</v>
      </c>
      <c r="W37" s="5">
        <v>5</v>
      </c>
      <c r="X37" s="16">
        <v>500</v>
      </c>
      <c r="Y37" s="16">
        <v>1200</v>
      </c>
      <c r="Z37" s="16">
        <v>2300</v>
      </c>
      <c r="AA37" s="12" t="str">
        <f t="shared" si="11"/>
        <v>0/30</v>
      </c>
      <c r="AB37" s="12" t="str">
        <f t="shared" si="10"/>
        <v>100,100,100,100,0,100</v>
      </c>
      <c r="AC37" s="12">
        <f t="shared" si="12"/>
        <v>2</v>
      </c>
      <c r="AD37" s="12" t="str">
        <f t="shared" si="13"/>
        <v>500/1200/2300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10/10/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30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55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500</v>
      </c>
      <c r="Y38" s="16">
        <v>1200</v>
      </c>
      <c r="Z38" s="16">
        <v>2300</v>
      </c>
      <c r="AA38" s="12" t="str">
        <f t="shared" si="11"/>
        <v>0/30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500/1200/2300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30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55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500</v>
      </c>
      <c r="Y39" s="16">
        <v>1200</v>
      </c>
      <c r="Z39" s="16">
        <v>2300</v>
      </c>
      <c r="AA39" s="12" t="str">
        <f t="shared" si="11"/>
        <v>0/30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500/1200/2300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52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500</v>
      </c>
      <c r="Y40" s="16">
        <v>1200</v>
      </c>
      <c r="Z40" s="16">
        <v>2300</v>
      </c>
      <c r="AA40" s="12" t="str">
        <f t="shared" si="11"/>
        <v>0/30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500/1200/2300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52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500</v>
      </c>
      <c r="Y41" s="16">
        <v>1200</v>
      </c>
      <c r="Z41" s="16">
        <v>2300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500/1200/2300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53</v>
      </c>
      <c r="L42" s="6">
        <v>3</v>
      </c>
      <c r="M42" s="6">
        <v>2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500</v>
      </c>
      <c r="Y42" s="16">
        <v>1200</v>
      </c>
      <c r="Z42" s="16">
        <v>2300</v>
      </c>
      <c r="AA42" s="12" t="str">
        <f t="shared" si="11"/>
        <v>0/30</v>
      </c>
      <c r="AB42" s="12" t="str">
        <f t="shared" si="10"/>
        <v>100,100,100,0,100,100</v>
      </c>
      <c r="AC42" s="12">
        <f t="shared" si="12"/>
        <v>1</v>
      </c>
      <c r="AD42" s="12" t="str">
        <f t="shared" si="13"/>
        <v>500/1200/2300</v>
      </c>
      <c r="AE42" s="12" t="str">
        <f t="shared" si="14"/>
        <v>0/</v>
      </c>
      <c r="AF42" s="12" t="str">
        <f t="shared" si="15"/>
        <v>2/</v>
      </c>
      <c r="AG42" s="12" t="str">
        <f t="shared" si="16"/>
        <v/>
      </c>
      <c r="AH42" s="12" t="str">
        <f t="shared" si="17"/>
        <v/>
      </c>
      <c r="AI42" s="12" t="str">
        <f t="shared" si="18"/>
        <v>10/5</v>
      </c>
    </row>
    <row r="43" spans="1:35" s="8" customFormat="1" ht="21.95" customHeight="1">
      <c r="A43" s="9">
        <v>41</v>
      </c>
      <c r="B43" s="17">
        <v>41</v>
      </c>
      <c r="C43" s="6">
        <v>30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53</v>
      </c>
      <c r="L43" s="6">
        <v>3</v>
      </c>
      <c r="M43" s="6">
        <v>0</v>
      </c>
      <c r="N43" s="6">
        <v>4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500</v>
      </c>
      <c r="Y43" s="16">
        <v>1200</v>
      </c>
      <c r="Z43" s="16">
        <v>2300</v>
      </c>
      <c r="AA43" s="12" t="str">
        <f t="shared" si="11"/>
        <v>0/30</v>
      </c>
      <c r="AB43" s="12" t="str">
        <f t="shared" si="10"/>
        <v>100,100,100,100,0,100</v>
      </c>
      <c r="AC43" s="12">
        <f t="shared" si="12"/>
        <v>1</v>
      </c>
      <c r="AD43" s="12" t="str">
        <f t="shared" si="13"/>
        <v>500/1200/2300</v>
      </c>
      <c r="AE43" s="12" t="str">
        <f t="shared" si="14"/>
        <v>1/</v>
      </c>
      <c r="AF43" s="12" t="str">
        <f t="shared" si="15"/>
        <v>4/</v>
      </c>
      <c r="AG43" s="12" t="str">
        <f t="shared" si="16"/>
        <v/>
      </c>
      <c r="AH43" s="12" t="str">
        <f t="shared" si="17"/>
        <v/>
      </c>
      <c r="AI43" s="12" t="str">
        <f t="shared" si="18"/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100</v>
      </c>
      <c r="F44" s="5">
        <v>100</v>
      </c>
      <c r="G44" s="5">
        <v>100</v>
      </c>
      <c r="H44" s="5">
        <v>100</v>
      </c>
      <c r="I44" s="5">
        <v>100</v>
      </c>
      <c r="J44" s="5">
        <v>0</v>
      </c>
      <c r="K44" s="15" t="s">
        <v>54</v>
      </c>
      <c r="L44" s="6">
        <v>3</v>
      </c>
      <c r="M44" s="6">
        <v>0</v>
      </c>
      <c r="N44" s="6">
        <v>0</v>
      </c>
      <c r="O44" s="5">
        <v>10</v>
      </c>
      <c r="P44" s="5">
        <v>10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500</v>
      </c>
      <c r="Y44" s="16">
        <v>1200</v>
      </c>
      <c r="Z44" s="16">
        <v>2300</v>
      </c>
      <c r="AA44" s="12" t="str">
        <f t="shared" si="11"/>
        <v>0/30</v>
      </c>
      <c r="AB44" s="12" t="str">
        <f t="shared" si="10"/>
        <v>100,100,100,100,100,0</v>
      </c>
      <c r="AC44" s="12">
        <f t="shared" si="12"/>
        <v>2</v>
      </c>
      <c r="AD44" s="12" t="str">
        <f t="shared" si="13"/>
        <v>500/1200/2300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10/10/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100</v>
      </c>
      <c r="G45" s="5">
        <v>100</v>
      </c>
      <c r="H45" s="5">
        <v>100</v>
      </c>
      <c r="I45" s="5">
        <v>100</v>
      </c>
      <c r="J45" s="5">
        <v>100</v>
      </c>
      <c r="K45" s="15" t="s">
        <v>54</v>
      </c>
      <c r="L45" s="6">
        <v>3</v>
      </c>
      <c r="M45" s="6">
        <v>0</v>
      </c>
      <c r="N45" s="6">
        <v>0</v>
      </c>
      <c r="O45" s="5">
        <v>0</v>
      </c>
      <c r="P45" s="5">
        <v>10</v>
      </c>
      <c r="Q45" s="5">
        <v>10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500</v>
      </c>
      <c r="Y45" s="16">
        <v>1200</v>
      </c>
      <c r="Z45" s="16">
        <v>2300</v>
      </c>
      <c r="AA45" s="12" t="str">
        <f t="shared" si="11"/>
        <v>0/30</v>
      </c>
      <c r="AB45" s="12" t="str">
        <f t="shared" si="10"/>
        <v>0,100,100,100,100,100</v>
      </c>
      <c r="AC45" s="12">
        <f t="shared" si="12"/>
        <v>2</v>
      </c>
      <c r="AD45" s="12" t="str">
        <f t="shared" si="13"/>
        <v>500/1200/2300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10/10/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56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500</v>
      </c>
      <c r="Y46" s="16">
        <v>1200</v>
      </c>
      <c r="Z46" s="16">
        <v>2300</v>
      </c>
      <c r="AA46" s="12" t="str">
        <f t="shared" si="11"/>
        <v>0/30</v>
      </c>
      <c r="AB46" s="12" t="str">
        <f t="shared" si="10"/>
        <v>100,0,100,100,100,100</v>
      </c>
      <c r="AC46" s="12">
        <f t="shared" si="12"/>
        <v>4</v>
      </c>
      <c r="AD46" s="12" t="str">
        <f t="shared" si="13"/>
        <v>500/1200/2300</v>
      </c>
      <c r="AE46" s="12" t="str">
        <f t="shared" si="14"/>
        <v/>
      </c>
      <c r="AF46" s="12" t="str">
        <f t="shared" si="15"/>
        <v/>
      </c>
      <c r="AG46" s="12" t="str">
        <f t="shared" si="16"/>
        <v/>
      </c>
      <c r="AH46" s="12" t="str">
        <f t="shared" si="17"/>
        <v/>
      </c>
      <c r="AI46" s="12" t="str">
        <f t="shared" si="18"/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56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500</v>
      </c>
      <c r="Y47" s="16">
        <v>1200</v>
      </c>
      <c r="Z47" s="16">
        <v>2300</v>
      </c>
      <c r="AA47" s="12" t="str">
        <f t="shared" si="11"/>
        <v>0/30</v>
      </c>
      <c r="AB47" s="12" t="str">
        <f t="shared" si="10"/>
        <v>100,100,0,100,100,100</v>
      </c>
      <c r="AC47" s="12">
        <f t="shared" si="12"/>
        <v>4</v>
      </c>
      <c r="AD47" s="12" t="str">
        <f t="shared" si="13"/>
        <v>500/1200/2300</v>
      </c>
      <c r="AE47" s="12" t="str">
        <f t="shared" si="14"/>
        <v/>
      </c>
      <c r="AF47" s="12" t="str">
        <f t="shared" si="15"/>
        <v/>
      </c>
      <c r="AG47" s="12" t="str">
        <f t="shared" si="16"/>
        <v/>
      </c>
      <c r="AH47" s="12" t="str">
        <f t="shared" si="17"/>
        <v/>
      </c>
      <c r="AI47" s="12" t="str">
        <f t="shared" si="18"/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55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500</v>
      </c>
      <c r="Y48" s="16">
        <v>1200</v>
      </c>
      <c r="Z48" s="16">
        <v>2300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500/1200/2300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55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500</v>
      </c>
      <c r="Y49" s="16">
        <v>1200</v>
      </c>
      <c r="Z49" s="16">
        <v>2300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500/1200/2300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0</v>
      </c>
      <c r="K50" s="15" t="s">
        <v>52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500</v>
      </c>
      <c r="Y50" s="16">
        <v>1200</v>
      </c>
      <c r="Z50" s="16">
        <v>2300</v>
      </c>
      <c r="AA50" s="12" t="str">
        <f t="shared" si="11"/>
        <v>0/30</v>
      </c>
      <c r="AB50" s="12" t="str">
        <f t="shared" si="10"/>
        <v>100,100,100,100,100,0</v>
      </c>
      <c r="AC50" s="12">
        <f t="shared" si="12"/>
        <v>0</v>
      </c>
      <c r="AD50" s="12" t="str">
        <f t="shared" si="13"/>
        <v>500/1200/2300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500</v>
      </c>
      <c r="Y51" s="16">
        <v>1200</v>
      </c>
      <c r="Z51" s="16">
        <v>2300</v>
      </c>
      <c r="AA51" s="12" t="str">
        <f t="shared" si="11"/>
        <v>0/30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500/1200/2300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30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5" t="s">
        <v>53</v>
      </c>
      <c r="L52" s="6">
        <v>3</v>
      </c>
      <c r="M52" s="6">
        <v>4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500</v>
      </c>
      <c r="Y52" s="16">
        <v>1200</v>
      </c>
      <c r="Z52" s="16">
        <v>2300</v>
      </c>
      <c r="AA52" s="12" t="str">
        <f t="shared" si="11"/>
        <v>0/30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500/1200/2300</v>
      </c>
      <c r="AE52" s="12" t="str">
        <f t="shared" si="14"/>
        <v>0/</v>
      </c>
      <c r="AF52" s="12" t="str">
        <f t="shared" si="15"/>
        <v>4/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100</v>
      </c>
      <c r="J53" s="5">
        <v>100</v>
      </c>
      <c r="K53" s="15" t="s">
        <v>53</v>
      </c>
      <c r="L53" s="6">
        <v>3</v>
      </c>
      <c r="M53" s="6">
        <v>0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500</v>
      </c>
      <c r="Y53" s="16">
        <v>1200</v>
      </c>
      <c r="Z53" s="16">
        <v>2300</v>
      </c>
      <c r="AA53" s="12" t="str">
        <f t="shared" si="11"/>
        <v>0/30</v>
      </c>
      <c r="AB53" s="12" t="str">
        <f t="shared" si="10"/>
        <v>100,100,0,100,100,100</v>
      </c>
      <c r="AC53" s="12">
        <f t="shared" si="12"/>
        <v>1</v>
      </c>
      <c r="AD53" s="12" t="str">
        <f t="shared" si="13"/>
        <v>500/1200/2300</v>
      </c>
      <c r="AE53" s="12" t="str">
        <f t="shared" si="14"/>
        <v>1/</v>
      </c>
      <c r="AF53" s="12" t="str">
        <f t="shared" si="15"/>
        <v>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100</v>
      </c>
      <c r="H54" s="5">
        <v>0</v>
      </c>
      <c r="I54" s="5">
        <v>100</v>
      </c>
      <c r="J54" s="5">
        <v>100</v>
      </c>
      <c r="K54" s="15" t="s">
        <v>54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0</v>
      </c>
      <c r="R54" s="5">
        <v>0</v>
      </c>
      <c r="S54" s="5">
        <v>10</v>
      </c>
      <c r="T54" s="5">
        <v>10</v>
      </c>
      <c r="U54" s="6">
        <v>0</v>
      </c>
      <c r="V54" s="5">
        <v>10</v>
      </c>
      <c r="W54" s="5">
        <v>5</v>
      </c>
      <c r="X54" s="16">
        <v>500</v>
      </c>
      <c r="Y54" s="16">
        <v>1200</v>
      </c>
      <c r="Z54" s="16">
        <v>2300</v>
      </c>
      <c r="AA54" s="12" t="str">
        <f t="shared" si="11"/>
        <v>0/30</v>
      </c>
      <c r="AB54" s="12" t="str">
        <f t="shared" si="10"/>
        <v>100,100,100,0,100,100</v>
      </c>
      <c r="AC54" s="12">
        <f t="shared" si="12"/>
        <v>2</v>
      </c>
      <c r="AD54" s="12" t="str">
        <f t="shared" si="13"/>
        <v>500/1200/2300</v>
      </c>
      <c r="AE54" s="12" t="str">
        <f t="shared" si="14"/>
        <v/>
      </c>
      <c r="AF54" s="12" t="str">
        <f t="shared" si="15"/>
        <v/>
      </c>
      <c r="AG54" s="12" t="str">
        <f t="shared" si="16"/>
        <v>4/5/</v>
      </c>
      <c r="AH54" s="12" t="str">
        <f t="shared" si="17"/>
        <v>10/10/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100</v>
      </c>
      <c r="I55" s="5">
        <v>0</v>
      </c>
      <c r="J55" s="5">
        <v>100</v>
      </c>
      <c r="K55" s="15" t="s">
        <v>54</v>
      </c>
      <c r="L55" s="6">
        <v>3</v>
      </c>
      <c r="M55" s="6">
        <v>0</v>
      </c>
      <c r="N55" s="6">
        <v>0</v>
      </c>
      <c r="O55" s="5">
        <v>10</v>
      </c>
      <c r="P55" s="5">
        <v>0</v>
      </c>
      <c r="Q55" s="5">
        <v>0</v>
      </c>
      <c r="R55" s="5">
        <v>0</v>
      </c>
      <c r="S55" s="5">
        <v>0</v>
      </c>
      <c r="T55" s="5">
        <v>10</v>
      </c>
      <c r="U55" s="6">
        <v>0</v>
      </c>
      <c r="V55" s="5">
        <v>10</v>
      </c>
      <c r="W55" s="5">
        <v>5</v>
      </c>
      <c r="X55" s="16">
        <v>500</v>
      </c>
      <c r="Y55" s="16">
        <v>1200</v>
      </c>
      <c r="Z55" s="16">
        <v>2300</v>
      </c>
      <c r="AA55" s="12" t="str">
        <f t="shared" si="11"/>
        <v>0/30</v>
      </c>
      <c r="AB55" s="12" t="str">
        <f t="shared" si="10"/>
        <v>100,100,100,100,0,100</v>
      </c>
      <c r="AC55" s="12">
        <f t="shared" si="12"/>
        <v>2</v>
      </c>
      <c r="AD55" s="12" t="str">
        <f t="shared" si="13"/>
        <v>500/1200/2300</v>
      </c>
      <c r="AE55" s="12" t="str">
        <f t="shared" si="14"/>
        <v/>
      </c>
      <c r="AF55" s="12" t="str">
        <f t="shared" si="15"/>
        <v/>
      </c>
      <c r="AG55" s="12" t="str">
        <f t="shared" si="16"/>
        <v>0/5/</v>
      </c>
      <c r="AH55" s="12" t="str">
        <f t="shared" si="17"/>
        <v>10/10/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56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500</v>
      </c>
      <c r="Y56" s="16">
        <v>1200</v>
      </c>
      <c r="Z56" s="16">
        <v>2300</v>
      </c>
      <c r="AA56" s="12" t="str">
        <f t="shared" si="11"/>
        <v>0/30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500/1200/2300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56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500</v>
      </c>
      <c r="Y57" s="16">
        <v>1200</v>
      </c>
      <c r="Z57" s="16">
        <v>2300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500/1200/2300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100</v>
      </c>
      <c r="J58" s="5">
        <v>100</v>
      </c>
      <c r="K58" s="15" t="s">
        <v>54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10</v>
      </c>
      <c r="R58" s="5">
        <v>10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500</v>
      </c>
      <c r="Y58" s="16">
        <v>1200</v>
      </c>
      <c r="Z58" s="16">
        <v>2300</v>
      </c>
      <c r="AA58" s="12" t="str">
        <f t="shared" si="11"/>
        <v>0/30</v>
      </c>
      <c r="AB58" s="12" t="str">
        <f t="shared" si="10"/>
        <v>100,0,100,100,100,100</v>
      </c>
      <c r="AC58" s="12">
        <f t="shared" si="12"/>
        <v>2</v>
      </c>
      <c r="AD58" s="12" t="str">
        <f t="shared" si="13"/>
        <v>500/1200/2300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10/10/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100</v>
      </c>
      <c r="I59" s="5">
        <v>100</v>
      </c>
      <c r="J59" s="5">
        <v>100</v>
      </c>
      <c r="K59" s="15" t="s">
        <v>54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10</v>
      </c>
      <c r="S59" s="5">
        <v>10</v>
      </c>
      <c r="T59" s="5">
        <v>0</v>
      </c>
      <c r="U59" s="6">
        <v>0</v>
      </c>
      <c r="V59" s="5">
        <v>10</v>
      </c>
      <c r="W59" s="5">
        <v>5</v>
      </c>
      <c r="X59" s="16">
        <v>500</v>
      </c>
      <c r="Y59" s="16">
        <v>1200</v>
      </c>
      <c r="Z59" s="16">
        <v>2300</v>
      </c>
      <c r="AA59" s="12" t="str">
        <f t="shared" si="11"/>
        <v>0/30</v>
      </c>
      <c r="AB59" s="12" t="str">
        <f t="shared" si="10"/>
        <v>100,100,0,100,100,100</v>
      </c>
      <c r="AC59" s="12">
        <f t="shared" si="12"/>
        <v>2</v>
      </c>
      <c r="AD59" s="12" t="str">
        <f t="shared" si="13"/>
        <v>500/1200/2300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10/10/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100</v>
      </c>
      <c r="G60" s="5">
        <v>100</v>
      </c>
      <c r="H60" s="5">
        <v>0</v>
      </c>
      <c r="I60" s="5">
        <v>100</v>
      </c>
      <c r="J60" s="5">
        <v>100</v>
      </c>
      <c r="K60" s="15" t="s">
        <v>52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500</v>
      </c>
      <c r="Y60" s="16">
        <v>1200</v>
      </c>
      <c r="Z60" s="16">
        <v>2300</v>
      </c>
      <c r="AA60" s="12" t="str">
        <f t="shared" si="11"/>
        <v>0/30</v>
      </c>
      <c r="AB60" s="12" t="str">
        <f t="shared" si="10"/>
        <v>100,100,100,0,100,100</v>
      </c>
      <c r="AC60" s="12">
        <f t="shared" si="12"/>
        <v>0</v>
      </c>
      <c r="AD60" s="12" t="str">
        <f t="shared" si="13"/>
        <v>500/1200/2300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52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500</v>
      </c>
      <c r="Y61" s="16">
        <v>1200</v>
      </c>
      <c r="Z61" s="16">
        <v>2300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500/1200/2300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57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500</v>
      </c>
      <c r="Y62" s="16">
        <v>1200</v>
      </c>
      <c r="Z62" s="16">
        <v>2300</v>
      </c>
      <c r="AA62" s="12" t="str">
        <f t="shared" si="11"/>
        <v>0/30</v>
      </c>
      <c r="AB62" s="12" t="str">
        <f t="shared" si="10"/>
        <v>100,100,100,100,100,0</v>
      </c>
      <c r="AC62" s="12">
        <f t="shared" si="12"/>
        <v>5</v>
      </c>
      <c r="AD62" s="12" t="str">
        <f t="shared" si="13"/>
        <v>500/1200/2300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5">
        <v>61</v>
      </c>
      <c r="C63" s="6">
        <v>30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57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500</v>
      </c>
      <c r="Y63" s="16">
        <v>1200</v>
      </c>
      <c r="Z63" s="16">
        <v>2300</v>
      </c>
      <c r="AA63" s="12" t="str">
        <f t="shared" si="11"/>
        <v>0/30</v>
      </c>
      <c r="AB63" s="12" t="str">
        <f t="shared" si="10"/>
        <v>0,100,100,100,100,100</v>
      </c>
      <c r="AC63" s="12">
        <f t="shared" si="12"/>
        <v>5</v>
      </c>
      <c r="AD63" s="12" t="str">
        <f t="shared" si="13"/>
        <v>500/1200/2300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5">
        <v>62</v>
      </c>
      <c r="C64" s="6">
        <v>30</v>
      </c>
      <c r="D64" s="6">
        <v>0</v>
      </c>
      <c r="E64" s="5">
        <v>100</v>
      </c>
      <c r="F64" s="5">
        <v>0</v>
      </c>
      <c r="G64" s="5">
        <v>100</v>
      </c>
      <c r="H64" s="5">
        <v>100</v>
      </c>
      <c r="I64" s="5">
        <v>100</v>
      </c>
      <c r="J64" s="5">
        <v>100</v>
      </c>
      <c r="K64" s="15" t="s">
        <v>54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10</v>
      </c>
      <c r="R64" s="5">
        <v>10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500</v>
      </c>
      <c r="Y64" s="16">
        <v>1200</v>
      </c>
      <c r="Z64" s="16">
        <v>2300</v>
      </c>
      <c r="AA64" s="12" t="str">
        <f t="shared" si="11"/>
        <v>0/30</v>
      </c>
      <c r="AB64" s="12" t="str">
        <f t="shared" si="10"/>
        <v>100,0,100,100,100,100</v>
      </c>
      <c r="AC64" s="12">
        <f t="shared" si="12"/>
        <v>2</v>
      </c>
      <c r="AD64" s="12" t="str">
        <f t="shared" si="13"/>
        <v>500/1200/2300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10/10/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5">
        <v>63</v>
      </c>
      <c r="C65" s="6">
        <v>30</v>
      </c>
      <c r="D65" s="6">
        <v>0</v>
      </c>
      <c r="E65" s="5">
        <v>100</v>
      </c>
      <c r="F65" s="5">
        <v>100</v>
      </c>
      <c r="G65" s="5">
        <v>0</v>
      </c>
      <c r="H65" s="5">
        <v>100</v>
      </c>
      <c r="I65" s="5">
        <v>100</v>
      </c>
      <c r="J65" s="5">
        <v>100</v>
      </c>
      <c r="K65" s="15" t="s">
        <v>54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10</v>
      </c>
      <c r="S65" s="5">
        <v>10</v>
      </c>
      <c r="T65" s="5">
        <v>0</v>
      </c>
      <c r="U65" s="6">
        <v>0</v>
      </c>
      <c r="V65" s="5">
        <v>10</v>
      </c>
      <c r="W65" s="5">
        <v>5</v>
      </c>
      <c r="X65" s="16">
        <v>500</v>
      </c>
      <c r="Y65" s="16">
        <v>1200</v>
      </c>
      <c r="Z65" s="16">
        <v>2300</v>
      </c>
      <c r="AA65" s="12" t="str">
        <f t="shared" si="11"/>
        <v>0/30</v>
      </c>
      <c r="AB65" s="12" t="str">
        <f t="shared" si="10"/>
        <v>100,100,0,100,100,100</v>
      </c>
      <c r="AC65" s="12">
        <f t="shared" si="12"/>
        <v>2</v>
      </c>
      <c r="AD65" s="12" t="str">
        <f t="shared" si="13"/>
        <v>500/1200/2300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10/10/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5">
        <v>64</v>
      </c>
      <c r="C66" s="6">
        <v>30</v>
      </c>
      <c r="D66" s="6">
        <v>0</v>
      </c>
      <c r="E66" s="5">
        <v>100</v>
      </c>
      <c r="F66" s="5">
        <v>100</v>
      </c>
      <c r="G66" s="5">
        <v>100</v>
      </c>
      <c r="H66" s="5">
        <v>0</v>
      </c>
      <c r="I66" s="5">
        <v>100</v>
      </c>
      <c r="J66" s="5">
        <v>100</v>
      </c>
      <c r="K66" s="15" t="s">
        <v>53</v>
      </c>
      <c r="L66" s="6">
        <v>3</v>
      </c>
      <c r="M66" s="6">
        <v>0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500</v>
      </c>
      <c r="Y66" s="16">
        <v>1200</v>
      </c>
      <c r="Z66" s="16">
        <v>2300</v>
      </c>
      <c r="AA66" s="12" t="str">
        <f t="shared" si="11"/>
        <v>0/30</v>
      </c>
      <c r="AB66" s="12" t="str">
        <f t="shared" si="10"/>
        <v>100,100,100,0,100,100</v>
      </c>
      <c r="AC66" s="12">
        <f t="shared" si="12"/>
        <v>1</v>
      </c>
      <c r="AD66" s="12" t="str">
        <f t="shared" si="13"/>
        <v>500/1200/2300</v>
      </c>
      <c r="AE66" s="12" t="str">
        <f t="shared" si="14"/>
        <v>1/</v>
      </c>
      <c r="AF66" s="12" t="str">
        <f t="shared" si="15"/>
        <v>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5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53</v>
      </c>
      <c r="L67" s="6">
        <v>3</v>
      </c>
      <c r="M67" s="6">
        <v>4</v>
      </c>
      <c r="N67" s="6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500</v>
      </c>
      <c r="Y67" s="16">
        <v>1200</v>
      </c>
      <c r="Z67" s="16">
        <v>2300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VLOOKUP(K67,$I$106:$J$113,2,FALSE)</f>
        <v>1</v>
      </c>
      <c r="AD67" s="12" t="str">
        <f t="shared" ref="AD67:AD102" si="21">CONCATENATE(X67,"/",Y67,"/",Z67)</f>
        <v>500/1200/2300</v>
      </c>
      <c r="AE67" s="12" t="str">
        <f t="shared" ref="AE67:AE102" si="22">CONCATENATE(IF(M67=0,"","0/"),IF(N67=0,"","1/"))</f>
        <v>0/</v>
      </c>
      <c r="AF67" s="12" t="str">
        <f t="shared" ref="AF67:AF102" si="23">CONCATENATE(IF(M67=0,"",CONCATENATE(M67,"/")),IF(N67=0,"",CONCATENATE(N67,"/")))</f>
        <v>4/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5">
        <v>66</v>
      </c>
      <c r="C68" s="6">
        <v>30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55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500</v>
      </c>
      <c r="Y68" s="16">
        <v>1200</v>
      </c>
      <c r="Z68" s="16">
        <v>2300</v>
      </c>
      <c r="AA68" s="12" t="str">
        <f t="shared" si="19"/>
        <v>0/30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500/1200/2300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5">
        <v>67</v>
      </c>
      <c r="C69" s="6">
        <v>30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55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500</v>
      </c>
      <c r="Y69" s="16">
        <v>1200</v>
      </c>
      <c r="Z69" s="16">
        <v>2300</v>
      </c>
      <c r="AA69" s="12" t="str">
        <f t="shared" si="19"/>
        <v>0/30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500/1200/2300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5">
        <v>68</v>
      </c>
      <c r="C70" s="6">
        <v>30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56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500</v>
      </c>
      <c r="Y70" s="16">
        <v>1200</v>
      </c>
      <c r="Z70" s="16">
        <v>2300</v>
      </c>
      <c r="AA70" s="12" t="str">
        <f t="shared" si="19"/>
        <v>0/30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500/1200/2300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5">
        <v>69</v>
      </c>
      <c r="C71" s="6">
        <v>30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56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500</v>
      </c>
      <c r="Y71" s="16">
        <v>1200</v>
      </c>
      <c r="Z71" s="16">
        <v>2300</v>
      </c>
      <c r="AA71" s="12" t="str">
        <f t="shared" si="19"/>
        <v>0/30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500/1200/2300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5">
        <v>70</v>
      </c>
      <c r="C72" s="6">
        <v>30</v>
      </c>
      <c r="D72" s="6">
        <v>0</v>
      </c>
      <c r="E72" s="5">
        <v>100</v>
      </c>
      <c r="F72" s="5">
        <v>100</v>
      </c>
      <c r="G72" s="5">
        <v>100</v>
      </c>
      <c r="H72" s="5">
        <v>0</v>
      </c>
      <c r="I72" s="5">
        <v>100</v>
      </c>
      <c r="J72" s="5">
        <v>100</v>
      </c>
      <c r="K72" s="15" t="s">
        <v>57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500</v>
      </c>
      <c r="Y72" s="16">
        <v>1200</v>
      </c>
      <c r="Z72" s="16">
        <v>2300</v>
      </c>
      <c r="AA72" s="12" t="str">
        <f t="shared" si="19"/>
        <v>0/30</v>
      </c>
      <c r="AB72" s="12" t="str">
        <f t="shared" si="10"/>
        <v>100,100,100,0,100,100</v>
      </c>
      <c r="AC72" s="12">
        <f t="shared" si="20"/>
        <v>5</v>
      </c>
      <c r="AD72" s="12" t="str">
        <f t="shared" si="21"/>
        <v>500/1200/2300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5">
        <v>71</v>
      </c>
      <c r="C73" s="6">
        <v>30</v>
      </c>
      <c r="D73" s="6">
        <v>0</v>
      </c>
      <c r="E73" s="5">
        <v>100</v>
      </c>
      <c r="F73" s="5">
        <v>100</v>
      </c>
      <c r="G73" s="5">
        <v>100</v>
      </c>
      <c r="H73" s="5">
        <v>100</v>
      </c>
      <c r="I73" s="5">
        <v>0</v>
      </c>
      <c r="J73" s="5">
        <v>100</v>
      </c>
      <c r="K73" s="15" t="s">
        <v>57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500</v>
      </c>
      <c r="Y73" s="16">
        <v>1200</v>
      </c>
      <c r="Z73" s="16">
        <v>2300</v>
      </c>
      <c r="AA73" s="12" t="str">
        <f t="shared" si="19"/>
        <v>0/30</v>
      </c>
      <c r="AB73" s="12" t="str">
        <f t="shared" si="10"/>
        <v>100,100,100,100,0,100</v>
      </c>
      <c r="AC73" s="12">
        <f t="shared" si="20"/>
        <v>5</v>
      </c>
      <c r="AD73" s="12" t="str">
        <f t="shared" si="21"/>
        <v>500/1200/2300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5">
        <v>72</v>
      </c>
      <c r="C74" s="6">
        <v>30</v>
      </c>
      <c r="D74" s="6">
        <v>0</v>
      </c>
      <c r="E74" s="5">
        <v>100</v>
      </c>
      <c r="F74" s="5">
        <v>100</v>
      </c>
      <c r="G74" s="5">
        <v>100</v>
      </c>
      <c r="H74" s="5">
        <v>100</v>
      </c>
      <c r="I74" s="5">
        <v>100</v>
      </c>
      <c r="J74" s="5">
        <v>0</v>
      </c>
      <c r="K74" s="15" t="s">
        <v>54</v>
      </c>
      <c r="L74" s="6">
        <v>3</v>
      </c>
      <c r="M74" s="6">
        <v>0</v>
      </c>
      <c r="N74" s="6">
        <v>0</v>
      </c>
      <c r="O74" s="5">
        <v>10</v>
      </c>
      <c r="P74" s="5">
        <v>10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500</v>
      </c>
      <c r="Y74" s="16">
        <v>1200</v>
      </c>
      <c r="Z74" s="16">
        <v>2300</v>
      </c>
      <c r="AA74" s="12" t="str">
        <f t="shared" si="19"/>
        <v>0/30</v>
      </c>
      <c r="AB74" s="12" t="str">
        <f t="shared" si="10"/>
        <v>100,100,100,100,100,0</v>
      </c>
      <c r="AC74" s="12">
        <f t="shared" si="20"/>
        <v>2</v>
      </c>
      <c r="AD74" s="12" t="str">
        <f t="shared" si="21"/>
        <v>500/1200/2300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10/10/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5">
        <v>73</v>
      </c>
      <c r="C75" s="6">
        <v>30</v>
      </c>
      <c r="D75" s="6">
        <v>0</v>
      </c>
      <c r="E75" s="5">
        <v>0</v>
      </c>
      <c r="F75" s="5">
        <v>100</v>
      </c>
      <c r="G75" s="5">
        <v>100</v>
      </c>
      <c r="H75" s="5">
        <v>100</v>
      </c>
      <c r="I75" s="5">
        <v>100</v>
      </c>
      <c r="J75" s="5">
        <v>100</v>
      </c>
      <c r="K75" s="15" t="s">
        <v>54</v>
      </c>
      <c r="L75" s="6">
        <v>3</v>
      </c>
      <c r="M75" s="6">
        <v>0</v>
      </c>
      <c r="N75" s="6">
        <v>0</v>
      </c>
      <c r="O75" s="5">
        <v>0</v>
      </c>
      <c r="P75" s="5">
        <v>10</v>
      </c>
      <c r="Q75" s="5">
        <v>10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500</v>
      </c>
      <c r="Y75" s="16">
        <v>1200</v>
      </c>
      <c r="Z75" s="16">
        <v>2300</v>
      </c>
      <c r="AA75" s="12" t="str">
        <f t="shared" si="19"/>
        <v>0/30</v>
      </c>
      <c r="AB75" s="12" t="str">
        <f t="shared" ref="AB75:AB102" si="27">CONCATENATE(E75,",",F75,",",G75,",",H75,",",I75,",",J75)</f>
        <v>0,100,100,100,100,100</v>
      </c>
      <c r="AC75" s="12">
        <f t="shared" si="20"/>
        <v>2</v>
      </c>
      <c r="AD75" s="12" t="str">
        <f t="shared" si="21"/>
        <v>500/1200/2300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10/10/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5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53</v>
      </c>
      <c r="L76" s="6">
        <v>3</v>
      </c>
      <c r="M76" s="6">
        <v>4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500</v>
      </c>
      <c r="Y76" s="16">
        <v>1200</v>
      </c>
      <c r="Z76" s="16">
        <v>2300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500/1200/2300</v>
      </c>
      <c r="AE76" s="12" t="str">
        <f t="shared" si="22"/>
        <v>0/</v>
      </c>
      <c r="AF76" s="12" t="str">
        <f t="shared" si="23"/>
        <v>4/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5">
        <v>75</v>
      </c>
      <c r="C77" s="6">
        <v>30</v>
      </c>
      <c r="D77" s="6">
        <v>0</v>
      </c>
      <c r="E77" s="5">
        <v>100</v>
      </c>
      <c r="F77" s="5">
        <v>100</v>
      </c>
      <c r="G77" s="5">
        <v>0</v>
      </c>
      <c r="H77" s="5">
        <v>100</v>
      </c>
      <c r="I77" s="5">
        <v>100</v>
      </c>
      <c r="J77" s="5">
        <v>100</v>
      </c>
      <c r="K77" s="17" t="s">
        <v>53</v>
      </c>
      <c r="L77" s="6">
        <v>3</v>
      </c>
      <c r="M77" s="6">
        <v>0</v>
      </c>
      <c r="N77" s="6">
        <v>4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500</v>
      </c>
      <c r="Y77" s="16">
        <v>1200</v>
      </c>
      <c r="Z77" s="16">
        <v>2300</v>
      </c>
      <c r="AA77" s="12" t="str">
        <f t="shared" si="19"/>
        <v>0/30</v>
      </c>
      <c r="AB77" s="12" t="str">
        <f t="shared" si="27"/>
        <v>100,100,0,100,100,100</v>
      </c>
      <c r="AC77" s="12">
        <f t="shared" si="20"/>
        <v>1</v>
      </c>
      <c r="AD77" s="12" t="str">
        <f t="shared" si="21"/>
        <v>500/1200/2300</v>
      </c>
      <c r="AE77" s="12" t="str">
        <f t="shared" si="22"/>
        <v>1/</v>
      </c>
      <c r="AF77" s="12" t="str">
        <f t="shared" si="23"/>
        <v>4/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5">
        <v>76</v>
      </c>
      <c r="C78" s="6">
        <v>30</v>
      </c>
      <c r="D78" s="6">
        <v>0</v>
      </c>
      <c r="E78" s="5">
        <v>100</v>
      </c>
      <c r="F78" s="5">
        <v>100</v>
      </c>
      <c r="G78" s="5">
        <v>100</v>
      </c>
      <c r="H78" s="5">
        <v>0</v>
      </c>
      <c r="I78" s="5">
        <v>100</v>
      </c>
      <c r="J78" s="5">
        <v>100</v>
      </c>
      <c r="K78" s="15" t="s">
        <v>55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500</v>
      </c>
      <c r="Y78" s="16">
        <v>1200</v>
      </c>
      <c r="Z78" s="16">
        <v>2300</v>
      </c>
      <c r="AA78" s="12" t="str">
        <f t="shared" si="19"/>
        <v>0/30</v>
      </c>
      <c r="AB78" s="12" t="str">
        <f t="shared" si="27"/>
        <v>100,100,100,0,100,100</v>
      </c>
      <c r="AC78" s="12">
        <f t="shared" si="20"/>
        <v>3</v>
      </c>
      <c r="AD78" s="12" t="str">
        <f t="shared" si="21"/>
        <v>500/1200/2300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5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100</v>
      </c>
      <c r="I79" s="5">
        <v>0</v>
      </c>
      <c r="J79" s="5">
        <v>100</v>
      </c>
      <c r="K79" s="15" t="s">
        <v>55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500</v>
      </c>
      <c r="Y79" s="16">
        <v>1200</v>
      </c>
      <c r="Z79" s="16">
        <v>2300</v>
      </c>
      <c r="AA79" s="12" t="str">
        <f t="shared" si="19"/>
        <v>0/30</v>
      </c>
      <c r="AB79" s="12" t="str">
        <f t="shared" si="27"/>
        <v>100,100,100,100,0,100</v>
      </c>
      <c r="AC79" s="12">
        <f t="shared" si="20"/>
        <v>3</v>
      </c>
      <c r="AD79" s="12" t="str">
        <f t="shared" si="21"/>
        <v>500/1200/2300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5">
        <v>78</v>
      </c>
      <c r="C80" s="6">
        <v>30</v>
      </c>
      <c r="D80" s="6">
        <v>0</v>
      </c>
      <c r="E80" s="5">
        <v>100</v>
      </c>
      <c r="F80" s="5">
        <v>100</v>
      </c>
      <c r="G80" s="5">
        <v>100</v>
      </c>
      <c r="H80" s="5">
        <v>100</v>
      </c>
      <c r="I80" s="5">
        <v>100</v>
      </c>
      <c r="J80" s="5">
        <v>0</v>
      </c>
      <c r="K80" s="15" t="s">
        <v>56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500</v>
      </c>
      <c r="Y80" s="16">
        <v>1200</v>
      </c>
      <c r="Z80" s="16">
        <v>2300</v>
      </c>
      <c r="AA80" s="12" t="str">
        <f t="shared" si="19"/>
        <v>0/30</v>
      </c>
      <c r="AB80" s="12" t="str">
        <f t="shared" si="27"/>
        <v>100,100,100,100,100,0</v>
      </c>
      <c r="AC80" s="12">
        <f t="shared" si="20"/>
        <v>4</v>
      </c>
      <c r="AD80" s="12" t="str">
        <f t="shared" si="21"/>
        <v>500/1200/2300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5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56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500</v>
      </c>
      <c r="Y81" s="16">
        <v>1200</v>
      </c>
      <c r="Z81" s="16">
        <v>2300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500/1200/2300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5">
        <v>80</v>
      </c>
      <c r="C82" s="6">
        <v>30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57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500</v>
      </c>
      <c r="Y82" s="16">
        <v>1200</v>
      </c>
      <c r="Z82" s="16">
        <v>2300</v>
      </c>
      <c r="AA82" s="12" t="str">
        <f t="shared" si="19"/>
        <v>0/30</v>
      </c>
      <c r="AB82" s="12" t="str">
        <f t="shared" si="27"/>
        <v>100,0,100,100,100,100</v>
      </c>
      <c r="AC82" s="12">
        <f t="shared" si="20"/>
        <v>5</v>
      </c>
      <c r="AD82" s="12" t="str">
        <f t="shared" si="21"/>
        <v>500/1200/2300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5">
        <v>81</v>
      </c>
      <c r="C83" s="6">
        <v>30</v>
      </c>
      <c r="D83" s="6">
        <v>0</v>
      </c>
      <c r="E83" s="5">
        <v>100</v>
      </c>
      <c r="F83" s="5">
        <v>100</v>
      </c>
      <c r="G83" s="5">
        <v>0</v>
      </c>
      <c r="H83" s="5">
        <v>100</v>
      </c>
      <c r="I83" s="5">
        <v>100</v>
      </c>
      <c r="J83" s="5">
        <v>100</v>
      </c>
      <c r="K83" s="15" t="s">
        <v>57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500</v>
      </c>
      <c r="Y83" s="16">
        <v>1200</v>
      </c>
      <c r="Z83" s="16">
        <v>2300</v>
      </c>
      <c r="AA83" s="12" t="str">
        <f t="shared" si="19"/>
        <v>0/30</v>
      </c>
      <c r="AB83" s="12" t="str">
        <f t="shared" si="27"/>
        <v>100,100,0,100,100,100</v>
      </c>
      <c r="AC83" s="12">
        <f t="shared" si="20"/>
        <v>5</v>
      </c>
      <c r="AD83" s="12" t="str">
        <f t="shared" si="21"/>
        <v>500/1200/2300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5">
        <v>82</v>
      </c>
      <c r="C84" s="6">
        <v>30</v>
      </c>
      <c r="D84" s="6">
        <v>0</v>
      </c>
      <c r="E84" s="5">
        <v>100</v>
      </c>
      <c r="F84" s="5">
        <v>100</v>
      </c>
      <c r="G84" s="5">
        <v>100</v>
      </c>
      <c r="H84" s="5">
        <v>0</v>
      </c>
      <c r="I84" s="5">
        <v>100</v>
      </c>
      <c r="J84" s="5">
        <v>100</v>
      </c>
      <c r="K84" s="15" t="s">
        <v>54</v>
      </c>
      <c r="L84" s="6">
        <v>3</v>
      </c>
      <c r="M84" s="6">
        <v>0</v>
      </c>
      <c r="N84" s="6">
        <v>0</v>
      </c>
      <c r="O84" s="5">
        <v>0</v>
      </c>
      <c r="P84" s="5">
        <v>0</v>
      </c>
      <c r="Q84" s="5">
        <v>0</v>
      </c>
      <c r="R84" s="5">
        <v>0</v>
      </c>
      <c r="S84" s="5">
        <v>10</v>
      </c>
      <c r="T84" s="5">
        <v>10</v>
      </c>
      <c r="U84" s="6">
        <v>0</v>
      </c>
      <c r="V84" s="5">
        <v>10</v>
      </c>
      <c r="W84" s="5">
        <v>5</v>
      </c>
      <c r="X84" s="16">
        <v>500</v>
      </c>
      <c r="Y84" s="16">
        <v>1200</v>
      </c>
      <c r="Z84" s="16">
        <v>2300</v>
      </c>
      <c r="AA84" s="12" t="str">
        <f t="shared" si="19"/>
        <v>0/30</v>
      </c>
      <c r="AB84" s="12" t="str">
        <f t="shared" si="27"/>
        <v>100,100,100,0,100,100</v>
      </c>
      <c r="AC84" s="12">
        <f t="shared" si="20"/>
        <v>2</v>
      </c>
      <c r="AD84" s="12" t="str">
        <f t="shared" si="21"/>
        <v>500/1200/2300</v>
      </c>
      <c r="AE84" s="12" t="str">
        <f t="shared" si="22"/>
        <v/>
      </c>
      <c r="AF84" s="12" t="str">
        <f t="shared" si="23"/>
        <v/>
      </c>
      <c r="AG84" s="12" t="str">
        <f t="shared" si="24"/>
        <v>4/5/</v>
      </c>
      <c r="AH84" s="12" t="str">
        <f t="shared" si="25"/>
        <v>10/10/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5">
        <v>83</v>
      </c>
      <c r="C85" s="6">
        <v>30</v>
      </c>
      <c r="D85" s="6">
        <v>0</v>
      </c>
      <c r="E85" s="5">
        <v>100</v>
      </c>
      <c r="F85" s="5">
        <v>100</v>
      </c>
      <c r="G85" s="5">
        <v>100</v>
      </c>
      <c r="H85" s="5">
        <v>100</v>
      </c>
      <c r="I85" s="5">
        <v>0</v>
      </c>
      <c r="J85" s="5">
        <v>100</v>
      </c>
      <c r="K85" s="15" t="s">
        <v>54</v>
      </c>
      <c r="L85" s="6">
        <v>3</v>
      </c>
      <c r="M85" s="6">
        <v>0</v>
      </c>
      <c r="N85" s="6">
        <v>0</v>
      </c>
      <c r="O85" s="5">
        <v>10</v>
      </c>
      <c r="P85" s="5">
        <v>0</v>
      </c>
      <c r="Q85" s="5">
        <v>0</v>
      </c>
      <c r="R85" s="5">
        <v>0</v>
      </c>
      <c r="S85" s="5">
        <v>0</v>
      </c>
      <c r="T85" s="5">
        <v>10</v>
      </c>
      <c r="U85" s="6">
        <v>0</v>
      </c>
      <c r="V85" s="5">
        <v>10</v>
      </c>
      <c r="W85" s="5">
        <v>5</v>
      </c>
      <c r="X85" s="16">
        <v>500</v>
      </c>
      <c r="Y85" s="16">
        <v>1200</v>
      </c>
      <c r="Z85" s="16">
        <v>2300</v>
      </c>
      <c r="AA85" s="12" t="str">
        <f t="shared" si="19"/>
        <v>0/30</v>
      </c>
      <c r="AB85" s="12" t="str">
        <f t="shared" si="27"/>
        <v>100,100,100,100,0,100</v>
      </c>
      <c r="AC85" s="12">
        <f t="shared" si="20"/>
        <v>2</v>
      </c>
      <c r="AD85" s="12" t="str">
        <f t="shared" si="21"/>
        <v>500/1200/2300</v>
      </c>
      <c r="AE85" s="12" t="str">
        <f t="shared" si="22"/>
        <v/>
      </c>
      <c r="AF85" s="12" t="str">
        <f t="shared" si="23"/>
        <v/>
      </c>
      <c r="AG85" s="12" t="str">
        <f t="shared" si="24"/>
        <v>0/5/</v>
      </c>
      <c r="AH85" s="12" t="str">
        <f t="shared" si="25"/>
        <v>10/10/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5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100</v>
      </c>
      <c r="I86" s="5">
        <v>100</v>
      </c>
      <c r="J86" s="5">
        <v>0</v>
      </c>
      <c r="K86" s="15" t="s">
        <v>53</v>
      </c>
      <c r="L86" s="6">
        <v>3</v>
      </c>
      <c r="M86" s="6">
        <v>4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500</v>
      </c>
      <c r="Y86" s="16">
        <v>1200</v>
      </c>
      <c r="Z86" s="16">
        <v>2300</v>
      </c>
      <c r="AA86" s="12" t="str">
        <f t="shared" si="19"/>
        <v>0/30</v>
      </c>
      <c r="AB86" s="12" t="str">
        <f t="shared" si="27"/>
        <v>100,100,100,100,100,0</v>
      </c>
      <c r="AC86" s="12">
        <f t="shared" si="20"/>
        <v>1</v>
      </c>
      <c r="AD86" s="12" t="str">
        <f t="shared" si="21"/>
        <v>500/1200/2300</v>
      </c>
      <c r="AE86" s="12" t="str">
        <f t="shared" si="22"/>
        <v>0/</v>
      </c>
      <c r="AF86" s="12" t="str">
        <f t="shared" si="23"/>
        <v>4/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5">
        <v>85</v>
      </c>
      <c r="C87" s="6">
        <v>30</v>
      </c>
      <c r="D87" s="6">
        <v>0</v>
      </c>
      <c r="E87" s="5">
        <v>0</v>
      </c>
      <c r="F87" s="5">
        <v>100</v>
      </c>
      <c r="G87" s="5">
        <v>100</v>
      </c>
      <c r="H87" s="5">
        <v>100</v>
      </c>
      <c r="I87" s="5">
        <v>100</v>
      </c>
      <c r="J87" s="5">
        <v>100</v>
      </c>
      <c r="K87" s="15" t="s">
        <v>53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500</v>
      </c>
      <c r="Y87" s="16">
        <v>1200</v>
      </c>
      <c r="Z87" s="16">
        <v>2300</v>
      </c>
      <c r="AA87" s="12" t="str">
        <f t="shared" si="19"/>
        <v>0/30</v>
      </c>
      <c r="AB87" s="12" t="str">
        <f t="shared" si="27"/>
        <v>0,100,100,100,100,100</v>
      </c>
      <c r="AC87" s="12">
        <f t="shared" si="20"/>
        <v>1</v>
      </c>
      <c r="AD87" s="12" t="str">
        <f t="shared" si="21"/>
        <v>500/1200/2300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5">
        <v>86</v>
      </c>
      <c r="C88" s="6">
        <v>30</v>
      </c>
      <c r="D88" s="6">
        <v>0</v>
      </c>
      <c r="E88" s="5">
        <v>100</v>
      </c>
      <c r="F88" s="5">
        <v>0</v>
      </c>
      <c r="G88" s="5">
        <v>100</v>
      </c>
      <c r="H88" s="5">
        <v>100</v>
      </c>
      <c r="I88" s="5">
        <v>100</v>
      </c>
      <c r="J88" s="5">
        <v>100</v>
      </c>
      <c r="K88" s="15" t="s">
        <v>55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500</v>
      </c>
      <c r="Y88" s="16">
        <v>1200</v>
      </c>
      <c r="Z88" s="16">
        <v>2300</v>
      </c>
      <c r="AA88" s="12" t="str">
        <f t="shared" si="19"/>
        <v>0/30</v>
      </c>
      <c r="AB88" s="12" t="str">
        <f t="shared" si="27"/>
        <v>100,0,100,100,100,100</v>
      </c>
      <c r="AC88" s="12">
        <f t="shared" si="20"/>
        <v>3</v>
      </c>
      <c r="AD88" s="12" t="str">
        <f t="shared" si="21"/>
        <v>500/1200/2300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5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55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500</v>
      </c>
      <c r="Y89" s="16">
        <v>1200</v>
      </c>
      <c r="Z89" s="16">
        <v>2300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500/1200/2300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5">
        <v>88</v>
      </c>
      <c r="C90" s="6">
        <v>30</v>
      </c>
      <c r="D90" s="6">
        <v>0</v>
      </c>
      <c r="E90" s="5">
        <v>100</v>
      </c>
      <c r="F90" s="5">
        <v>100</v>
      </c>
      <c r="G90" s="5">
        <v>100</v>
      </c>
      <c r="H90" s="5">
        <v>0</v>
      </c>
      <c r="I90" s="5">
        <v>100</v>
      </c>
      <c r="J90" s="5">
        <v>100</v>
      </c>
      <c r="K90" s="15" t="s">
        <v>56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500</v>
      </c>
      <c r="Y90" s="16">
        <v>1200</v>
      </c>
      <c r="Z90" s="16">
        <v>2300</v>
      </c>
      <c r="AA90" s="12" t="str">
        <f t="shared" si="19"/>
        <v>0/30</v>
      </c>
      <c r="AB90" s="12" t="str">
        <f t="shared" si="27"/>
        <v>100,100,100,0,100,100</v>
      </c>
      <c r="AC90" s="12">
        <f t="shared" si="20"/>
        <v>4</v>
      </c>
      <c r="AD90" s="12" t="str">
        <f t="shared" si="21"/>
        <v>500/1200/2300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5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56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500</v>
      </c>
      <c r="Y91" s="16">
        <v>1200</v>
      </c>
      <c r="Z91" s="16">
        <v>2300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500/1200/2300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5">
        <v>90</v>
      </c>
      <c r="C92" s="6">
        <v>30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57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500</v>
      </c>
      <c r="Y92" s="16">
        <v>1200</v>
      </c>
      <c r="Z92" s="16">
        <v>2300</v>
      </c>
      <c r="AA92" s="12" t="str">
        <f t="shared" si="19"/>
        <v>0/30</v>
      </c>
      <c r="AB92" s="12" t="str">
        <f t="shared" si="27"/>
        <v>100,100,100,100,100,0</v>
      </c>
      <c r="AC92" s="12">
        <f t="shared" si="20"/>
        <v>5</v>
      </c>
      <c r="AD92" s="12" t="str">
        <f t="shared" si="21"/>
        <v>500/1200/2300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5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57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500</v>
      </c>
      <c r="Y93" s="16">
        <v>1200</v>
      </c>
      <c r="Z93" s="16">
        <v>2300</v>
      </c>
      <c r="AA93" s="12" t="str">
        <f t="shared" si="19"/>
        <v>0/30</v>
      </c>
      <c r="AB93" s="12" t="str">
        <f t="shared" si="27"/>
        <v>0,100,100,100,100,100</v>
      </c>
      <c r="AC93" s="12">
        <f t="shared" si="20"/>
        <v>5</v>
      </c>
      <c r="AD93" s="12" t="str">
        <f t="shared" si="21"/>
        <v>500/1200/2300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5">
        <v>92</v>
      </c>
      <c r="C94" s="6">
        <v>30</v>
      </c>
      <c r="D94" s="6">
        <v>0</v>
      </c>
      <c r="E94" s="5">
        <v>100</v>
      </c>
      <c r="F94" s="5">
        <v>0</v>
      </c>
      <c r="G94" s="5">
        <v>100</v>
      </c>
      <c r="H94" s="5">
        <v>100</v>
      </c>
      <c r="I94" s="5">
        <v>100</v>
      </c>
      <c r="J94" s="5">
        <v>100</v>
      </c>
      <c r="K94" s="15" t="s">
        <v>54</v>
      </c>
      <c r="L94" s="6">
        <v>3</v>
      </c>
      <c r="M94" s="6">
        <v>0</v>
      </c>
      <c r="N94" s="6">
        <v>0</v>
      </c>
      <c r="O94" s="5">
        <v>0</v>
      </c>
      <c r="P94" s="5">
        <v>0</v>
      </c>
      <c r="Q94" s="5">
        <v>10</v>
      </c>
      <c r="R94" s="5">
        <v>10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500</v>
      </c>
      <c r="Y94" s="16">
        <v>1200</v>
      </c>
      <c r="Z94" s="16">
        <v>2300</v>
      </c>
      <c r="AA94" s="12" t="str">
        <f t="shared" si="19"/>
        <v>0/30</v>
      </c>
      <c r="AB94" s="12" t="str">
        <f t="shared" si="27"/>
        <v>100,0,100,100,100,100</v>
      </c>
      <c r="AC94" s="12">
        <f t="shared" si="20"/>
        <v>2</v>
      </c>
      <c r="AD94" s="12" t="str">
        <f t="shared" si="21"/>
        <v>500/1200/2300</v>
      </c>
      <c r="AE94" s="12" t="str">
        <f t="shared" si="22"/>
        <v/>
      </c>
      <c r="AF94" s="12" t="str">
        <f t="shared" si="23"/>
        <v/>
      </c>
      <c r="AG94" s="12" t="str">
        <f t="shared" si="24"/>
        <v>2/3/</v>
      </c>
      <c r="AH94" s="12" t="str">
        <f t="shared" si="25"/>
        <v>10/10/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5">
        <v>93</v>
      </c>
      <c r="C95" s="6">
        <v>30</v>
      </c>
      <c r="D95" s="6">
        <v>0</v>
      </c>
      <c r="E95" s="5">
        <v>100</v>
      </c>
      <c r="F95" s="5">
        <v>100</v>
      </c>
      <c r="G95" s="5">
        <v>0</v>
      </c>
      <c r="H95" s="5">
        <v>100</v>
      </c>
      <c r="I95" s="5">
        <v>100</v>
      </c>
      <c r="J95" s="5">
        <v>100</v>
      </c>
      <c r="K95" s="15" t="s">
        <v>54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10</v>
      </c>
      <c r="S95" s="5">
        <v>10</v>
      </c>
      <c r="T95" s="5">
        <v>0</v>
      </c>
      <c r="U95" s="6">
        <v>0</v>
      </c>
      <c r="V95" s="5">
        <v>10</v>
      </c>
      <c r="W95" s="5">
        <v>5</v>
      </c>
      <c r="X95" s="16">
        <v>500</v>
      </c>
      <c r="Y95" s="16">
        <v>1200</v>
      </c>
      <c r="Z95" s="16">
        <v>2300</v>
      </c>
      <c r="AA95" s="12" t="str">
        <f t="shared" si="19"/>
        <v>0/30</v>
      </c>
      <c r="AB95" s="12" t="str">
        <f t="shared" si="27"/>
        <v>100,100,0,100,100,100</v>
      </c>
      <c r="AC95" s="12">
        <f t="shared" si="20"/>
        <v>2</v>
      </c>
      <c r="AD95" s="12" t="str">
        <f t="shared" si="21"/>
        <v>500/1200/2300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10/10/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5">
        <v>94</v>
      </c>
      <c r="C96" s="6">
        <v>30</v>
      </c>
      <c r="D96" s="6">
        <v>0</v>
      </c>
      <c r="E96" s="5">
        <v>100</v>
      </c>
      <c r="F96" s="5">
        <v>100</v>
      </c>
      <c r="G96" s="5">
        <v>100</v>
      </c>
      <c r="H96" s="5">
        <v>0</v>
      </c>
      <c r="I96" s="5">
        <v>100</v>
      </c>
      <c r="J96" s="5">
        <v>100</v>
      </c>
      <c r="K96" s="15" t="s">
        <v>53</v>
      </c>
      <c r="L96" s="6">
        <v>3</v>
      </c>
      <c r="M96" s="6">
        <v>4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500</v>
      </c>
      <c r="Y96" s="16">
        <v>1200</v>
      </c>
      <c r="Z96" s="16">
        <v>2300</v>
      </c>
      <c r="AA96" s="12" t="str">
        <f t="shared" si="19"/>
        <v>0/30</v>
      </c>
      <c r="AB96" s="12" t="str">
        <f t="shared" si="27"/>
        <v>100,100,100,0,100,100</v>
      </c>
      <c r="AC96" s="12">
        <f t="shared" si="20"/>
        <v>1</v>
      </c>
      <c r="AD96" s="12" t="str">
        <f t="shared" si="21"/>
        <v>500/1200/2300</v>
      </c>
      <c r="AE96" s="12" t="str">
        <f t="shared" si="22"/>
        <v>0/</v>
      </c>
      <c r="AF96" s="12" t="str">
        <f t="shared" si="23"/>
        <v>4/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5">
        <v>95</v>
      </c>
      <c r="C97" s="6">
        <v>30</v>
      </c>
      <c r="D97" s="6">
        <v>0</v>
      </c>
      <c r="E97" s="5">
        <v>100</v>
      </c>
      <c r="F97" s="5">
        <v>100</v>
      </c>
      <c r="G97" s="5">
        <v>100</v>
      </c>
      <c r="H97" s="5">
        <v>100</v>
      </c>
      <c r="I97" s="5">
        <v>0</v>
      </c>
      <c r="J97" s="5">
        <v>100</v>
      </c>
      <c r="K97" s="15" t="s">
        <v>53</v>
      </c>
      <c r="L97" s="6">
        <v>3</v>
      </c>
      <c r="M97" s="6">
        <v>0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500</v>
      </c>
      <c r="Y97" s="16">
        <v>1200</v>
      </c>
      <c r="Z97" s="16">
        <v>2300</v>
      </c>
      <c r="AA97" s="12" t="str">
        <f t="shared" si="19"/>
        <v>0/30</v>
      </c>
      <c r="AB97" s="12" t="str">
        <f t="shared" si="27"/>
        <v>100,100,100,100,0,100</v>
      </c>
      <c r="AC97" s="12">
        <f t="shared" si="20"/>
        <v>1</v>
      </c>
      <c r="AD97" s="12" t="str">
        <f t="shared" si="21"/>
        <v>500/1200/2300</v>
      </c>
      <c r="AE97" s="12" t="str">
        <f t="shared" si="22"/>
        <v>1/</v>
      </c>
      <c r="AF97" s="12" t="str">
        <f t="shared" si="23"/>
        <v>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5">
        <v>96</v>
      </c>
      <c r="C98" s="6">
        <v>30</v>
      </c>
      <c r="D98" s="6">
        <v>0</v>
      </c>
      <c r="E98" s="5">
        <v>100</v>
      </c>
      <c r="F98" s="5">
        <v>100</v>
      </c>
      <c r="G98" s="5">
        <v>100</v>
      </c>
      <c r="H98" s="5">
        <v>100</v>
      </c>
      <c r="I98" s="5">
        <v>100</v>
      </c>
      <c r="J98" s="5">
        <v>0</v>
      </c>
      <c r="K98" s="15" t="s">
        <v>55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500</v>
      </c>
      <c r="Y98" s="16">
        <v>1200</v>
      </c>
      <c r="Z98" s="16">
        <v>2300</v>
      </c>
      <c r="AA98" s="12" t="str">
        <f t="shared" si="19"/>
        <v>0/30</v>
      </c>
      <c r="AB98" s="12" t="str">
        <f t="shared" si="27"/>
        <v>100,100,100,100,100,0</v>
      </c>
      <c r="AC98" s="12">
        <f t="shared" si="20"/>
        <v>3</v>
      </c>
      <c r="AD98" s="12" t="str">
        <f t="shared" si="21"/>
        <v>500/1200/2300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5">
        <v>97</v>
      </c>
      <c r="C99" s="6">
        <v>30</v>
      </c>
      <c r="D99" s="6">
        <v>0</v>
      </c>
      <c r="E99" s="5">
        <v>0</v>
      </c>
      <c r="F99" s="5">
        <v>100</v>
      </c>
      <c r="G99" s="5">
        <v>100</v>
      </c>
      <c r="H99" s="5">
        <v>100</v>
      </c>
      <c r="I99" s="5">
        <v>100</v>
      </c>
      <c r="J99" s="5">
        <v>100</v>
      </c>
      <c r="K99" s="15" t="s">
        <v>55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500</v>
      </c>
      <c r="Y99" s="16">
        <v>1200</v>
      </c>
      <c r="Z99" s="16">
        <v>2300</v>
      </c>
      <c r="AA99" s="12" t="str">
        <f t="shared" si="19"/>
        <v>0/30</v>
      </c>
      <c r="AB99" s="12" t="str">
        <f t="shared" si="27"/>
        <v>0,100,100,100,100,100</v>
      </c>
      <c r="AC99" s="12">
        <f t="shared" si="20"/>
        <v>3</v>
      </c>
      <c r="AD99" s="12" t="str">
        <f t="shared" si="21"/>
        <v>500/1200/2300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5">
        <v>98</v>
      </c>
      <c r="C100" s="6">
        <v>30</v>
      </c>
      <c r="D100" s="6">
        <v>0</v>
      </c>
      <c r="E100" s="5">
        <v>100</v>
      </c>
      <c r="F100" s="5">
        <v>0</v>
      </c>
      <c r="G100" s="5">
        <v>100</v>
      </c>
      <c r="H100" s="5">
        <v>100</v>
      </c>
      <c r="I100" s="5">
        <v>100</v>
      </c>
      <c r="J100" s="5">
        <v>100</v>
      </c>
      <c r="K100" s="15" t="s">
        <v>56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500</v>
      </c>
      <c r="Y100" s="16">
        <v>1200</v>
      </c>
      <c r="Z100" s="16">
        <v>2300</v>
      </c>
      <c r="AA100" s="12" t="str">
        <f t="shared" si="19"/>
        <v>0/30</v>
      </c>
      <c r="AB100" s="12" t="str">
        <f t="shared" si="27"/>
        <v>100,0,100,100,100,100</v>
      </c>
      <c r="AC100" s="12">
        <f t="shared" si="20"/>
        <v>4</v>
      </c>
      <c r="AD100" s="12" t="str">
        <f t="shared" si="21"/>
        <v>500/1200/2300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5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56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500</v>
      </c>
      <c r="Y101" s="16">
        <v>1200</v>
      </c>
      <c r="Z101" s="16">
        <v>2300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500/1200/2300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5">
        <v>100</v>
      </c>
      <c r="C102" s="6">
        <v>30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52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500</v>
      </c>
      <c r="Y102" s="16">
        <v>1200</v>
      </c>
      <c r="Z102" s="16">
        <v>2300</v>
      </c>
      <c r="AA102" s="12" t="str">
        <f t="shared" si="19"/>
        <v>0/30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500/1200/2300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4"/>
      <c r="E103" s="10"/>
      <c r="F103" s="10"/>
      <c r="G103" s="10"/>
      <c r="H103" s="10"/>
      <c r="I103" s="10"/>
      <c r="J103" s="10"/>
      <c r="O103" s="10"/>
      <c r="P103" s="10"/>
      <c r="Q103" s="10"/>
      <c r="R103" s="10"/>
      <c r="S103" s="10"/>
      <c r="T103" s="10"/>
      <c r="V103" s="10"/>
      <c r="W103" s="10"/>
      <c r="X103" s="10"/>
      <c r="Y103" s="10"/>
      <c r="Z103" s="10"/>
    </row>
    <row r="104" spans="1:35" s="8" customFormat="1" ht="21.95" customHeight="1">
      <c r="A104" s="2">
        <v>1</v>
      </c>
      <c r="B104" s="3">
        <v>2</v>
      </c>
      <c r="C104" s="2">
        <v>3</v>
      </c>
      <c r="D104" s="2">
        <v>4</v>
      </c>
      <c r="E104" s="13">
        <v>5</v>
      </c>
      <c r="F104" s="13">
        <v>6</v>
      </c>
      <c r="G104" s="13">
        <v>7</v>
      </c>
      <c r="H104" s="13">
        <v>8</v>
      </c>
      <c r="I104" s="13">
        <v>9</v>
      </c>
      <c r="J104" s="13">
        <v>10</v>
      </c>
      <c r="K104" s="2">
        <v>11</v>
      </c>
      <c r="L104" s="3">
        <v>12</v>
      </c>
      <c r="M104" s="2">
        <v>13</v>
      </c>
      <c r="N104" s="2">
        <v>14</v>
      </c>
      <c r="O104" s="13">
        <v>15</v>
      </c>
      <c r="P104" s="13">
        <v>16</v>
      </c>
      <c r="Q104" s="13">
        <v>17</v>
      </c>
      <c r="R104" s="13">
        <v>18</v>
      </c>
      <c r="S104" s="13">
        <v>19</v>
      </c>
      <c r="T104" s="13">
        <v>20</v>
      </c>
      <c r="U104" s="3">
        <v>21</v>
      </c>
      <c r="V104" s="13">
        <v>22</v>
      </c>
      <c r="W104" s="13">
        <v>23</v>
      </c>
      <c r="X104" s="13">
        <v>24</v>
      </c>
      <c r="Y104" s="13">
        <v>25</v>
      </c>
      <c r="Z104" s="13">
        <v>26</v>
      </c>
      <c r="AA104" s="11">
        <v>27</v>
      </c>
      <c r="AB104" s="11">
        <v>28</v>
      </c>
      <c r="AC104" s="11">
        <v>29</v>
      </c>
      <c r="AD104" s="11">
        <v>30</v>
      </c>
      <c r="AE104" s="11">
        <v>31</v>
      </c>
      <c r="AF104" s="11">
        <v>32</v>
      </c>
      <c r="AG104" s="11">
        <v>33</v>
      </c>
      <c r="AH104" s="11">
        <v>34</v>
      </c>
      <c r="AI104" s="11">
        <v>35</v>
      </c>
    </row>
    <row r="105" spans="1:35" s="8" customFormat="1" ht="21.95" customHeight="1">
      <c r="A105" s="4"/>
      <c r="E105" s="10"/>
      <c r="F105" s="10"/>
      <c r="G105" s="10"/>
      <c r="H105" s="10"/>
      <c r="I105" s="10"/>
      <c r="J105" s="10"/>
      <c r="O105" s="10"/>
      <c r="P105" s="10"/>
      <c r="Q105" s="10"/>
      <c r="R105" s="10"/>
      <c r="S105" s="10"/>
      <c r="T105" s="10"/>
      <c r="V105" s="10"/>
      <c r="W105" s="10"/>
      <c r="X105" s="10"/>
      <c r="Y105" s="10"/>
      <c r="Z105" s="10"/>
    </row>
    <row r="106" spans="1:35" ht="21.95" customHeight="1">
      <c r="I106" s="14" t="s">
        <v>31</v>
      </c>
      <c r="J106" s="14">
        <v>0</v>
      </c>
    </row>
    <row r="107" spans="1:35" ht="21.95" customHeight="1">
      <c r="I107" s="14" t="s">
        <v>32</v>
      </c>
      <c r="J107" s="14">
        <v>1</v>
      </c>
    </row>
    <row r="108" spans="1:35" ht="21.95" customHeight="1">
      <c r="I108" s="14" t="s">
        <v>33</v>
      </c>
      <c r="J108" s="14">
        <v>2</v>
      </c>
    </row>
    <row r="109" spans="1:35" ht="21.95" customHeight="1">
      <c r="I109" s="14" t="s">
        <v>34</v>
      </c>
      <c r="J109" s="14">
        <v>3</v>
      </c>
    </row>
    <row r="110" spans="1:35" ht="21.95" customHeight="1">
      <c r="I110" s="14" t="s">
        <v>35</v>
      </c>
      <c r="J110" s="14">
        <v>4</v>
      </c>
    </row>
    <row r="111" spans="1:35" ht="21.95" customHeight="1">
      <c r="I111" s="14" t="s">
        <v>36</v>
      </c>
      <c r="J111" s="14">
        <v>5</v>
      </c>
    </row>
    <row r="112" spans="1:35" ht="21.95" customHeight="1">
      <c r="I112" s="14" t="s">
        <v>51</v>
      </c>
      <c r="J112" s="14"/>
    </row>
    <row r="113" spans="9:10" ht="21.95" customHeight="1">
      <c r="I113" s="14"/>
      <c r="J113" s="14"/>
    </row>
  </sheetData>
  <phoneticPr fontId="0" type="noConversion"/>
  <conditionalFormatting sqref="E3:J102">
    <cfRule type="expression" dxfId="63" priority="19">
      <formula>E3=0</formula>
    </cfRule>
  </conditionalFormatting>
  <conditionalFormatting sqref="M3:M102">
    <cfRule type="expression" dxfId="62" priority="17">
      <formula>AC3&lt;&gt;1</formula>
    </cfRule>
  </conditionalFormatting>
  <conditionalFormatting sqref="N3:N102">
    <cfRule type="expression" dxfId="61" priority="16">
      <formula>AC3&lt;&gt;1</formula>
    </cfRule>
  </conditionalFormatting>
  <conditionalFormatting sqref="L3:L102">
    <cfRule type="expression" dxfId="60" priority="15">
      <formula>AC3&lt;&gt;0</formula>
    </cfRule>
  </conditionalFormatting>
  <conditionalFormatting sqref="O3:T102">
    <cfRule type="expression" dxfId="59" priority="14">
      <formula>E3=0</formula>
    </cfRule>
  </conditionalFormatting>
  <conditionalFormatting sqref="U3:U102">
    <cfRule type="expression" dxfId="58" priority="13">
      <formula>AC3&lt;&gt;4</formula>
    </cfRule>
  </conditionalFormatting>
  <conditionalFormatting sqref="E3">
    <cfRule type="expression" dxfId="57" priority="12">
      <formula>O3&lt;&gt;0</formula>
    </cfRule>
  </conditionalFormatting>
  <conditionalFormatting sqref="F3">
    <cfRule type="expression" dxfId="56" priority="11">
      <formula>P3&lt;&gt;0</formula>
    </cfRule>
  </conditionalFormatting>
  <conditionalFormatting sqref="G3">
    <cfRule type="expression" dxfId="55" priority="10">
      <formula>Q3&lt;&gt;0</formula>
    </cfRule>
  </conditionalFormatting>
  <conditionalFormatting sqref="H3">
    <cfRule type="expression" dxfId="54" priority="9">
      <formula>R3&lt;&gt;0</formula>
    </cfRule>
  </conditionalFormatting>
  <conditionalFormatting sqref="I3">
    <cfRule type="expression" dxfId="53" priority="8">
      <formula>S3&lt;&gt;0</formula>
    </cfRule>
  </conditionalFormatting>
  <conditionalFormatting sqref="J3">
    <cfRule type="expression" dxfId="52" priority="7">
      <formula>T3&lt;&gt;0</formula>
    </cfRule>
  </conditionalFormatting>
  <conditionalFormatting sqref="E4:E102">
    <cfRule type="expression" dxfId="39" priority="6">
      <formula>O4&lt;&gt;0</formula>
    </cfRule>
  </conditionalFormatting>
  <conditionalFormatting sqref="F4:F102">
    <cfRule type="expression" dxfId="37" priority="5">
      <formula>P4&lt;&gt;0</formula>
    </cfRule>
  </conditionalFormatting>
  <conditionalFormatting sqref="G4:G102">
    <cfRule type="expression" dxfId="35" priority="4">
      <formula>Q4&lt;&gt;0</formula>
    </cfRule>
  </conditionalFormatting>
  <conditionalFormatting sqref="H4:H102">
    <cfRule type="expression" dxfId="33" priority="3">
      <formula>R4&lt;&gt;0</formula>
    </cfRule>
  </conditionalFormatting>
  <conditionalFormatting sqref="I4:I102">
    <cfRule type="expression" dxfId="31" priority="2">
      <formula>S4&lt;&gt;0</formula>
    </cfRule>
  </conditionalFormatting>
  <conditionalFormatting sqref="J4:J102">
    <cfRule type="expression" dxfId="29" priority="1">
      <formula>T4&lt;&gt;0</formula>
    </cfRule>
  </conditionalFormatting>
  <dataValidations count="1">
    <dataValidation type="list" allowBlank="1" showInputMessage="1" showErrorMessage="1" sqref="K3:K102">
      <formula1>$I$106:$I$113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1"/>
  <sheetViews>
    <sheetView workbookViewId="0">
      <selection activeCell="I1" sqref="I1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59</v>
      </c>
      <c r="H2" t="s">
        <v>59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0</v>
      </c>
      <c r="E3" t="s">
        <v>75</v>
      </c>
      <c r="F3">
        <v>3</v>
      </c>
      <c r="G3" t="s">
        <v>59</v>
      </c>
      <c r="H3" t="s">
        <v>59</v>
      </c>
      <c r="I3" t="s">
        <v>81</v>
      </c>
      <c r="J3" t="s">
        <v>77</v>
      </c>
      <c r="K3">
        <v>0</v>
      </c>
      <c r="L3" t="s">
        <v>78</v>
      </c>
    </row>
    <row r="4" spans="1:12">
      <c r="A4">
        <v>3</v>
      </c>
      <c r="B4" t="s">
        <v>82</v>
      </c>
      <c r="C4" t="s">
        <v>83</v>
      </c>
      <c r="D4">
        <v>0</v>
      </c>
      <c r="E4" t="s">
        <v>75</v>
      </c>
      <c r="F4">
        <v>3</v>
      </c>
      <c r="G4" t="s">
        <v>59</v>
      </c>
      <c r="H4" t="s">
        <v>59</v>
      </c>
      <c r="I4" t="s">
        <v>84</v>
      </c>
      <c r="J4" t="s">
        <v>77</v>
      </c>
      <c r="K4">
        <v>0</v>
      </c>
      <c r="L4" t="s">
        <v>78</v>
      </c>
    </row>
    <row r="5" spans="1:12">
      <c r="A5">
        <v>4</v>
      </c>
      <c r="B5" t="s">
        <v>79</v>
      </c>
      <c r="C5" t="s">
        <v>85</v>
      </c>
      <c r="D5">
        <v>0</v>
      </c>
      <c r="E5" t="s">
        <v>75</v>
      </c>
      <c r="F5">
        <v>3</v>
      </c>
      <c r="G5" t="s">
        <v>59</v>
      </c>
      <c r="H5" t="s">
        <v>59</v>
      </c>
      <c r="I5" t="s">
        <v>86</v>
      </c>
      <c r="J5" t="s">
        <v>77</v>
      </c>
      <c r="K5">
        <v>0</v>
      </c>
      <c r="L5" t="s">
        <v>78</v>
      </c>
    </row>
    <row r="6" spans="1:12">
      <c r="A6">
        <v>5</v>
      </c>
      <c r="B6" t="s">
        <v>87</v>
      </c>
      <c r="C6" t="s">
        <v>88</v>
      </c>
      <c r="D6">
        <v>2</v>
      </c>
      <c r="E6" t="s">
        <v>75</v>
      </c>
      <c r="F6">
        <v>3</v>
      </c>
      <c r="G6" t="s">
        <v>59</v>
      </c>
      <c r="H6" t="s">
        <v>59</v>
      </c>
      <c r="I6" t="s">
        <v>89</v>
      </c>
      <c r="J6" t="s">
        <v>77</v>
      </c>
      <c r="K6">
        <v>0</v>
      </c>
      <c r="L6" t="s">
        <v>78</v>
      </c>
    </row>
    <row r="7" spans="1:12">
      <c r="A7">
        <v>6</v>
      </c>
      <c r="B7" t="s">
        <v>87</v>
      </c>
      <c r="C7" t="s">
        <v>90</v>
      </c>
      <c r="D7">
        <v>2</v>
      </c>
      <c r="E7" t="s">
        <v>75</v>
      </c>
      <c r="F7">
        <v>3</v>
      </c>
      <c r="G7" t="s">
        <v>59</v>
      </c>
      <c r="H7" t="s">
        <v>59</v>
      </c>
      <c r="I7" t="s">
        <v>91</v>
      </c>
      <c r="J7" t="s">
        <v>77</v>
      </c>
      <c r="K7">
        <v>0</v>
      </c>
      <c r="L7" t="s">
        <v>78</v>
      </c>
    </row>
    <row r="8" spans="1:12">
      <c r="A8">
        <v>7</v>
      </c>
      <c r="B8" t="s">
        <v>87</v>
      </c>
      <c r="C8" t="s">
        <v>74</v>
      </c>
      <c r="D8">
        <v>0</v>
      </c>
      <c r="E8" t="s">
        <v>75</v>
      </c>
      <c r="F8">
        <v>3</v>
      </c>
      <c r="G8" t="s">
        <v>59</v>
      </c>
      <c r="H8" t="s">
        <v>59</v>
      </c>
      <c r="I8" t="s">
        <v>76</v>
      </c>
      <c r="J8" t="s">
        <v>77</v>
      </c>
      <c r="K8">
        <v>0</v>
      </c>
      <c r="L8" t="s">
        <v>78</v>
      </c>
    </row>
    <row r="9" spans="1:12">
      <c r="A9">
        <v>8</v>
      </c>
      <c r="B9" t="s">
        <v>87</v>
      </c>
      <c r="C9" t="s">
        <v>80</v>
      </c>
      <c r="D9">
        <v>0</v>
      </c>
      <c r="E9" t="s">
        <v>75</v>
      </c>
      <c r="F9">
        <v>3</v>
      </c>
      <c r="G9" t="s">
        <v>59</v>
      </c>
      <c r="H9" t="s">
        <v>59</v>
      </c>
      <c r="I9" t="s">
        <v>81</v>
      </c>
      <c r="J9" t="s">
        <v>77</v>
      </c>
      <c r="K9">
        <v>0</v>
      </c>
      <c r="L9" t="s">
        <v>78</v>
      </c>
    </row>
    <row r="10" spans="1:12">
      <c r="A10">
        <v>9</v>
      </c>
      <c r="B10" t="s">
        <v>87</v>
      </c>
      <c r="C10" t="s">
        <v>83</v>
      </c>
      <c r="D10">
        <v>1</v>
      </c>
      <c r="E10" t="s">
        <v>75</v>
      </c>
      <c r="F10">
        <v>3</v>
      </c>
      <c r="G10" t="s">
        <v>92</v>
      </c>
      <c r="H10" t="s">
        <v>93</v>
      </c>
      <c r="I10" t="s">
        <v>84</v>
      </c>
      <c r="J10" t="s">
        <v>77</v>
      </c>
      <c r="K10">
        <v>0</v>
      </c>
      <c r="L10" t="s">
        <v>78</v>
      </c>
    </row>
    <row r="11" spans="1:12">
      <c r="A11">
        <v>10</v>
      </c>
      <c r="B11" t="s">
        <v>87</v>
      </c>
      <c r="C11" t="s">
        <v>85</v>
      </c>
      <c r="D11">
        <v>1</v>
      </c>
      <c r="E11" t="s">
        <v>75</v>
      </c>
      <c r="F11">
        <v>3</v>
      </c>
      <c r="G11" t="s">
        <v>94</v>
      </c>
      <c r="H11" t="s">
        <v>93</v>
      </c>
      <c r="I11" t="s">
        <v>86</v>
      </c>
      <c r="J11" t="s">
        <v>77</v>
      </c>
      <c r="K11">
        <v>0</v>
      </c>
      <c r="L11" t="s">
        <v>78</v>
      </c>
    </row>
    <row r="12" spans="1:12">
      <c r="A12">
        <v>11</v>
      </c>
      <c r="B12" t="s">
        <v>87</v>
      </c>
      <c r="C12" t="s">
        <v>88</v>
      </c>
      <c r="D12">
        <v>2</v>
      </c>
      <c r="E12" t="s">
        <v>75</v>
      </c>
      <c r="F12">
        <v>3</v>
      </c>
      <c r="G12" t="s">
        <v>59</v>
      </c>
      <c r="H12" t="s">
        <v>59</v>
      </c>
      <c r="I12" t="s">
        <v>89</v>
      </c>
      <c r="J12" t="s">
        <v>77</v>
      </c>
      <c r="K12">
        <v>0</v>
      </c>
      <c r="L12" t="s">
        <v>78</v>
      </c>
    </row>
    <row r="13" spans="1:12">
      <c r="A13">
        <v>12</v>
      </c>
      <c r="B13" t="s">
        <v>87</v>
      </c>
      <c r="C13" t="s">
        <v>90</v>
      </c>
      <c r="D13">
        <v>2</v>
      </c>
      <c r="E13" t="s">
        <v>75</v>
      </c>
      <c r="F13">
        <v>3</v>
      </c>
      <c r="G13" t="s">
        <v>59</v>
      </c>
      <c r="H13" t="s">
        <v>59</v>
      </c>
      <c r="I13" t="s">
        <v>91</v>
      </c>
      <c r="J13" t="s">
        <v>77</v>
      </c>
      <c r="K13">
        <v>0</v>
      </c>
      <c r="L13" t="s">
        <v>78</v>
      </c>
    </row>
    <row r="14" spans="1:12">
      <c r="A14">
        <v>13</v>
      </c>
      <c r="B14" t="s">
        <v>87</v>
      </c>
      <c r="C14" t="s">
        <v>74</v>
      </c>
      <c r="D14">
        <v>2</v>
      </c>
      <c r="E14" t="s">
        <v>75</v>
      </c>
      <c r="F14">
        <v>3</v>
      </c>
      <c r="G14" t="s">
        <v>59</v>
      </c>
      <c r="H14" t="s">
        <v>59</v>
      </c>
      <c r="I14" t="s">
        <v>76</v>
      </c>
      <c r="J14" t="s">
        <v>77</v>
      </c>
      <c r="K14">
        <v>0</v>
      </c>
      <c r="L14" t="s">
        <v>78</v>
      </c>
    </row>
    <row r="15" spans="1:12">
      <c r="A15">
        <v>14</v>
      </c>
      <c r="B15" t="s">
        <v>87</v>
      </c>
      <c r="C15" t="s">
        <v>80</v>
      </c>
      <c r="D15">
        <v>2</v>
      </c>
      <c r="E15" t="s">
        <v>75</v>
      </c>
      <c r="F15">
        <v>3</v>
      </c>
      <c r="G15" t="s">
        <v>59</v>
      </c>
      <c r="H15" t="s">
        <v>59</v>
      </c>
      <c r="I15" t="s">
        <v>81</v>
      </c>
      <c r="J15" t="s">
        <v>77</v>
      </c>
      <c r="K15">
        <v>0</v>
      </c>
      <c r="L15" t="s">
        <v>78</v>
      </c>
    </row>
    <row r="16" spans="1:12">
      <c r="A16">
        <v>15</v>
      </c>
      <c r="B16" t="s">
        <v>87</v>
      </c>
      <c r="C16" t="s">
        <v>83</v>
      </c>
      <c r="D16">
        <v>1</v>
      </c>
      <c r="E16" t="s">
        <v>75</v>
      </c>
      <c r="F16">
        <v>3</v>
      </c>
      <c r="G16" t="s">
        <v>91</v>
      </c>
      <c r="H16" t="s">
        <v>95</v>
      </c>
      <c r="I16" t="s">
        <v>84</v>
      </c>
      <c r="J16" t="s">
        <v>77</v>
      </c>
      <c r="K16">
        <v>0</v>
      </c>
      <c r="L16" t="s">
        <v>78</v>
      </c>
    </row>
    <row r="17" spans="1:12">
      <c r="A17">
        <v>16</v>
      </c>
      <c r="B17" t="s">
        <v>87</v>
      </c>
      <c r="C17" t="s">
        <v>85</v>
      </c>
      <c r="D17">
        <v>1</v>
      </c>
      <c r="E17" t="s">
        <v>75</v>
      </c>
      <c r="F17">
        <v>3</v>
      </c>
      <c r="G17" t="s">
        <v>91</v>
      </c>
      <c r="H17" t="s">
        <v>96</v>
      </c>
      <c r="I17" t="s">
        <v>86</v>
      </c>
      <c r="J17" t="s">
        <v>77</v>
      </c>
      <c r="K17">
        <v>0</v>
      </c>
      <c r="L17" t="s">
        <v>78</v>
      </c>
    </row>
    <row r="18" spans="1:12">
      <c r="A18">
        <v>17</v>
      </c>
      <c r="B18" t="s">
        <v>87</v>
      </c>
      <c r="C18" t="s">
        <v>88</v>
      </c>
      <c r="D18">
        <v>2</v>
      </c>
      <c r="E18" t="s">
        <v>75</v>
      </c>
      <c r="F18">
        <v>3</v>
      </c>
      <c r="G18" t="s">
        <v>59</v>
      </c>
      <c r="H18" t="s">
        <v>59</v>
      </c>
      <c r="I18" t="s">
        <v>89</v>
      </c>
      <c r="J18" t="s">
        <v>77</v>
      </c>
      <c r="K18">
        <v>0</v>
      </c>
      <c r="L18" t="s">
        <v>78</v>
      </c>
    </row>
    <row r="19" spans="1:12">
      <c r="A19">
        <v>18</v>
      </c>
      <c r="B19" t="s">
        <v>87</v>
      </c>
      <c r="C19" t="s">
        <v>90</v>
      </c>
      <c r="D19">
        <v>2</v>
      </c>
      <c r="E19" t="s">
        <v>75</v>
      </c>
      <c r="F19">
        <v>3</v>
      </c>
      <c r="G19" t="s">
        <v>59</v>
      </c>
      <c r="H19" t="s">
        <v>59</v>
      </c>
      <c r="I19" t="s">
        <v>91</v>
      </c>
      <c r="J19" t="s">
        <v>77</v>
      </c>
      <c r="K19">
        <v>0</v>
      </c>
      <c r="L19" t="s">
        <v>78</v>
      </c>
    </row>
    <row r="20" spans="1:12">
      <c r="A20">
        <v>19</v>
      </c>
      <c r="B20" t="s">
        <v>87</v>
      </c>
      <c r="C20" t="s">
        <v>74</v>
      </c>
      <c r="D20">
        <v>0</v>
      </c>
      <c r="E20" t="s">
        <v>75</v>
      </c>
      <c r="F20">
        <v>3</v>
      </c>
      <c r="G20" t="s">
        <v>59</v>
      </c>
      <c r="H20" t="s">
        <v>59</v>
      </c>
      <c r="I20" t="s">
        <v>76</v>
      </c>
      <c r="J20" t="s">
        <v>77</v>
      </c>
      <c r="K20">
        <v>0</v>
      </c>
      <c r="L20" t="s">
        <v>78</v>
      </c>
    </row>
    <row r="21" spans="1:12">
      <c r="A21">
        <v>20</v>
      </c>
      <c r="B21" t="s">
        <v>87</v>
      </c>
      <c r="C21" t="s">
        <v>80</v>
      </c>
      <c r="D21">
        <v>3</v>
      </c>
      <c r="E21" t="s">
        <v>75</v>
      </c>
      <c r="F21">
        <v>3</v>
      </c>
      <c r="G21" t="s">
        <v>59</v>
      </c>
      <c r="H21" t="s">
        <v>59</v>
      </c>
      <c r="I21" t="s">
        <v>81</v>
      </c>
      <c r="J21" t="s">
        <v>77</v>
      </c>
      <c r="K21">
        <v>0</v>
      </c>
      <c r="L21" t="s">
        <v>78</v>
      </c>
    </row>
    <row r="22" spans="1:12">
      <c r="A22">
        <v>21</v>
      </c>
      <c r="B22" t="s">
        <v>87</v>
      </c>
      <c r="C22" t="s">
        <v>83</v>
      </c>
      <c r="D22">
        <v>3</v>
      </c>
      <c r="E22" t="s">
        <v>75</v>
      </c>
      <c r="F22">
        <v>3</v>
      </c>
      <c r="G22" t="s">
        <v>59</v>
      </c>
      <c r="H22" t="s">
        <v>59</v>
      </c>
      <c r="I22" t="s">
        <v>84</v>
      </c>
      <c r="J22" t="s">
        <v>77</v>
      </c>
      <c r="K22">
        <v>0</v>
      </c>
      <c r="L22" t="s">
        <v>78</v>
      </c>
    </row>
    <row r="23" spans="1:12">
      <c r="A23">
        <v>22</v>
      </c>
      <c r="B23" t="s">
        <v>87</v>
      </c>
      <c r="C23" t="s">
        <v>85</v>
      </c>
      <c r="D23">
        <v>0</v>
      </c>
      <c r="E23" t="s">
        <v>75</v>
      </c>
      <c r="F23">
        <v>3</v>
      </c>
      <c r="G23" t="s">
        <v>59</v>
      </c>
      <c r="H23" t="s">
        <v>59</v>
      </c>
      <c r="I23" t="s">
        <v>86</v>
      </c>
      <c r="J23" t="s">
        <v>77</v>
      </c>
      <c r="K23">
        <v>0</v>
      </c>
      <c r="L23" t="s">
        <v>78</v>
      </c>
    </row>
    <row r="24" spans="1:12">
      <c r="A24">
        <v>23</v>
      </c>
      <c r="B24" t="s">
        <v>87</v>
      </c>
      <c r="C24" t="s">
        <v>88</v>
      </c>
      <c r="D24">
        <v>0</v>
      </c>
      <c r="E24" t="s">
        <v>75</v>
      </c>
      <c r="F24">
        <v>3</v>
      </c>
      <c r="G24" t="s">
        <v>59</v>
      </c>
      <c r="H24" t="s">
        <v>59</v>
      </c>
      <c r="I24" t="s">
        <v>89</v>
      </c>
      <c r="J24" t="s">
        <v>77</v>
      </c>
      <c r="K24">
        <v>0</v>
      </c>
      <c r="L24" t="s">
        <v>78</v>
      </c>
    </row>
    <row r="25" spans="1:12">
      <c r="A25">
        <v>24</v>
      </c>
      <c r="B25" t="s">
        <v>87</v>
      </c>
      <c r="C25" t="s">
        <v>90</v>
      </c>
      <c r="D25">
        <v>1</v>
      </c>
      <c r="E25" t="s">
        <v>75</v>
      </c>
      <c r="F25">
        <v>3</v>
      </c>
      <c r="G25" t="s">
        <v>91</v>
      </c>
      <c r="H25" t="s">
        <v>96</v>
      </c>
      <c r="I25" t="s">
        <v>91</v>
      </c>
      <c r="J25" t="s">
        <v>77</v>
      </c>
      <c r="K25">
        <v>0</v>
      </c>
      <c r="L25" t="s">
        <v>78</v>
      </c>
    </row>
    <row r="26" spans="1:12">
      <c r="A26">
        <v>25</v>
      </c>
      <c r="B26" t="s">
        <v>87</v>
      </c>
      <c r="C26" t="s">
        <v>74</v>
      </c>
      <c r="D26">
        <v>1</v>
      </c>
      <c r="E26" t="s">
        <v>75</v>
      </c>
      <c r="F26">
        <v>3</v>
      </c>
      <c r="G26" t="s">
        <v>91</v>
      </c>
      <c r="H26" t="s">
        <v>97</v>
      </c>
      <c r="I26" t="s">
        <v>76</v>
      </c>
      <c r="J26" t="s">
        <v>77</v>
      </c>
      <c r="K26">
        <v>0</v>
      </c>
      <c r="L26" t="s">
        <v>78</v>
      </c>
    </row>
    <row r="27" spans="1:12">
      <c r="A27">
        <v>26</v>
      </c>
      <c r="B27" t="s">
        <v>87</v>
      </c>
      <c r="C27" t="s">
        <v>80</v>
      </c>
      <c r="D27">
        <v>2</v>
      </c>
      <c r="E27" t="s">
        <v>75</v>
      </c>
      <c r="F27">
        <v>3</v>
      </c>
      <c r="G27" t="s">
        <v>59</v>
      </c>
      <c r="H27" t="s">
        <v>59</v>
      </c>
      <c r="I27" t="s">
        <v>81</v>
      </c>
      <c r="J27" t="s">
        <v>77</v>
      </c>
      <c r="K27">
        <v>0</v>
      </c>
      <c r="L27" t="s">
        <v>78</v>
      </c>
    </row>
    <row r="28" spans="1:12">
      <c r="A28">
        <v>27</v>
      </c>
      <c r="B28" t="s">
        <v>87</v>
      </c>
      <c r="C28" t="s">
        <v>83</v>
      </c>
      <c r="D28">
        <v>2</v>
      </c>
      <c r="E28" t="s">
        <v>75</v>
      </c>
      <c r="F28">
        <v>3</v>
      </c>
      <c r="G28" t="s">
        <v>59</v>
      </c>
      <c r="H28" t="s">
        <v>59</v>
      </c>
      <c r="I28" t="s">
        <v>84</v>
      </c>
      <c r="J28" t="s">
        <v>77</v>
      </c>
      <c r="K28">
        <v>0</v>
      </c>
      <c r="L28" t="s">
        <v>78</v>
      </c>
    </row>
    <row r="29" spans="1:12">
      <c r="A29">
        <v>28</v>
      </c>
      <c r="B29" t="s">
        <v>87</v>
      </c>
      <c r="C29" t="s">
        <v>85</v>
      </c>
      <c r="D29">
        <v>3</v>
      </c>
      <c r="E29" t="s">
        <v>75</v>
      </c>
      <c r="F29">
        <v>3</v>
      </c>
      <c r="G29" t="s">
        <v>59</v>
      </c>
      <c r="H29" t="s">
        <v>59</v>
      </c>
      <c r="I29" t="s">
        <v>86</v>
      </c>
      <c r="J29" t="s">
        <v>77</v>
      </c>
      <c r="K29">
        <v>0</v>
      </c>
      <c r="L29" t="s">
        <v>78</v>
      </c>
    </row>
    <row r="30" spans="1:12">
      <c r="A30">
        <v>29</v>
      </c>
      <c r="B30" t="s">
        <v>87</v>
      </c>
      <c r="C30" t="s">
        <v>88</v>
      </c>
      <c r="D30">
        <v>3</v>
      </c>
      <c r="E30" t="s">
        <v>75</v>
      </c>
      <c r="F30">
        <v>3</v>
      </c>
      <c r="G30" t="s">
        <v>59</v>
      </c>
      <c r="H30" t="s">
        <v>59</v>
      </c>
      <c r="I30" t="s">
        <v>89</v>
      </c>
      <c r="J30" t="s">
        <v>77</v>
      </c>
      <c r="K30">
        <v>0</v>
      </c>
      <c r="L30" t="s">
        <v>78</v>
      </c>
    </row>
    <row r="31" spans="1:12">
      <c r="A31">
        <v>30</v>
      </c>
      <c r="B31" t="s">
        <v>87</v>
      </c>
      <c r="C31" t="s">
        <v>90</v>
      </c>
      <c r="D31">
        <v>0</v>
      </c>
      <c r="E31" t="s">
        <v>75</v>
      </c>
      <c r="F31">
        <v>3</v>
      </c>
      <c r="G31" t="s">
        <v>59</v>
      </c>
      <c r="H31" t="s">
        <v>59</v>
      </c>
      <c r="I31" t="s">
        <v>91</v>
      </c>
      <c r="J31" t="s">
        <v>77</v>
      </c>
      <c r="K31">
        <v>0</v>
      </c>
      <c r="L31" t="s">
        <v>78</v>
      </c>
    </row>
    <row r="32" spans="1:12">
      <c r="A32">
        <v>31</v>
      </c>
      <c r="B32" t="s">
        <v>87</v>
      </c>
      <c r="C32" t="s">
        <v>74</v>
      </c>
      <c r="D32">
        <v>0</v>
      </c>
      <c r="E32" t="s">
        <v>75</v>
      </c>
      <c r="F32">
        <v>3</v>
      </c>
      <c r="G32" t="s">
        <v>59</v>
      </c>
      <c r="H32" t="s">
        <v>59</v>
      </c>
      <c r="I32" t="s">
        <v>76</v>
      </c>
      <c r="J32" t="s">
        <v>77</v>
      </c>
      <c r="K32">
        <v>0</v>
      </c>
      <c r="L32" t="s">
        <v>78</v>
      </c>
    </row>
    <row r="33" spans="1:12">
      <c r="A33">
        <v>32</v>
      </c>
      <c r="B33" t="s">
        <v>87</v>
      </c>
      <c r="C33" t="s">
        <v>80</v>
      </c>
      <c r="D33">
        <v>1</v>
      </c>
      <c r="E33" t="s">
        <v>75</v>
      </c>
      <c r="F33">
        <v>3</v>
      </c>
      <c r="G33" t="s">
        <v>94</v>
      </c>
      <c r="H33" t="s">
        <v>98</v>
      </c>
      <c r="I33" t="s">
        <v>81</v>
      </c>
      <c r="J33" t="s">
        <v>77</v>
      </c>
      <c r="K33">
        <v>0</v>
      </c>
      <c r="L33" t="s">
        <v>78</v>
      </c>
    </row>
    <row r="34" spans="1:12">
      <c r="A34">
        <v>33</v>
      </c>
      <c r="B34" t="s">
        <v>87</v>
      </c>
      <c r="C34" t="s">
        <v>83</v>
      </c>
      <c r="D34">
        <v>1</v>
      </c>
      <c r="E34" t="s">
        <v>75</v>
      </c>
      <c r="F34">
        <v>3</v>
      </c>
      <c r="G34" t="s">
        <v>92</v>
      </c>
      <c r="H34" t="s">
        <v>98</v>
      </c>
      <c r="I34" t="s">
        <v>84</v>
      </c>
      <c r="J34" t="s">
        <v>77</v>
      </c>
      <c r="K34">
        <v>0</v>
      </c>
      <c r="L34" t="s">
        <v>78</v>
      </c>
    </row>
    <row r="35" spans="1:12">
      <c r="A35">
        <v>34</v>
      </c>
      <c r="B35" t="s">
        <v>87</v>
      </c>
      <c r="C35" t="s">
        <v>85</v>
      </c>
      <c r="D35">
        <v>2</v>
      </c>
      <c r="E35" t="s">
        <v>75</v>
      </c>
      <c r="F35">
        <v>3</v>
      </c>
      <c r="G35" t="s">
        <v>59</v>
      </c>
      <c r="H35" t="s">
        <v>59</v>
      </c>
      <c r="I35" t="s">
        <v>86</v>
      </c>
      <c r="J35" t="s">
        <v>77</v>
      </c>
      <c r="K35">
        <v>0</v>
      </c>
      <c r="L35" t="s">
        <v>78</v>
      </c>
    </row>
    <row r="36" spans="1:12">
      <c r="A36">
        <v>35</v>
      </c>
      <c r="B36" t="s">
        <v>87</v>
      </c>
      <c r="C36" t="s">
        <v>88</v>
      </c>
      <c r="D36">
        <v>2</v>
      </c>
      <c r="E36" t="s">
        <v>75</v>
      </c>
      <c r="F36">
        <v>3</v>
      </c>
      <c r="G36" t="s">
        <v>59</v>
      </c>
      <c r="H36" t="s">
        <v>59</v>
      </c>
      <c r="I36" t="s">
        <v>89</v>
      </c>
      <c r="J36" t="s">
        <v>77</v>
      </c>
      <c r="K36">
        <v>0</v>
      </c>
      <c r="L36" t="s">
        <v>78</v>
      </c>
    </row>
    <row r="37" spans="1:12">
      <c r="A37">
        <v>36</v>
      </c>
      <c r="B37" t="s">
        <v>87</v>
      </c>
      <c r="C37" t="s">
        <v>90</v>
      </c>
      <c r="D37">
        <v>3</v>
      </c>
      <c r="E37" t="s">
        <v>75</v>
      </c>
      <c r="F37">
        <v>3</v>
      </c>
      <c r="G37" t="s">
        <v>59</v>
      </c>
      <c r="H37" t="s">
        <v>59</v>
      </c>
      <c r="I37" t="s">
        <v>91</v>
      </c>
      <c r="J37" t="s">
        <v>77</v>
      </c>
      <c r="K37">
        <v>0</v>
      </c>
      <c r="L37" t="s">
        <v>78</v>
      </c>
    </row>
    <row r="38" spans="1:12">
      <c r="A38">
        <v>37</v>
      </c>
      <c r="B38" t="s">
        <v>87</v>
      </c>
      <c r="C38" t="s">
        <v>74</v>
      </c>
      <c r="D38">
        <v>3</v>
      </c>
      <c r="E38" t="s">
        <v>75</v>
      </c>
      <c r="F38">
        <v>3</v>
      </c>
      <c r="G38" t="s">
        <v>59</v>
      </c>
      <c r="H38" t="s">
        <v>59</v>
      </c>
      <c r="I38" t="s">
        <v>76</v>
      </c>
      <c r="J38" t="s">
        <v>77</v>
      </c>
      <c r="K38">
        <v>0</v>
      </c>
      <c r="L38" t="s">
        <v>78</v>
      </c>
    </row>
    <row r="39" spans="1:12">
      <c r="A39">
        <v>38</v>
      </c>
      <c r="B39" t="s">
        <v>87</v>
      </c>
      <c r="C39" t="s">
        <v>80</v>
      </c>
      <c r="D39">
        <v>0</v>
      </c>
      <c r="E39" t="s">
        <v>75</v>
      </c>
      <c r="F39">
        <v>3</v>
      </c>
      <c r="G39" t="s">
        <v>59</v>
      </c>
      <c r="H39" t="s">
        <v>59</v>
      </c>
      <c r="I39" t="s">
        <v>81</v>
      </c>
      <c r="J39" t="s">
        <v>77</v>
      </c>
      <c r="K39">
        <v>0</v>
      </c>
      <c r="L39" t="s">
        <v>78</v>
      </c>
    </row>
    <row r="40" spans="1:12">
      <c r="A40">
        <v>39</v>
      </c>
      <c r="B40" t="s">
        <v>87</v>
      </c>
      <c r="C40" t="s">
        <v>83</v>
      </c>
      <c r="D40">
        <v>0</v>
      </c>
      <c r="E40" t="s">
        <v>75</v>
      </c>
      <c r="F40">
        <v>3</v>
      </c>
      <c r="G40" t="s">
        <v>59</v>
      </c>
      <c r="H40" t="s">
        <v>59</v>
      </c>
      <c r="I40" t="s">
        <v>84</v>
      </c>
      <c r="J40" t="s">
        <v>77</v>
      </c>
      <c r="K40">
        <v>0</v>
      </c>
      <c r="L40" t="s">
        <v>78</v>
      </c>
    </row>
    <row r="41" spans="1:12">
      <c r="A41">
        <v>40</v>
      </c>
      <c r="B41" t="s">
        <v>87</v>
      </c>
      <c r="C41" t="s">
        <v>85</v>
      </c>
      <c r="D41">
        <v>1</v>
      </c>
      <c r="E41" t="s">
        <v>75</v>
      </c>
      <c r="F41">
        <v>3</v>
      </c>
      <c r="G41" t="s">
        <v>92</v>
      </c>
      <c r="H41" t="s">
        <v>98</v>
      </c>
      <c r="I41" t="s">
        <v>86</v>
      </c>
      <c r="J41" t="s">
        <v>77</v>
      </c>
      <c r="K41">
        <v>0</v>
      </c>
      <c r="L41" t="s">
        <v>78</v>
      </c>
    </row>
    <row r="42" spans="1:12">
      <c r="A42">
        <v>41</v>
      </c>
      <c r="B42" t="s">
        <v>87</v>
      </c>
      <c r="C42" t="s">
        <v>88</v>
      </c>
      <c r="D42">
        <v>1</v>
      </c>
      <c r="E42" t="s">
        <v>75</v>
      </c>
      <c r="F42">
        <v>3</v>
      </c>
      <c r="G42" t="s">
        <v>94</v>
      </c>
      <c r="H42" t="s">
        <v>99</v>
      </c>
      <c r="I42" t="s">
        <v>89</v>
      </c>
      <c r="J42" t="s">
        <v>77</v>
      </c>
      <c r="K42">
        <v>0</v>
      </c>
      <c r="L42" t="s">
        <v>78</v>
      </c>
    </row>
    <row r="43" spans="1:12">
      <c r="A43">
        <v>42</v>
      </c>
      <c r="B43" t="s">
        <v>87</v>
      </c>
      <c r="C43" t="s">
        <v>90</v>
      </c>
      <c r="D43">
        <v>2</v>
      </c>
      <c r="E43" t="s">
        <v>75</v>
      </c>
      <c r="F43">
        <v>3</v>
      </c>
      <c r="G43" t="s">
        <v>59</v>
      </c>
      <c r="H43" t="s">
        <v>59</v>
      </c>
      <c r="I43" t="s">
        <v>91</v>
      </c>
      <c r="J43" t="s">
        <v>77</v>
      </c>
      <c r="K43">
        <v>0</v>
      </c>
      <c r="L43" t="s">
        <v>78</v>
      </c>
    </row>
    <row r="44" spans="1:12">
      <c r="A44">
        <v>43</v>
      </c>
      <c r="B44" t="s">
        <v>87</v>
      </c>
      <c r="C44" t="s">
        <v>74</v>
      </c>
      <c r="D44">
        <v>2</v>
      </c>
      <c r="E44" t="s">
        <v>75</v>
      </c>
      <c r="F44">
        <v>3</v>
      </c>
      <c r="G44" t="s">
        <v>59</v>
      </c>
      <c r="H44" t="s">
        <v>59</v>
      </c>
      <c r="I44" t="s">
        <v>76</v>
      </c>
      <c r="J44" t="s">
        <v>77</v>
      </c>
      <c r="K44">
        <v>0</v>
      </c>
      <c r="L44" t="s">
        <v>78</v>
      </c>
    </row>
    <row r="45" spans="1:12">
      <c r="A45">
        <v>44</v>
      </c>
      <c r="B45" t="s">
        <v>87</v>
      </c>
      <c r="C45" t="s">
        <v>80</v>
      </c>
      <c r="D45">
        <v>4</v>
      </c>
      <c r="E45" t="s">
        <v>75</v>
      </c>
      <c r="F45">
        <v>3</v>
      </c>
      <c r="G45" t="s">
        <v>59</v>
      </c>
      <c r="H45" t="s">
        <v>59</v>
      </c>
      <c r="I45" t="s">
        <v>81</v>
      </c>
      <c r="J45" t="s">
        <v>77</v>
      </c>
      <c r="K45">
        <v>5</v>
      </c>
      <c r="L45" t="s">
        <v>78</v>
      </c>
    </row>
    <row r="46" spans="1:12">
      <c r="A46">
        <v>45</v>
      </c>
      <c r="B46" t="s">
        <v>87</v>
      </c>
      <c r="C46" t="s">
        <v>83</v>
      </c>
      <c r="D46">
        <v>4</v>
      </c>
      <c r="E46" t="s">
        <v>75</v>
      </c>
      <c r="F46">
        <v>3</v>
      </c>
      <c r="G46" t="s">
        <v>59</v>
      </c>
      <c r="H46" t="s">
        <v>59</v>
      </c>
      <c r="I46" t="s">
        <v>84</v>
      </c>
      <c r="J46" t="s">
        <v>77</v>
      </c>
      <c r="K46">
        <v>5</v>
      </c>
      <c r="L46" t="s">
        <v>78</v>
      </c>
    </row>
    <row r="47" spans="1:12">
      <c r="A47">
        <v>46</v>
      </c>
      <c r="B47" t="s">
        <v>87</v>
      </c>
      <c r="C47" t="s">
        <v>85</v>
      </c>
      <c r="D47">
        <v>3</v>
      </c>
      <c r="E47" t="s">
        <v>75</v>
      </c>
      <c r="F47">
        <v>3</v>
      </c>
      <c r="G47" t="s">
        <v>59</v>
      </c>
      <c r="H47" t="s">
        <v>59</v>
      </c>
      <c r="I47" t="s">
        <v>86</v>
      </c>
      <c r="J47" t="s">
        <v>77</v>
      </c>
      <c r="K47">
        <v>0</v>
      </c>
      <c r="L47" t="s">
        <v>78</v>
      </c>
    </row>
    <row r="48" spans="1:12">
      <c r="A48">
        <v>47</v>
      </c>
      <c r="B48" t="s">
        <v>87</v>
      </c>
      <c r="C48" t="s">
        <v>88</v>
      </c>
      <c r="D48">
        <v>3</v>
      </c>
      <c r="E48" t="s">
        <v>75</v>
      </c>
      <c r="F48">
        <v>3</v>
      </c>
      <c r="G48" t="s">
        <v>59</v>
      </c>
      <c r="H48" t="s">
        <v>59</v>
      </c>
      <c r="I48" t="s">
        <v>89</v>
      </c>
      <c r="J48" t="s">
        <v>77</v>
      </c>
      <c r="K48">
        <v>0</v>
      </c>
      <c r="L48" t="s">
        <v>78</v>
      </c>
    </row>
    <row r="49" spans="1:12">
      <c r="A49">
        <v>48</v>
      </c>
      <c r="B49" t="s">
        <v>87</v>
      </c>
      <c r="C49" t="s">
        <v>90</v>
      </c>
      <c r="D49">
        <v>0</v>
      </c>
      <c r="E49" t="s">
        <v>75</v>
      </c>
      <c r="F49">
        <v>3</v>
      </c>
      <c r="G49" t="s">
        <v>59</v>
      </c>
      <c r="H49" t="s">
        <v>59</v>
      </c>
      <c r="I49" t="s">
        <v>91</v>
      </c>
      <c r="J49" t="s">
        <v>77</v>
      </c>
      <c r="K49">
        <v>0</v>
      </c>
      <c r="L49" t="s">
        <v>78</v>
      </c>
    </row>
    <row r="50" spans="1:12">
      <c r="A50">
        <v>49</v>
      </c>
      <c r="B50" t="s">
        <v>87</v>
      </c>
      <c r="C50" t="s">
        <v>74</v>
      </c>
      <c r="D50">
        <v>0</v>
      </c>
      <c r="E50" t="s">
        <v>75</v>
      </c>
      <c r="F50">
        <v>3</v>
      </c>
      <c r="G50" t="s">
        <v>59</v>
      </c>
      <c r="H50" t="s">
        <v>59</v>
      </c>
      <c r="I50" t="s">
        <v>76</v>
      </c>
      <c r="J50" t="s">
        <v>77</v>
      </c>
      <c r="K50">
        <v>0</v>
      </c>
      <c r="L50" t="s">
        <v>78</v>
      </c>
    </row>
    <row r="51" spans="1:12">
      <c r="A51">
        <v>50</v>
      </c>
      <c r="B51" t="s">
        <v>87</v>
      </c>
      <c r="C51" t="s">
        <v>80</v>
      </c>
      <c r="D51">
        <v>1</v>
      </c>
      <c r="E51" t="s">
        <v>75</v>
      </c>
      <c r="F51">
        <v>3</v>
      </c>
      <c r="G51" t="s">
        <v>92</v>
      </c>
      <c r="H51" t="s">
        <v>99</v>
      </c>
      <c r="I51" t="s">
        <v>81</v>
      </c>
      <c r="J51" t="s">
        <v>77</v>
      </c>
      <c r="K51">
        <v>0</v>
      </c>
      <c r="L51" t="s">
        <v>78</v>
      </c>
    </row>
    <row r="52" spans="1:12">
      <c r="A52">
        <v>51</v>
      </c>
      <c r="B52" t="s">
        <v>87</v>
      </c>
      <c r="C52" t="s">
        <v>83</v>
      </c>
      <c r="D52">
        <v>1</v>
      </c>
      <c r="E52" t="s">
        <v>75</v>
      </c>
      <c r="F52">
        <v>3</v>
      </c>
      <c r="G52" t="s">
        <v>94</v>
      </c>
      <c r="H52" t="s">
        <v>99</v>
      </c>
      <c r="I52" t="s">
        <v>84</v>
      </c>
      <c r="J52" t="s">
        <v>77</v>
      </c>
      <c r="K52">
        <v>0</v>
      </c>
      <c r="L52" t="s">
        <v>78</v>
      </c>
    </row>
    <row r="53" spans="1:12">
      <c r="A53">
        <v>52</v>
      </c>
      <c r="B53" t="s">
        <v>87</v>
      </c>
      <c r="C53" t="s">
        <v>85</v>
      </c>
      <c r="D53">
        <v>2</v>
      </c>
      <c r="E53" t="s">
        <v>75</v>
      </c>
      <c r="F53">
        <v>3</v>
      </c>
      <c r="G53" t="s">
        <v>59</v>
      </c>
      <c r="H53" t="s">
        <v>59</v>
      </c>
      <c r="I53" t="s">
        <v>86</v>
      </c>
      <c r="J53" t="s">
        <v>77</v>
      </c>
      <c r="K53">
        <v>0</v>
      </c>
      <c r="L53" t="s">
        <v>78</v>
      </c>
    </row>
    <row r="54" spans="1:12">
      <c r="A54">
        <v>53</v>
      </c>
      <c r="B54" t="s">
        <v>87</v>
      </c>
      <c r="C54" t="s">
        <v>88</v>
      </c>
      <c r="D54">
        <v>2</v>
      </c>
      <c r="E54" t="s">
        <v>75</v>
      </c>
      <c r="F54">
        <v>3</v>
      </c>
      <c r="G54" t="s">
        <v>59</v>
      </c>
      <c r="H54" t="s">
        <v>59</v>
      </c>
      <c r="I54" t="s">
        <v>89</v>
      </c>
      <c r="J54" t="s">
        <v>77</v>
      </c>
      <c r="K54">
        <v>0</v>
      </c>
      <c r="L54" t="s">
        <v>78</v>
      </c>
    </row>
    <row r="55" spans="1:12">
      <c r="A55">
        <v>54</v>
      </c>
      <c r="B55" t="s">
        <v>87</v>
      </c>
      <c r="C55" t="s">
        <v>90</v>
      </c>
      <c r="D55">
        <v>4</v>
      </c>
      <c r="E55" t="s">
        <v>75</v>
      </c>
      <c r="F55">
        <v>3</v>
      </c>
      <c r="G55" t="s">
        <v>59</v>
      </c>
      <c r="H55" t="s">
        <v>59</v>
      </c>
      <c r="I55" t="s">
        <v>91</v>
      </c>
      <c r="J55" t="s">
        <v>77</v>
      </c>
      <c r="K55">
        <v>5</v>
      </c>
      <c r="L55" t="s">
        <v>78</v>
      </c>
    </row>
    <row r="56" spans="1:12">
      <c r="A56">
        <v>55</v>
      </c>
      <c r="B56" t="s">
        <v>87</v>
      </c>
      <c r="C56" t="s">
        <v>74</v>
      </c>
      <c r="D56">
        <v>4</v>
      </c>
      <c r="E56" t="s">
        <v>75</v>
      </c>
      <c r="F56">
        <v>3</v>
      </c>
      <c r="G56" t="s">
        <v>59</v>
      </c>
      <c r="H56" t="s">
        <v>59</v>
      </c>
      <c r="I56" t="s">
        <v>76</v>
      </c>
      <c r="J56" t="s">
        <v>77</v>
      </c>
      <c r="K56">
        <v>5</v>
      </c>
      <c r="L56" t="s">
        <v>78</v>
      </c>
    </row>
    <row r="57" spans="1:12">
      <c r="A57">
        <v>56</v>
      </c>
      <c r="B57" t="s">
        <v>87</v>
      </c>
      <c r="C57" t="s">
        <v>80</v>
      </c>
      <c r="D57">
        <v>2</v>
      </c>
      <c r="E57" t="s">
        <v>75</v>
      </c>
      <c r="F57">
        <v>3</v>
      </c>
      <c r="G57" t="s">
        <v>59</v>
      </c>
      <c r="H57" t="s">
        <v>59</v>
      </c>
      <c r="I57" t="s">
        <v>81</v>
      </c>
      <c r="J57" t="s">
        <v>77</v>
      </c>
      <c r="K57">
        <v>0</v>
      </c>
      <c r="L57" t="s">
        <v>78</v>
      </c>
    </row>
    <row r="58" spans="1:12">
      <c r="A58">
        <v>57</v>
      </c>
      <c r="B58" t="s">
        <v>87</v>
      </c>
      <c r="C58" t="s">
        <v>83</v>
      </c>
      <c r="D58">
        <v>2</v>
      </c>
      <c r="E58" t="s">
        <v>75</v>
      </c>
      <c r="F58">
        <v>3</v>
      </c>
      <c r="G58" t="s">
        <v>59</v>
      </c>
      <c r="H58" t="s">
        <v>59</v>
      </c>
      <c r="I58" t="s">
        <v>84</v>
      </c>
      <c r="J58" t="s">
        <v>77</v>
      </c>
      <c r="K58">
        <v>0</v>
      </c>
      <c r="L58" t="s">
        <v>78</v>
      </c>
    </row>
    <row r="59" spans="1:12">
      <c r="A59">
        <v>58</v>
      </c>
      <c r="B59" t="s">
        <v>87</v>
      </c>
      <c r="C59" t="s">
        <v>85</v>
      </c>
      <c r="D59">
        <v>0</v>
      </c>
      <c r="E59" t="s">
        <v>75</v>
      </c>
      <c r="F59">
        <v>3</v>
      </c>
      <c r="G59" t="s">
        <v>59</v>
      </c>
      <c r="H59" t="s">
        <v>59</v>
      </c>
      <c r="I59" t="s">
        <v>86</v>
      </c>
      <c r="J59" t="s">
        <v>77</v>
      </c>
      <c r="K59">
        <v>0</v>
      </c>
      <c r="L59" t="s">
        <v>78</v>
      </c>
    </row>
    <row r="60" spans="1:12">
      <c r="A60">
        <v>59</v>
      </c>
      <c r="B60" t="s">
        <v>87</v>
      </c>
      <c r="C60" t="s">
        <v>88</v>
      </c>
      <c r="D60">
        <v>0</v>
      </c>
      <c r="E60" t="s">
        <v>75</v>
      </c>
      <c r="F60">
        <v>3</v>
      </c>
      <c r="G60" t="s">
        <v>59</v>
      </c>
      <c r="H60" t="s">
        <v>59</v>
      </c>
      <c r="I60" t="s">
        <v>89</v>
      </c>
      <c r="J60" t="s">
        <v>77</v>
      </c>
      <c r="K60">
        <v>0</v>
      </c>
      <c r="L60" t="s">
        <v>78</v>
      </c>
    </row>
    <row r="61" spans="1:12">
      <c r="A61">
        <v>60</v>
      </c>
      <c r="B61" t="s">
        <v>87</v>
      </c>
      <c r="C61" t="s">
        <v>90</v>
      </c>
      <c r="D61">
        <v>5</v>
      </c>
      <c r="E61" t="s">
        <v>75</v>
      </c>
      <c r="F61">
        <v>3</v>
      </c>
      <c r="G61" t="s">
        <v>59</v>
      </c>
      <c r="H61" t="s">
        <v>59</v>
      </c>
      <c r="I61" t="s">
        <v>91</v>
      </c>
      <c r="J61" t="s">
        <v>77</v>
      </c>
      <c r="K61">
        <v>0</v>
      </c>
      <c r="L61" t="s">
        <v>78</v>
      </c>
    </row>
    <row r="62" spans="1:12">
      <c r="A62">
        <v>61</v>
      </c>
      <c r="B62" t="s">
        <v>87</v>
      </c>
      <c r="C62" t="s">
        <v>74</v>
      </c>
      <c r="D62">
        <v>5</v>
      </c>
      <c r="E62" t="s">
        <v>75</v>
      </c>
      <c r="F62">
        <v>3</v>
      </c>
      <c r="G62" t="s">
        <v>59</v>
      </c>
      <c r="H62" t="s">
        <v>59</v>
      </c>
      <c r="I62" t="s">
        <v>76</v>
      </c>
      <c r="J62" t="s">
        <v>77</v>
      </c>
      <c r="K62">
        <v>0</v>
      </c>
      <c r="L62" t="s">
        <v>78</v>
      </c>
    </row>
    <row r="63" spans="1:12">
      <c r="A63">
        <v>62</v>
      </c>
      <c r="B63" t="s">
        <v>87</v>
      </c>
      <c r="C63" t="s">
        <v>80</v>
      </c>
      <c r="D63">
        <v>2</v>
      </c>
      <c r="E63" t="s">
        <v>75</v>
      </c>
      <c r="F63">
        <v>3</v>
      </c>
      <c r="G63" t="s">
        <v>59</v>
      </c>
      <c r="H63" t="s">
        <v>59</v>
      </c>
      <c r="I63" t="s">
        <v>81</v>
      </c>
      <c r="J63" t="s">
        <v>77</v>
      </c>
      <c r="K63">
        <v>0</v>
      </c>
      <c r="L63" t="s">
        <v>78</v>
      </c>
    </row>
    <row r="64" spans="1:12">
      <c r="A64">
        <v>63</v>
      </c>
      <c r="B64" t="s">
        <v>87</v>
      </c>
      <c r="C64" t="s">
        <v>83</v>
      </c>
      <c r="D64">
        <v>2</v>
      </c>
      <c r="E64" t="s">
        <v>75</v>
      </c>
      <c r="F64">
        <v>3</v>
      </c>
      <c r="G64" t="s">
        <v>59</v>
      </c>
      <c r="H64" t="s">
        <v>59</v>
      </c>
      <c r="I64" t="s">
        <v>84</v>
      </c>
      <c r="J64" t="s">
        <v>77</v>
      </c>
      <c r="K64">
        <v>0</v>
      </c>
      <c r="L64" t="s">
        <v>78</v>
      </c>
    </row>
    <row r="65" spans="1:12">
      <c r="A65">
        <v>64</v>
      </c>
      <c r="B65" t="s">
        <v>87</v>
      </c>
      <c r="C65" t="s">
        <v>85</v>
      </c>
      <c r="D65">
        <v>1</v>
      </c>
      <c r="E65" t="s">
        <v>75</v>
      </c>
      <c r="F65">
        <v>3</v>
      </c>
      <c r="G65" t="s">
        <v>94</v>
      </c>
      <c r="H65" t="s">
        <v>99</v>
      </c>
      <c r="I65" t="s">
        <v>86</v>
      </c>
      <c r="J65" t="s">
        <v>77</v>
      </c>
      <c r="K65">
        <v>0</v>
      </c>
      <c r="L65" t="s">
        <v>78</v>
      </c>
    </row>
    <row r="66" spans="1:12">
      <c r="A66">
        <v>65</v>
      </c>
      <c r="B66" t="s">
        <v>87</v>
      </c>
      <c r="C66" t="s">
        <v>88</v>
      </c>
      <c r="D66">
        <v>1</v>
      </c>
      <c r="E66" t="s">
        <v>75</v>
      </c>
      <c r="F66">
        <v>3</v>
      </c>
      <c r="G66" t="s">
        <v>92</v>
      </c>
      <c r="H66" t="s">
        <v>99</v>
      </c>
      <c r="I66" t="s">
        <v>89</v>
      </c>
      <c r="J66" t="s">
        <v>77</v>
      </c>
      <c r="K66">
        <v>0</v>
      </c>
      <c r="L66" t="s">
        <v>78</v>
      </c>
    </row>
    <row r="67" spans="1:12">
      <c r="A67">
        <v>66</v>
      </c>
      <c r="B67" t="s">
        <v>87</v>
      </c>
      <c r="C67" t="s">
        <v>90</v>
      </c>
      <c r="D67">
        <v>3</v>
      </c>
      <c r="E67" t="s">
        <v>75</v>
      </c>
      <c r="F67">
        <v>3</v>
      </c>
      <c r="G67" t="s">
        <v>59</v>
      </c>
      <c r="H67" t="s">
        <v>59</v>
      </c>
      <c r="I67" t="s">
        <v>91</v>
      </c>
      <c r="J67" t="s">
        <v>77</v>
      </c>
      <c r="K67">
        <v>0</v>
      </c>
      <c r="L67" t="s">
        <v>78</v>
      </c>
    </row>
    <row r="68" spans="1:12">
      <c r="A68">
        <v>67</v>
      </c>
      <c r="B68" t="s">
        <v>87</v>
      </c>
      <c r="C68" t="s">
        <v>74</v>
      </c>
      <c r="D68">
        <v>3</v>
      </c>
      <c r="E68" t="s">
        <v>75</v>
      </c>
      <c r="F68">
        <v>3</v>
      </c>
      <c r="G68" t="s">
        <v>59</v>
      </c>
      <c r="H68" t="s">
        <v>59</v>
      </c>
      <c r="I68" t="s">
        <v>76</v>
      </c>
      <c r="J68" t="s">
        <v>77</v>
      </c>
      <c r="K68">
        <v>0</v>
      </c>
      <c r="L68" t="s">
        <v>78</v>
      </c>
    </row>
    <row r="69" spans="1:12">
      <c r="A69">
        <v>68</v>
      </c>
      <c r="B69" t="s">
        <v>87</v>
      </c>
      <c r="C69" t="s">
        <v>80</v>
      </c>
      <c r="D69">
        <v>4</v>
      </c>
      <c r="E69" t="s">
        <v>75</v>
      </c>
      <c r="F69">
        <v>3</v>
      </c>
      <c r="G69" t="s">
        <v>59</v>
      </c>
      <c r="H69" t="s">
        <v>59</v>
      </c>
      <c r="I69" t="s">
        <v>81</v>
      </c>
      <c r="J69" t="s">
        <v>77</v>
      </c>
      <c r="K69">
        <v>5</v>
      </c>
      <c r="L69" t="s">
        <v>78</v>
      </c>
    </row>
    <row r="70" spans="1:12">
      <c r="A70">
        <v>69</v>
      </c>
      <c r="B70" t="s">
        <v>87</v>
      </c>
      <c r="C70" t="s">
        <v>83</v>
      </c>
      <c r="D70">
        <v>4</v>
      </c>
      <c r="E70" t="s">
        <v>75</v>
      </c>
      <c r="F70">
        <v>3</v>
      </c>
      <c r="G70" t="s">
        <v>59</v>
      </c>
      <c r="H70" t="s">
        <v>59</v>
      </c>
      <c r="I70" t="s">
        <v>84</v>
      </c>
      <c r="J70" t="s">
        <v>77</v>
      </c>
      <c r="K70">
        <v>5</v>
      </c>
      <c r="L70" t="s">
        <v>78</v>
      </c>
    </row>
    <row r="71" spans="1:12">
      <c r="A71">
        <v>70</v>
      </c>
      <c r="B71" t="s">
        <v>87</v>
      </c>
      <c r="C71" t="s">
        <v>85</v>
      </c>
      <c r="D71">
        <v>5</v>
      </c>
      <c r="E71" t="s">
        <v>75</v>
      </c>
      <c r="F71">
        <v>3</v>
      </c>
      <c r="G71" t="s">
        <v>59</v>
      </c>
      <c r="H71" t="s">
        <v>59</v>
      </c>
      <c r="I71" t="s">
        <v>86</v>
      </c>
      <c r="J71" t="s">
        <v>77</v>
      </c>
      <c r="K71">
        <v>0</v>
      </c>
      <c r="L71" t="s">
        <v>78</v>
      </c>
    </row>
    <row r="72" spans="1:12">
      <c r="A72">
        <v>71</v>
      </c>
      <c r="B72" t="s">
        <v>87</v>
      </c>
      <c r="C72" t="s">
        <v>88</v>
      </c>
      <c r="D72">
        <v>5</v>
      </c>
      <c r="E72" t="s">
        <v>75</v>
      </c>
      <c r="F72">
        <v>3</v>
      </c>
      <c r="G72" t="s">
        <v>59</v>
      </c>
      <c r="H72" t="s">
        <v>59</v>
      </c>
      <c r="I72" t="s">
        <v>89</v>
      </c>
      <c r="J72" t="s">
        <v>77</v>
      </c>
      <c r="K72">
        <v>0</v>
      </c>
      <c r="L72" t="s">
        <v>78</v>
      </c>
    </row>
    <row r="73" spans="1:12">
      <c r="A73">
        <v>72</v>
      </c>
      <c r="B73" t="s">
        <v>87</v>
      </c>
      <c r="C73" t="s">
        <v>90</v>
      </c>
      <c r="D73">
        <v>2</v>
      </c>
      <c r="E73" t="s">
        <v>75</v>
      </c>
      <c r="F73">
        <v>3</v>
      </c>
      <c r="G73" t="s">
        <v>59</v>
      </c>
      <c r="H73" t="s">
        <v>59</v>
      </c>
      <c r="I73" t="s">
        <v>91</v>
      </c>
      <c r="J73" t="s">
        <v>77</v>
      </c>
      <c r="K73">
        <v>0</v>
      </c>
      <c r="L73" t="s">
        <v>78</v>
      </c>
    </row>
    <row r="74" spans="1:12">
      <c r="A74">
        <v>73</v>
      </c>
      <c r="B74" t="s">
        <v>87</v>
      </c>
      <c r="C74" t="s">
        <v>74</v>
      </c>
      <c r="D74">
        <v>2</v>
      </c>
      <c r="E74" t="s">
        <v>75</v>
      </c>
      <c r="F74">
        <v>3</v>
      </c>
      <c r="G74" t="s">
        <v>59</v>
      </c>
      <c r="H74" t="s">
        <v>59</v>
      </c>
      <c r="I74" t="s">
        <v>76</v>
      </c>
      <c r="J74" t="s">
        <v>77</v>
      </c>
      <c r="K74">
        <v>0</v>
      </c>
      <c r="L74" t="s">
        <v>78</v>
      </c>
    </row>
    <row r="75" spans="1:12">
      <c r="A75">
        <v>74</v>
      </c>
      <c r="B75" t="s">
        <v>87</v>
      </c>
      <c r="C75" t="s">
        <v>80</v>
      </c>
      <c r="D75">
        <v>1</v>
      </c>
      <c r="E75" t="s">
        <v>75</v>
      </c>
      <c r="F75">
        <v>3</v>
      </c>
      <c r="G75" t="s">
        <v>92</v>
      </c>
      <c r="H75" t="s">
        <v>99</v>
      </c>
      <c r="I75" t="s">
        <v>81</v>
      </c>
      <c r="J75" t="s">
        <v>77</v>
      </c>
      <c r="K75">
        <v>0</v>
      </c>
      <c r="L75" t="s">
        <v>78</v>
      </c>
    </row>
    <row r="76" spans="1:12">
      <c r="A76">
        <v>75</v>
      </c>
      <c r="B76" t="s">
        <v>87</v>
      </c>
      <c r="C76" t="s">
        <v>83</v>
      </c>
      <c r="D76">
        <v>1</v>
      </c>
      <c r="E76" t="s">
        <v>75</v>
      </c>
      <c r="F76">
        <v>3</v>
      </c>
      <c r="G76" t="s">
        <v>94</v>
      </c>
      <c r="H76" t="s">
        <v>99</v>
      </c>
      <c r="I76" t="s">
        <v>84</v>
      </c>
      <c r="J76" t="s">
        <v>77</v>
      </c>
      <c r="K76">
        <v>0</v>
      </c>
      <c r="L76" t="s">
        <v>78</v>
      </c>
    </row>
    <row r="77" spans="1:12">
      <c r="A77">
        <v>76</v>
      </c>
      <c r="B77" t="s">
        <v>87</v>
      </c>
      <c r="C77" t="s">
        <v>85</v>
      </c>
      <c r="D77">
        <v>3</v>
      </c>
      <c r="E77" t="s">
        <v>75</v>
      </c>
      <c r="F77">
        <v>3</v>
      </c>
      <c r="G77" t="s">
        <v>59</v>
      </c>
      <c r="H77" t="s">
        <v>59</v>
      </c>
      <c r="I77" t="s">
        <v>86</v>
      </c>
      <c r="J77" t="s">
        <v>77</v>
      </c>
      <c r="K77">
        <v>0</v>
      </c>
      <c r="L77" t="s">
        <v>78</v>
      </c>
    </row>
    <row r="78" spans="1:12">
      <c r="A78">
        <v>77</v>
      </c>
      <c r="B78" t="s">
        <v>87</v>
      </c>
      <c r="C78" t="s">
        <v>88</v>
      </c>
      <c r="D78">
        <v>3</v>
      </c>
      <c r="E78" t="s">
        <v>75</v>
      </c>
      <c r="F78">
        <v>3</v>
      </c>
      <c r="G78" t="s">
        <v>59</v>
      </c>
      <c r="H78" t="s">
        <v>59</v>
      </c>
      <c r="I78" t="s">
        <v>89</v>
      </c>
      <c r="J78" t="s">
        <v>77</v>
      </c>
      <c r="K78">
        <v>0</v>
      </c>
      <c r="L78" t="s">
        <v>78</v>
      </c>
    </row>
    <row r="79" spans="1:12">
      <c r="A79">
        <v>78</v>
      </c>
      <c r="B79" t="s">
        <v>87</v>
      </c>
      <c r="C79" t="s">
        <v>90</v>
      </c>
      <c r="D79">
        <v>4</v>
      </c>
      <c r="E79" t="s">
        <v>75</v>
      </c>
      <c r="F79">
        <v>3</v>
      </c>
      <c r="G79" t="s">
        <v>59</v>
      </c>
      <c r="H79" t="s">
        <v>59</v>
      </c>
      <c r="I79" t="s">
        <v>91</v>
      </c>
      <c r="J79" t="s">
        <v>77</v>
      </c>
      <c r="K79">
        <v>5</v>
      </c>
      <c r="L79" t="s">
        <v>78</v>
      </c>
    </row>
    <row r="80" spans="1:12">
      <c r="A80">
        <v>79</v>
      </c>
      <c r="B80" t="s">
        <v>87</v>
      </c>
      <c r="C80" t="s">
        <v>74</v>
      </c>
      <c r="D80">
        <v>4</v>
      </c>
      <c r="E80" t="s">
        <v>75</v>
      </c>
      <c r="F80">
        <v>3</v>
      </c>
      <c r="G80" t="s">
        <v>59</v>
      </c>
      <c r="H80" t="s">
        <v>59</v>
      </c>
      <c r="I80" t="s">
        <v>76</v>
      </c>
      <c r="J80" t="s">
        <v>77</v>
      </c>
      <c r="K80">
        <v>5</v>
      </c>
      <c r="L80" t="s">
        <v>78</v>
      </c>
    </row>
    <row r="81" spans="1:12">
      <c r="A81">
        <v>80</v>
      </c>
      <c r="B81" t="s">
        <v>87</v>
      </c>
      <c r="C81" t="s">
        <v>80</v>
      </c>
      <c r="D81">
        <v>5</v>
      </c>
      <c r="E81" t="s">
        <v>75</v>
      </c>
      <c r="F81">
        <v>3</v>
      </c>
      <c r="G81" t="s">
        <v>59</v>
      </c>
      <c r="H81" t="s">
        <v>59</v>
      </c>
      <c r="I81" t="s">
        <v>81</v>
      </c>
      <c r="J81" t="s">
        <v>77</v>
      </c>
      <c r="K81">
        <v>0</v>
      </c>
      <c r="L81" t="s">
        <v>78</v>
      </c>
    </row>
    <row r="82" spans="1:12">
      <c r="A82">
        <v>81</v>
      </c>
      <c r="B82" t="s">
        <v>87</v>
      </c>
      <c r="C82" t="s">
        <v>83</v>
      </c>
      <c r="D82">
        <v>5</v>
      </c>
      <c r="E82" t="s">
        <v>75</v>
      </c>
      <c r="F82">
        <v>3</v>
      </c>
      <c r="G82" t="s">
        <v>59</v>
      </c>
      <c r="H82" t="s">
        <v>59</v>
      </c>
      <c r="I82" t="s">
        <v>84</v>
      </c>
      <c r="J82" t="s">
        <v>77</v>
      </c>
      <c r="K82">
        <v>0</v>
      </c>
      <c r="L82" t="s">
        <v>78</v>
      </c>
    </row>
    <row r="83" spans="1:12">
      <c r="A83">
        <v>82</v>
      </c>
      <c r="B83" t="s">
        <v>87</v>
      </c>
      <c r="C83" t="s">
        <v>85</v>
      </c>
      <c r="D83">
        <v>2</v>
      </c>
      <c r="E83" t="s">
        <v>75</v>
      </c>
      <c r="F83">
        <v>3</v>
      </c>
      <c r="G83" t="s">
        <v>59</v>
      </c>
      <c r="H83" t="s">
        <v>59</v>
      </c>
      <c r="I83" t="s">
        <v>86</v>
      </c>
      <c r="J83" t="s">
        <v>77</v>
      </c>
      <c r="K83">
        <v>0</v>
      </c>
      <c r="L83" t="s">
        <v>78</v>
      </c>
    </row>
    <row r="84" spans="1:12">
      <c r="A84">
        <v>83</v>
      </c>
      <c r="B84" t="s">
        <v>87</v>
      </c>
      <c r="C84" t="s">
        <v>88</v>
      </c>
      <c r="D84">
        <v>2</v>
      </c>
      <c r="E84" t="s">
        <v>75</v>
      </c>
      <c r="F84">
        <v>3</v>
      </c>
      <c r="G84" t="s">
        <v>59</v>
      </c>
      <c r="H84" t="s">
        <v>59</v>
      </c>
      <c r="I84" t="s">
        <v>89</v>
      </c>
      <c r="J84" t="s">
        <v>77</v>
      </c>
      <c r="K84">
        <v>0</v>
      </c>
      <c r="L84" t="s">
        <v>78</v>
      </c>
    </row>
    <row r="85" spans="1:12">
      <c r="A85">
        <v>84</v>
      </c>
      <c r="B85" t="s">
        <v>87</v>
      </c>
      <c r="C85" t="s">
        <v>90</v>
      </c>
      <c r="D85">
        <v>1</v>
      </c>
      <c r="E85" t="s">
        <v>75</v>
      </c>
      <c r="F85">
        <v>3</v>
      </c>
      <c r="G85" t="s">
        <v>92</v>
      </c>
      <c r="H85" t="s">
        <v>99</v>
      </c>
      <c r="I85" t="s">
        <v>91</v>
      </c>
      <c r="J85" t="s">
        <v>77</v>
      </c>
      <c r="K85">
        <v>0</v>
      </c>
      <c r="L85" t="s">
        <v>78</v>
      </c>
    </row>
    <row r="86" spans="1:12">
      <c r="A86">
        <v>85</v>
      </c>
      <c r="B86" t="s">
        <v>87</v>
      </c>
      <c r="C86" t="s">
        <v>74</v>
      </c>
      <c r="D86">
        <v>1</v>
      </c>
      <c r="E86" t="s">
        <v>75</v>
      </c>
      <c r="F86">
        <v>3</v>
      </c>
      <c r="G86" t="s">
        <v>94</v>
      </c>
      <c r="H86" t="s">
        <v>99</v>
      </c>
      <c r="I86" t="s">
        <v>76</v>
      </c>
      <c r="J86" t="s">
        <v>77</v>
      </c>
      <c r="K86">
        <v>0</v>
      </c>
      <c r="L86" t="s">
        <v>78</v>
      </c>
    </row>
    <row r="87" spans="1:12">
      <c r="A87">
        <v>86</v>
      </c>
      <c r="B87" t="s">
        <v>87</v>
      </c>
      <c r="C87" t="s">
        <v>80</v>
      </c>
      <c r="D87">
        <v>3</v>
      </c>
      <c r="E87" t="s">
        <v>75</v>
      </c>
      <c r="F87">
        <v>3</v>
      </c>
      <c r="G87" t="s">
        <v>59</v>
      </c>
      <c r="H87" t="s">
        <v>59</v>
      </c>
      <c r="I87" t="s">
        <v>81</v>
      </c>
      <c r="J87" t="s">
        <v>77</v>
      </c>
      <c r="K87">
        <v>0</v>
      </c>
      <c r="L87" t="s">
        <v>78</v>
      </c>
    </row>
    <row r="88" spans="1:12">
      <c r="A88">
        <v>87</v>
      </c>
      <c r="B88" t="s">
        <v>87</v>
      </c>
      <c r="C88" t="s">
        <v>83</v>
      </c>
      <c r="D88">
        <v>3</v>
      </c>
      <c r="E88" t="s">
        <v>75</v>
      </c>
      <c r="F88">
        <v>3</v>
      </c>
      <c r="G88" t="s">
        <v>59</v>
      </c>
      <c r="H88" t="s">
        <v>59</v>
      </c>
      <c r="I88" t="s">
        <v>84</v>
      </c>
      <c r="J88" t="s">
        <v>77</v>
      </c>
      <c r="K88">
        <v>0</v>
      </c>
      <c r="L88" t="s">
        <v>78</v>
      </c>
    </row>
    <row r="89" spans="1:12">
      <c r="A89">
        <v>88</v>
      </c>
      <c r="B89" t="s">
        <v>87</v>
      </c>
      <c r="C89" t="s">
        <v>85</v>
      </c>
      <c r="D89">
        <v>4</v>
      </c>
      <c r="E89" t="s">
        <v>75</v>
      </c>
      <c r="F89">
        <v>3</v>
      </c>
      <c r="G89" t="s">
        <v>59</v>
      </c>
      <c r="H89" t="s">
        <v>59</v>
      </c>
      <c r="I89" t="s">
        <v>86</v>
      </c>
      <c r="J89" t="s">
        <v>77</v>
      </c>
      <c r="K89">
        <v>5</v>
      </c>
      <c r="L89" t="s">
        <v>78</v>
      </c>
    </row>
    <row r="90" spans="1:12">
      <c r="A90">
        <v>89</v>
      </c>
      <c r="B90" t="s">
        <v>87</v>
      </c>
      <c r="C90" t="s">
        <v>88</v>
      </c>
      <c r="D90">
        <v>4</v>
      </c>
      <c r="E90" t="s">
        <v>75</v>
      </c>
      <c r="F90">
        <v>3</v>
      </c>
      <c r="G90" t="s">
        <v>59</v>
      </c>
      <c r="H90" t="s">
        <v>59</v>
      </c>
      <c r="I90" t="s">
        <v>89</v>
      </c>
      <c r="J90" t="s">
        <v>77</v>
      </c>
      <c r="K90">
        <v>5</v>
      </c>
      <c r="L90" t="s">
        <v>78</v>
      </c>
    </row>
    <row r="91" spans="1:12">
      <c r="A91">
        <v>90</v>
      </c>
      <c r="B91" t="s">
        <v>87</v>
      </c>
      <c r="C91" t="s">
        <v>90</v>
      </c>
      <c r="D91">
        <v>5</v>
      </c>
      <c r="E91" t="s">
        <v>75</v>
      </c>
      <c r="F91">
        <v>3</v>
      </c>
      <c r="G91" t="s">
        <v>59</v>
      </c>
      <c r="H91" t="s">
        <v>59</v>
      </c>
      <c r="I91" t="s">
        <v>91</v>
      </c>
      <c r="J91" t="s">
        <v>77</v>
      </c>
      <c r="K91">
        <v>0</v>
      </c>
      <c r="L91" t="s">
        <v>78</v>
      </c>
    </row>
    <row r="92" spans="1:12">
      <c r="A92">
        <v>91</v>
      </c>
      <c r="B92" t="s">
        <v>87</v>
      </c>
      <c r="C92" t="s">
        <v>74</v>
      </c>
      <c r="D92">
        <v>5</v>
      </c>
      <c r="E92" t="s">
        <v>75</v>
      </c>
      <c r="F92">
        <v>3</v>
      </c>
      <c r="G92" t="s">
        <v>59</v>
      </c>
      <c r="H92" t="s">
        <v>59</v>
      </c>
      <c r="I92" t="s">
        <v>76</v>
      </c>
      <c r="J92" t="s">
        <v>77</v>
      </c>
      <c r="K92">
        <v>0</v>
      </c>
      <c r="L92" t="s">
        <v>78</v>
      </c>
    </row>
    <row r="93" spans="1:12">
      <c r="A93">
        <v>92</v>
      </c>
      <c r="B93" t="s">
        <v>87</v>
      </c>
      <c r="C93" t="s">
        <v>80</v>
      </c>
      <c r="D93">
        <v>2</v>
      </c>
      <c r="E93" t="s">
        <v>75</v>
      </c>
      <c r="F93">
        <v>3</v>
      </c>
      <c r="G93" t="s">
        <v>59</v>
      </c>
      <c r="H93" t="s">
        <v>59</v>
      </c>
      <c r="I93" t="s">
        <v>81</v>
      </c>
      <c r="J93" t="s">
        <v>77</v>
      </c>
      <c r="K93">
        <v>0</v>
      </c>
      <c r="L93" t="s">
        <v>78</v>
      </c>
    </row>
    <row r="94" spans="1:12">
      <c r="A94">
        <v>93</v>
      </c>
      <c r="B94" t="s">
        <v>87</v>
      </c>
      <c r="C94" t="s">
        <v>83</v>
      </c>
      <c r="D94">
        <v>2</v>
      </c>
      <c r="E94" t="s">
        <v>75</v>
      </c>
      <c r="F94">
        <v>3</v>
      </c>
      <c r="G94" t="s">
        <v>59</v>
      </c>
      <c r="H94" t="s">
        <v>59</v>
      </c>
      <c r="I94" t="s">
        <v>84</v>
      </c>
      <c r="J94" t="s">
        <v>77</v>
      </c>
      <c r="K94">
        <v>0</v>
      </c>
      <c r="L94" t="s">
        <v>78</v>
      </c>
    </row>
    <row r="95" spans="1:12">
      <c r="A95">
        <v>94</v>
      </c>
      <c r="B95" t="s">
        <v>87</v>
      </c>
      <c r="C95" t="s">
        <v>85</v>
      </c>
      <c r="D95">
        <v>1</v>
      </c>
      <c r="E95" t="s">
        <v>75</v>
      </c>
      <c r="F95">
        <v>3</v>
      </c>
      <c r="G95" t="s">
        <v>92</v>
      </c>
      <c r="H95" t="s">
        <v>99</v>
      </c>
      <c r="I95" t="s">
        <v>86</v>
      </c>
      <c r="J95" t="s">
        <v>77</v>
      </c>
      <c r="K95">
        <v>0</v>
      </c>
      <c r="L95" t="s">
        <v>78</v>
      </c>
    </row>
    <row r="96" spans="1:12">
      <c r="A96">
        <v>95</v>
      </c>
      <c r="B96" t="s">
        <v>87</v>
      </c>
      <c r="C96" t="s">
        <v>88</v>
      </c>
      <c r="D96">
        <v>1</v>
      </c>
      <c r="E96" t="s">
        <v>75</v>
      </c>
      <c r="F96">
        <v>3</v>
      </c>
      <c r="G96" t="s">
        <v>94</v>
      </c>
      <c r="H96" t="s">
        <v>99</v>
      </c>
      <c r="I96" t="s">
        <v>89</v>
      </c>
      <c r="J96" t="s">
        <v>77</v>
      </c>
      <c r="K96">
        <v>0</v>
      </c>
      <c r="L96" t="s">
        <v>78</v>
      </c>
    </row>
    <row r="97" spans="1:12">
      <c r="A97">
        <v>96</v>
      </c>
      <c r="B97" t="s">
        <v>87</v>
      </c>
      <c r="C97" t="s">
        <v>90</v>
      </c>
      <c r="D97">
        <v>3</v>
      </c>
      <c r="E97" t="s">
        <v>75</v>
      </c>
      <c r="F97">
        <v>3</v>
      </c>
      <c r="G97" t="s">
        <v>59</v>
      </c>
      <c r="H97" t="s">
        <v>59</v>
      </c>
      <c r="I97" t="s">
        <v>91</v>
      </c>
      <c r="J97" t="s">
        <v>77</v>
      </c>
      <c r="K97">
        <v>0</v>
      </c>
      <c r="L97" t="s">
        <v>78</v>
      </c>
    </row>
    <row r="98" spans="1:12">
      <c r="A98">
        <v>97</v>
      </c>
      <c r="B98" t="s">
        <v>87</v>
      </c>
      <c r="C98" t="s">
        <v>74</v>
      </c>
      <c r="D98">
        <v>3</v>
      </c>
      <c r="E98" t="s">
        <v>75</v>
      </c>
      <c r="F98">
        <v>3</v>
      </c>
      <c r="G98" t="s">
        <v>59</v>
      </c>
      <c r="H98" t="s">
        <v>59</v>
      </c>
      <c r="I98" t="s">
        <v>76</v>
      </c>
      <c r="J98" t="s">
        <v>77</v>
      </c>
      <c r="K98">
        <v>0</v>
      </c>
      <c r="L98" t="s">
        <v>78</v>
      </c>
    </row>
    <row r="99" spans="1:12">
      <c r="A99">
        <v>98</v>
      </c>
      <c r="B99" t="s">
        <v>87</v>
      </c>
      <c r="C99" t="s">
        <v>80</v>
      </c>
      <c r="D99">
        <v>4</v>
      </c>
      <c r="E99" t="s">
        <v>75</v>
      </c>
      <c r="F99">
        <v>3</v>
      </c>
      <c r="G99" t="s">
        <v>59</v>
      </c>
      <c r="H99" t="s">
        <v>59</v>
      </c>
      <c r="I99" t="s">
        <v>81</v>
      </c>
      <c r="J99" t="s">
        <v>77</v>
      </c>
      <c r="K99">
        <v>5</v>
      </c>
      <c r="L99" t="s">
        <v>78</v>
      </c>
    </row>
    <row r="100" spans="1:12">
      <c r="A100">
        <v>99</v>
      </c>
      <c r="B100" t="s">
        <v>87</v>
      </c>
      <c r="C100" t="s">
        <v>83</v>
      </c>
      <c r="D100">
        <v>4</v>
      </c>
      <c r="E100" t="s">
        <v>75</v>
      </c>
      <c r="F100">
        <v>3</v>
      </c>
      <c r="G100" t="s">
        <v>59</v>
      </c>
      <c r="H100" t="s">
        <v>59</v>
      </c>
      <c r="I100" t="s">
        <v>84</v>
      </c>
      <c r="J100" t="s">
        <v>77</v>
      </c>
      <c r="K100">
        <v>5</v>
      </c>
      <c r="L100" t="s">
        <v>78</v>
      </c>
    </row>
    <row r="101" spans="1:12">
      <c r="A101">
        <v>100</v>
      </c>
      <c r="B101" t="s">
        <v>87</v>
      </c>
      <c r="C101" t="s">
        <v>85</v>
      </c>
      <c r="D101">
        <v>0</v>
      </c>
      <c r="E101" t="s">
        <v>75</v>
      </c>
      <c r="F101">
        <v>3</v>
      </c>
      <c r="G101" t="s">
        <v>59</v>
      </c>
      <c r="H101" t="s">
        <v>59</v>
      </c>
      <c r="I101" t="s">
        <v>86</v>
      </c>
      <c r="J101" t="s">
        <v>77</v>
      </c>
      <c r="K101">
        <v>0</v>
      </c>
      <c r="L101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2017-09-10T10:08:00Z</dcterms:modified>
</cp:coreProperties>
</file>